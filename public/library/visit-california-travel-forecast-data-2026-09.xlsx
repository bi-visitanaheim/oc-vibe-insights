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itcalifornia-my.sharepoint.com/personal/achibukhchyan_visitcalifornia_com/Documents/# ANI/#Research Pages/Travel Forecast/2026/October 2026/Industry/"/>
    </mc:Choice>
  </mc:AlternateContent>
  <xr:revisionPtr revIDLastSave="2" documentId="8_{29907954-7783-D140-B325-52A1A86C9B4A}" xr6:coauthVersionLast="47" xr6:coauthVersionMax="47" xr10:uidLastSave="{6ABD67FE-5F21-574C-808E-931DB72F7977}"/>
  <bookViews>
    <workbookView xWindow="11240" yWindow="2820" windowWidth="24640" windowHeight="20300" xr2:uid="{BBB1BAAD-19F2-4BDE-B917-A369A4AA1240}"/>
  </bookViews>
  <sheets>
    <sheet name="tbl_model" sheetId="1" r:id="rId1"/>
    <sheet name="compare" sheetId="2" r:id="rId2"/>
    <sheet name="tbl_dwnside" sheetId="3" r:id="rId3"/>
  </sheets>
  <definedNames>
    <definedName name="_DLX1.USE">#REF!</definedName>
    <definedName name="_dlx10.use">#REF!</definedName>
    <definedName name="cur_scenario">#REF!</definedName>
    <definedName name="Data">#REF!</definedName>
    <definedName name="DLX1.USE">#REF!</definedName>
    <definedName name="FIPSCode">#REF!</definedName>
    <definedName name="Focus_Year">#REF!</definedName>
    <definedName name="location">#REF!</definedName>
    <definedName name="model_columns">#REF!</definedName>
    <definedName name="model_data">#REF!</definedName>
    <definedName name="model_rows">#REF!</definedName>
    <definedName name="scn_columns">#REF!</definedName>
    <definedName name="scn_data">#REF!</definedName>
    <definedName name="scn_rows">#REF!</definedName>
    <definedName name="variable">#REF!</definedName>
    <definedName name="va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O15" i="1" l="1"/>
  <c r="AO14" i="1"/>
  <c r="AO43" i="1"/>
  <c r="AO42" i="1"/>
  <c r="AU43" i="1"/>
  <c r="AT43" i="1"/>
  <c r="AS43" i="1"/>
  <c r="AR43" i="1"/>
  <c r="AQ43" i="1"/>
  <c r="AP43" i="1"/>
  <c r="Y46" i="3"/>
  <c r="T46" i="3"/>
  <c r="S46" i="3"/>
  <c r="W46" i="3"/>
  <c r="AA45" i="3"/>
  <c r="Y45" i="3"/>
  <c r="X45" i="3"/>
  <c r="W45" i="3"/>
  <c r="U45" i="3"/>
  <c r="S45" i="3"/>
  <c r="R45" i="3"/>
  <c r="Q45" i="3"/>
  <c r="AA44" i="3"/>
  <c r="X44" i="3"/>
  <c r="T44" i="3"/>
  <c r="S44" i="3"/>
  <c r="Z44" i="3"/>
  <c r="Y44" i="3"/>
  <c r="AA43" i="3"/>
  <c r="U43" i="3"/>
  <c r="N13" i="3"/>
  <c r="X43" i="3"/>
  <c r="W42" i="3"/>
  <c r="U42" i="3"/>
  <c r="T42" i="3"/>
  <c r="R42" i="3"/>
  <c r="Q42" i="3"/>
  <c r="S42" i="3"/>
  <c r="C14" i="3"/>
  <c r="Y41" i="3"/>
  <c r="X41" i="3"/>
  <c r="S41" i="3"/>
  <c r="AA41" i="3"/>
  <c r="Z41" i="3"/>
  <c r="W41" i="3"/>
  <c r="AA40" i="3"/>
  <c r="Z40" i="3"/>
  <c r="Y40" i="3"/>
  <c r="U40" i="3"/>
  <c r="AA39" i="3"/>
  <c r="Z39" i="3"/>
  <c r="Y39" i="3"/>
  <c r="X39" i="3"/>
  <c r="S39" i="3"/>
  <c r="W39" i="3"/>
  <c r="AA38" i="3"/>
  <c r="Z38" i="3"/>
  <c r="Y38" i="3"/>
  <c r="R38" i="3"/>
  <c r="X38" i="3"/>
  <c r="U38" i="3"/>
  <c r="T38" i="3"/>
  <c r="Z37" i="3"/>
  <c r="Y37" i="3"/>
  <c r="AA37" i="3"/>
  <c r="U37" i="3"/>
  <c r="S37" i="3"/>
  <c r="AA36" i="3"/>
  <c r="Z36" i="3"/>
  <c r="W36" i="3"/>
  <c r="U36" i="3"/>
  <c r="S36" i="3"/>
  <c r="Q36" i="3"/>
  <c r="AA35" i="3"/>
  <c r="Y35" i="3"/>
  <c r="X35" i="3"/>
  <c r="R35" i="3"/>
  <c r="Q35" i="3"/>
  <c r="W35" i="3"/>
  <c r="U35" i="3"/>
  <c r="S35" i="3"/>
  <c r="AA34" i="3"/>
  <c r="Z34" i="3"/>
  <c r="Y34" i="3"/>
  <c r="X34" i="3"/>
  <c r="R34" i="3"/>
  <c r="Q34" i="3"/>
  <c r="W34" i="3"/>
  <c r="U34" i="3"/>
  <c r="AA33" i="3"/>
  <c r="Z33" i="3"/>
  <c r="R33" i="3"/>
  <c r="Q33" i="3"/>
  <c r="W33" i="3"/>
  <c r="U33" i="3"/>
  <c r="Y32" i="3"/>
  <c r="X32" i="3"/>
  <c r="W32" i="3"/>
  <c r="R32" i="3"/>
  <c r="Q32" i="3"/>
  <c r="AA32" i="3"/>
  <c r="U32" i="3"/>
  <c r="AA31" i="3"/>
  <c r="Z31" i="3"/>
  <c r="Y31" i="3"/>
  <c r="T31" i="3"/>
  <c r="S31" i="3"/>
  <c r="R31" i="3"/>
  <c r="W31" i="3"/>
  <c r="AA30" i="3"/>
  <c r="Z30" i="3"/>
  <c r="Y30" i="3"/>
  <c r="X30" i="3"/>
  <c r="W30" i="3"/>
  <c r="U30" i="3"/>
  <c r="T30" i="3"/>
  <c r="Q30" i="3"/>
  <c r="N12" i="3"/>
  <c r="Z20" i="3"/>
  <c r="C20" i="3"/>
  <c r="AA19" i="3"/>
  <c r="Z19" i="3"/>
  <c r="C19" i="3"/>
  <c r="C18" i="3" s="1"/>
  <c r="M18" i="3"/>
  <c r="M14" i="3"/>
  <c r="J14" i="3"/>
  <c r="H14" i="3"/>
  <c r="G14" i="3"/>
  <c r="T14" i="3" s="1"/>
  <c r="F14" i="3"/>
  <c r="E14" i="3"/>
  <c r="D14" i="3"/>
  <c r="K13" i="3"/>
  <c r="X13" i="3" s="1"/>
  <c r="J13" i="3"/>
  <c r="H13" i="3"/>
  <c r="G13" i="3"/>
  <c r="N11" i="3"/>
  <c r="AA10" i="3"/>
  <c r="Y10" i="3"/>
  <c r="X10" i="3"/>
  <c r="C10" i="3"/>
  <c r="AE157" i="2"/>
  <c r="AD157" i="2"/>
  <c r="AC157" i="2"/>
  <c r="AB157" i="2"/>
  <c r="AA157" i="2"/>
  <c r="Z157" i="2"/>
  <c r="D157" i="2"/>
  <c r="AP157" i="2" s="1"/>
  <c r="C157" i="2"/>
  <c r="AE156" i="2"/>
  <c r="AD156" i="2"/>
  <c r="AC156" i="2"/>
  <c r="AB156" i="2"/>
  <c r="AA156" i="2"/>
  <c r="Z156" i="2"/>
  <c r="D156" i="2"/>
  <c r="C156" i="2"/>
  <c r="AO156" i="2" s="1"/>
  <c r="AO153" i="2"/>
  <c r="AG153" i="2"/>
  <c r="AE153" i="2"/>
  <c r="AD153" i="2"/>
  <c r="AC153" i="2"/>
  <c r="AB153" i="2"/>
  <c r="AA153" i="2"/>
  <c r="Z153" i="2"/>
  <c r="D153" i="2"/>
  <c r="AP153" i="2" s="1"/>
  <c r="C153" i="2"/>
  <c r="AP152" i="2"/>
  <c r="AO152" i="2"/>
  <c r="AH152" i="2"/>
  <c r="AG152" i="2"/>
  <c r="AE152" i="2"/>
  <c r="AD152" i="2"/>
  <c r="AC152" i="2"/>
  <c r="AB152" i="2"/>
  <c r="AA152" i="2"/>
  <c r="Z152" i="2"/>
  <c r="D152" i="2"/>
  <c r="C152" i="2"/>
  <c r="AK151" i="2"/>
  <c r="AE151" i="2"/>
  <c r="AD151" i="2"/>
  <c r="AC151" i="2"/>
  <c r="AB151" i="2"/>
  <c r="AA151" i="2"/>
  <c r="Z151" i="2"/>
  <c r="D151" i="2"/>
  <c r="AP151" i="2" s="1"/>
  <c r="C151" i="2"/>
  <c r="AO151" i="2" s="1"/>
  <c r="AP150" i="2"/>
  <c r="AO150" i="2"/>
  <c r="AG150" i="2"/>
  <c r="AE150" i="2"/>
  <c r="AD150" i="2"/>
  <c r="AC150" i="2"/>
  <c r="AB150" i="2"/>
  <c r="AA150" i="2"/>
  <c r="Z150" i="2"/>
  <c r="G150" i="2"/>
  <c r="D150" i="2"/>
  <c r="AH150" i="2" s="1"/>
  <c r="C150" i="2"/>
  <c r="AH149" i="2"/>
  <c r="AE149" i="2"/>
  <c r="AD149" i="2"/>
  <c r="AC149" i="2"/>
  <c r="AB149" i="2"/>
  <c r="AA149" i="2"/>
  <c r="Z149" i="2"/>
  <c r="D149" i="2"/>
  <c r="AP149" i="2" s="1"/>
  <c r="C149" i="2"/>
  <c r="AM148" i="2"/>
  <c r="AL148" i="2"/>
  <c r="AE148" i="2"/>
  <c r="AD148" i="2"/>
  <c r="AC148" i="2"/>
  <c r="AB148" i="2"/>
  <c r="AA148" i="2"/>
  <c r="Z148" i="2"/>
  <c r="D148" i="2"/>
  <c r="AH148" i="2" s="1"/>
  <c r="C148" i="2"/>
  <c r="AO148" i="2" s="1"/>
  <c r="AO147" i="2"/>
  <c r="AG147" i="2"/>
  <c r="AE147" i="2"/>
  <c r="AD147" i="2"/>
  <c r="AC147" i="2"/>
  <c r="AB147" i="2"/>
  <c r="AA147" i="2"/>
  <c r="Z147" i="2"/>
  <c r="D147" i="2"/>
  <c r="AP147" i="2" s="1"/>
  <c r="C147" i="2"/>
  <c r="AL146" i="2"/>
  <c r="AE146" i="2"/>
  <c r="AD146" i="2"/>
  <c r="AC146" i="2"/>
  <c r="AB146" i="2"/>
  <c r="AA146" i="2"/>
  <c r="Z146" i="2"/>
  <c r="D146" i="2"/>
  <c r="AP146" i="2" s="1"/>
  <c r="C146" i="2"/>
  <c r="AO146" i="2" s="1"/>
  <c r="AI145" i="2"/>
  <c r="AE145" i="2"/>
  <c r="AD145" i="2"/>
  <c r="AC145" i="2"/>
  <c r="AB145" i="2"/>
  <c r="AA145" i="2"/>
  <c r="Z145" i="2"/>
  <c r="D145" i="2"/>
  <c r="AH145" i="2" s="1"/>
  <c r="C145" i="2"/>
  <c r="AO145" i="2" s="1"/>
  <c r="AE144" i="2"/>
  <c r="AD144" i="2"/>
  <c r="AC144" i="2"/>
  <c r="AB144" i="2"/>
  <c r="AA144" i="2"/>
  <c r="Z144" i="2"/>
  <c r="D144" i="2"/>
  <c r="AH144" i="2" s="1"/>
  <c r="C144" i="2"/>
  <c r="AO144" i="2" s="1"/>
  <c r="AO143" i="2"/>
  <c r="AE143" i="2"/>
  <c r="AD143" i="2"/>
  <c r="AC143" i="2"/>
  <c r="AB143" i="2"/>
  <c r="AA143" i="2"/>
  <c r="Z143" i="2"/>
  <c r="D143" i="2"/>
  <c r="AH143" i="2" s="1"/>
  <c r="C143" i="2"/>
  <c r="AG143" i="2" s="1"/>
  <c r="AE142" i="2"/>
  <c r="AD142" i="2"/>
  <c r="AC142" i="2"/>
  <c r="AB142" i="2"/>
  <c r="AA142" i="2"/>
  <c r="Z142" i="2"/>
  <c r="D142" i="2"/>
  <c r="C142" i="2"/>
  <c r="AO141" i="2"/>
  <c r="AG141" i="2"/>
  <c r="AE141" i="2"/>
  <c r="AD141" i="2"/>
  <c r="AC141" i="2"/>
  <c r="AB141" i="2"/>
  <c r="AA141" i="2"/>
  <c r="Z141" i="2"/>
  <c r="D141" i="2"/>
  <c r="C141" i="2"/>
  <c r="AH140" i="2"/>
  <c r="AE140" i="2"/>
  <c r="AD140" i="2"/>
  <c r="AC140" i="2"/>
  <c r="AB140" i="2"/>
  <c r="AA140" i="2"/>
  <c r="Z140" i="2"/>
  <c r="D140" i="2"/>
  <c r="AP140" i="2" s="1"/>
  <c r="C140" i="2"/>
  <c r="AG140" i="2" s="1"/>
  <c r="AE139" i="2"/>
  <c r="AD139" i="2"/>
  <c r="AC139" i="2"/>
  <c r="AB139" i="2"/>
  <c r="AA139" i="2"/>
  <c r="Z139" i="2"/>
  <c r="D139" i="2"/>
  <c r="C139" i="2"/>
  <c r="AE138" i="2"/>
  <c r="AD138" i="2"/>
  <c r="AC138" i="2"/>
  <c r="AB138" i="2"/>
  <c r="AA138" i="2"/>
  <c r="Z138" i="2"/>
  <c r="D138" i="2"/>
  <c r="C138" i="2"/>
  <c r="AG138" i="2" s="1"/>
  <c r="AG137" i="2"/>
  <c r="AE137" i="2"/>
  <c r="AD137" i="2"/>
  <c r="AC137" i="2"/>
  <c r="AB137" i="2"/>
  <c r="AA137" i="2"/>
  <c r="Z137" i="2"/>
  <c r="D137" i="2"/>
  <c r="AH137" i="2" s="1"/>
  <c r="C137" i="2"/>
  <c r="AO137" i="2" s="1"/>
  <c r="AE135" i="2"/>
  <c r="AD135" i="2"/>
  <c r="AC135" i="2"/>
  <c r="AB135" i="2"/>
  <c r="AA135" i="2"/>
  <c r="Z135" i="2"/>
  <c r="D135" i="2"/>
  <c r="C135" i="2"/>
  <c r="AG135" i="2" s="1"/>
  <c r="AP125" i="2"/>
  <c r="AO125" i="2"/>
  <c r="AG125" i="2"/>
  <c r="AE125" i="2"/>
  <c r="AD125" i="2"/>
  <c r="AC125" i="2"/>
  <c r="AB125" i="2"/>
  <c r="AA125" i="2"/>
  <c r="Z125" i="2"/>
  <c r="D125" i="2"/>
  <c r="AH125" i="2" s="1"/>
  <c r="C125" i="2"/>
  <c r="AH124" i="2"/>
  <c r="AE124" i="2"/>
  <c r="AD124" i="2"/>
  <c r="AC124" i="2"/>
  <c r="AB124" i="2"/>
  <c r="AA124" i="2"/>
  <c r="Z124" i="2"/>
  <c r="D124" i="2"/>
  <c r="C124" i="2"/>
  <c r="AG124" i="2" s="1"/>
  <c r="AO121" i="2"/>
  <c r="AE121" i="2"/>
  <c r="AD121" i="2"/>
  <c r="AC121" i="2"/>
  <c r="AB121" i="2"/>
  <c r="AA121" i="2"/>
  <c r="Z121" i="2"/>
  <c r="D121" i="2"/>
  <c r="AH121" i="2" s="1"/>
  <c r="C121" i="2"/>
  <c r="AG121" i="2" s="1"/>
  <c r="AE120" i="2"/>
  <c r="AD120" i="2"/>
  <c r="AC120" i="2"/>
  <c r="AB120" i="2"/>
  <c r="AA120" i="2"/>
  <c r="Z120" i="2"/>
  <c r="D120" i="2"/>
  <c r="K120" i="2" s="1"/>
  <c r="C120" i="2"/>
  <c r="AE119" i="2"/>
  <c r="AD119" i="2"/>
  <c r="AC119" i="2"/>
  <c r="AB119" i="2"/>
  <c r="AA119" i="2"/>
  <c r="Z119" i="2"/>
  <c r="E119" i="2"/>
  <c r="D119" i="2"/>
  <c r="C119" i="2"/>
  <c r="AG119" i="2" s="1"/>
  <c r="AE118" i="2"/>
  <c r="AD118" i="2"/>
  <c r="AC118" i="2"/>
  <c r="AB118" i="2"/>
  <c r="AA118" i="2"/>
  <c r="Z118" i="2"/>
  <c r="D118" i="2"/>
  <c r="C118" i="2"/>
  <c r="AR117" i="2"/>
  <c r="AP117" i="2"/>
  <c r="AH117" i="2"/>
  <c r="AE117" i="2"/>
  <c r="AD117" i="2"/>
  <c r="AC117" i="2"/>
  <c r="AB117" i="2"/>
  <c r="AA117" i="2"/>
  <c r="Z117" i="2"/>
  <c r="D117" i="2"/>
  <c r="C117" i="2"/>
  <c r="AG117" i="2" s="1"/>
  <c r="AG116" i="2"/>
  <c r="AE116" i="2"/>
  <c r="AD116" i="2"/>
  <c r="AC116" i="2"/>
  <c r="AB116" i="2"/>
  <c r="AA116" i="2"/>
  <c r="Z116" i="2"/>
  <c r="D116" i="2"/>
  <c r="AP116" i="2" s="1"/>
  <c r="C116" i="2"/>
  <c r="AO116" i="2" s="1"/>
  <c r="AE115" i="2"/>
  <c r="AD115" i="2"/>
  <c r="AC115" i="2"/>
  <c r="AB115" i="2"/>
  <c r="AA115" i="2"/>
  <c r="Z115" i="2"/>
  <c r="D115" i="2"/>
  <c r="AP115" i="2" s="1"/>
  <c r="C115" i="2"/>
  <c r="AG115" i="2" s="1"/>
  <c r="AO114" i="2"/>
  <c r="AG114" i="2"/>
  <c r="AE114" i="2"/>
  <c r="AD114" i="2"/>
  <c r="AC114" i="2"/>
  <c r="AB114" i="2"/>
  <c r="AA114" i="2"/>
  <c r="Z114" i="2"/>
  <c r="D114" i="2"/>
  <c r="C114" i="2"/>
  <c r="AE113" i="2"/>
  <c r="AD113" i="2"/>
  <c r="AC113" i="2"/>
  <c r="AB113" i="2"/>
  <c r="AA113" i="2"/>
  <c r="Z113" i="2"/>
  <c r="D113" i="2"/>
  <c r="C113" i="2"/>
  <c r="AE112" i="2"/>
  <c r="AD112" i="2"/>
  <c r="AC112" i="2"/>
  <c r="AB112" i="2"/>
  <c r="AA112" i="2"/>
  <c r="Z112" i="2"/>
  <c r="D112" i="2"/>
  <c r="AH112" i="2" s="1"/>
  <c r="C112" i="2"/>
  <c r="AO112" i="2" s="1"/>
  <c r="AP111" i="2"/>
  <c r="AO111" i="2"/>
  <c r="AE111" i="2"/>
  <c r="AD111" i="2"/>
  <c r="AC111" i="2"/>
  <c r="AB111" i="2"/>
  <c r="AA111" i="2"/>
  <c r="Z111" i="2"/>
  <c r="H111" i="2"/>
  <c r="D111" i="2"/>
  <c r="AH111" i="2" s="1"/>
  <c r="C111" i="2"/>
  <c r="AG111" i="2" s="1"/>
  <c r="AE110" i="2"/>
  <c r="AD110" i="2"/>
  <c r="AC110" i="2"/>
  <c r="AB110" i="2"/>
  <c r="AA110" i="2"/>
  <c r="Z110" i="2"/>
  <c r="D110" i="2"/>
  <c r="AH110" i="2" s="1"/>
  <c r="C110" i="2"/>
  <c r="AO110" i="2" s="1"/>
  <c r="AS109" i="2"/>
  <c r="AP109" i="2"/>
  <c r="AO109" i="2"/>
  <c r="AG109" i="2"/>
  <c r="AE109" i="2"/>
  <c r="AD109" i="2"/>
  <c r="AC109" i="2"/>
  <c r="AB109" i="2"/>
  <c r="AA109" i="2"/>
  <c r="Z109" i="2"/>
  <c r="I109" i="2"/>
  <c r="G109" i="2"/>
  <c r="D109" i="2"/>
  <c r="C109" i="2"/>
  <c r="AE108" i="2"/>
  <c r="AD108" i="2"/>
  <c r="AC108" i="2"/>
  <c r="AB108" i="2"/>
  <c r="AA108" i="2"/>
  <c r="Z108" i="2"/>
  <c r="E108" i="2"/>
  <c r="D108" i="2"/>
  <c r="C108" i="2"/>
  <c r="AO108" i="2" s="1"/>
  <c r="AE107" i="2"/>
  <c r="AD107" i="2"/>
  <c r="AC107" i="2"/>
  <c r="AB107" i="2"/>
  <c r="AA107" i="2"/>
  <c r="Z107" i="2"/>
  <c r="D107" i="2"/>
  <c r="C107" i="2"/>
  <c r="AE106" i="2"/>
  <c r="AD106" i="2"/>
  <c r="AC106" i="2"/>
  <c r="AB106" i="2"/>
  <c r="AA106" i="2"/>
  <c r="Z106" i="2"/>
  <c r="F106" i="2"/>
  <c r="E106" i="2"/>
  <c r="D106" i="2"/>
  <c r="C106" i="2"/>
  <c r="AE105" i="2"/>
  <c r="AD105" i="2"/>
  <c r="AC105" i="2"/>
  <c r="AB105" i="2"/>
  <c r="AA105" i="2"/>
  <c r="Z105" i="2"/>
  <c r="D105" i="2"/>
  <c r="AH105" i="2" s="1"/>
  <c r="C105" i="2"/>
  <c r="AO105" i="2" s="1"/>
  <c r="AE103" i="2"/>
  <c r="AD103" i="2"/>
  <c r="AC103" i="2"/>
  <c r="AB103" i="2"/>
  <c r="AA103" i="2"/>
  <c r="Z103" i="2"/>
  <c r="D103" i="2"/>
  <c r="AP103" i="2" s="1"/>
  <c r="C103" i="2"/>
  <c r="AO103" i="2" s="1"/>
  <c r="AE92" i="2"/>
  <c r="AD92" i="2"/>
  <c r="AC92" i="2"/>
  <c r="AB92" i="2"/>
  <c r="AA92" i="2"/>
  <c r="Z92" i="2"/>
  <c r="D92" i="2"/>
  <c r="AP92" i="2" s="1"/>
  <c r="C92" i="2"/>
  <c r="AO92" i="2" s="1"/>
  <c r="AE91" i="2"/>
  <c r="AD91" i="2"/>
  <c r="AC91" i="2"/>
  <c r="AB91" i="2"/>
  <c r="AA91" i="2"/>
  <c r="Z91" i="2"/>
  <c r="D91" i="2"/>
  <c r="AP91" i="2" s="1"/>
  <c r="C91" i="2"/>
  <c r="AO91" i="2" s="1"/>
  <c r="AE90" i="2"/>
  <c r="AD90" i="2"/>
  <c r="AC90" i="2"/>
  <c r="AB90" i="2"/>
  <c r="AA90" i="2"/>
  <c r="Z90" i="2"/>
  <c r="D90" i="2"/>
  <c r="C90" i="2"/>
  <c r="AO90" i="2" s="1"/>
  <c r="AE89" i="2"/>
  <c r="AD89" i="2"/>
  <c r="AC89" i="2"/>
  <c r="AB89" i="2"/>
  <c r="AA89" i="2"/>
  <c r="Z89" i="2"/>
  <c r="D89" i="2"/>
  <c r="C89" i="2"/>
  <c r="AG89" i="2" s="1"/>
  <c r="AE78" i="2"/>
  <c r="AD78" i="2"/>
  <c r="AC78" i="2"/>
  <c r="AB78" i="2"/>
  <c r="AA78" i="2"/>
  <c r="Z78" i="2"/>
  <c r="D78" i="2"/>
  <c r="AH78" i="2" s="1"/>
  <c r="C78" i="2"/>
  <c r="AP77" i="2"/>
  <c r="AO77" i="2"/>
  <c r="AH77" i="2"/>
  <c r="AG77" i="2"/>
  <c r="AE77" i="2"/>
  <c r="AD77" i="2"/>
  <c r="AC77" i="2"/>
  <c r="AB77" i="2"/>
  <c r="AA77" i="2"/>
  <c r="Z77" i="2"/>
  <c r="D77" i="2"/>
  <c r="K77" i="2" s="1"/>
  <c r="C77" i="2"/>
  <c r="AO76" i="2"/>
  <c r="AG76" i="2"/>
  <c r="AE76" i="2"/>
  <c r="AD76" i="2"/>
  <c r="AC76" i="2"/>
  <c r="AB76" i="2"/>
  <c r="AA76" i="2"/>
  <c r="Z76" i="2"/>
  <c r="D76" i="2"/>
  <c r="AP76" i="2" s="1"/>
  <c r="C76" i="2"/>
  <c r="K76" i="2" s="1"/>
  <c r="AE75" i="2"/>
  <c r="AD75" i="2"/>
  <c r="AC75" i="2"/>
  <c r="AB75" i="2"/>
  <c r="AA75" i="2"/>
  <c r="Z75" i="2"/>
  <c r="F75" i="2"/>
  <c r="D75" i="2"/>
  <c r="AH75" i="2" s="1"/>
  <c r="C75" i="2"/>
  <c r="AO75" i="2" s="1"/>
  <c r="AE74" i="2"/>
  <c r="AD74" i="2"/>
  <c r="AC74" i="2"/>
  <c r="AB74" i="2"/>
  <c r="AA74" i="2"/>
  <c r="Z74" i="2"/>
  <c r="I74" i="2"/>
  <c r="F74" i="2"/>
  <c r="D74" i="2"/>
  <c r="C74" i="2"/>
  <c r="AG74" i="2" s="1"/>
  <c r="AP72" i="2"/>
  <c r="AO72" i="2"/>
  <c r="AE72" i="2"/>
  <c r="AD72" i="2"/>
  <c r="AC72" i="2"/>
  <c r="AB72" i="2"/>
  <c r="AA72" i="2"/>
  <c r="Z72" i="2"/>
  <c r="H72" i="2"/>
  <c r="G72" i="2"/>
  <c r="D72" i="2"/>
  <c r="AH72" i="2" s="1"/>
  <c r="C72" i="2"/>
  <c r="AG72" i="2" s="1"/>
  <c r="AE71" i="2"/>
  <c r="AD71" i="2"/>
  <c r="AC71" i="2"/>
  <c r="AB71" i="2"/>
  <c r="AA71" i="2"/>
  <c r="Z71" i="2"/>
  <c r="G71" i="2"/>
  <c r="D71" i="2"/>
  <c r="AP71" i="2" s="1"/>
  <c r="C71" i="2"/>
  <c r="AO71" i="2" s="1"/>
  <c r="AE70" i="2"/>
  <c r="AD70" i="2"/>
  <c r="AC70" i="2"/>
  <c r="AB70" i="2"/>
  <c r="AA70" i="2"/>
  <c r="Z70" i="2"/>
  <c r="D70" i="2"/>
  <c r="AH70" i="2" s="1"/>
  <c r="C70" i="2"/>
  <c r="AG69" i="2"/>
  <c r="AE69" i="2"/>
  <c r="AD69" i="2"/>
  <c r="AC69" i="2"/>
  <c r="AB69" i="2"/>
  <c r="AA69" i="2"/>
  <c r="Z69" i="2"/>
  <c r="D69" i="2"/>
  <c r="AH69" i="2" s="1"/>
  <c r="C69" i="2"/>
  <c r="AO69" i="2" s="1"/>
  <c r="AP68" i="2"/>
  <c r="AO68" i="2"/>
  <c r="AE68" i="2"/>
  <c r="AD68" i="2"/>
  <c r="AC68" i="2"/>
  <c r="AB68" i="2"/>
  <c r="AA68" i="2"/>
  <c r="Z68" i="2"/>
  <c r="D68" i="2"/>
  <c r="AH68" i="2" s="1"/>
  <c r="C68" i="2"/>
  <c r="AG68" i="2" s="1"/>
  <c r="AE66" i="2"/>
  <c r="AD66" i="2"/>
  <c r="AC66" i="2"/>
  <c r="AB66" i="2"/>
  <c r="AA66" i="2"/>
  <c r="Z66" i="2"/>
  <c r="H66" i="2"/>
  <c r="O66" i="2" s="1"/>
  <c r="D66" i="2"/>
  <c r="AH66" i="2" s="1"/>
  <c r="C66" i="2"/>
  <c r="AO66" i="2" s="1"/>
  <c r="AU65" i="2"/>
  <c r="AE65" i="2"/>
  <c r="AD65" i="2"/>
  <c r="AC65" i="2"/>
  <c r="AB65" i="2"/>
  <c r="AA65" i="2"/>
  <c r="Z65" i="2"/>
  <c r="D65" i="2"/>
  <c r="C65" i="2"/>
  <c r="AE64" i="2"/>
  <c r="AD64" i="2"/>
  <c r="AC64" i="2"/>
  <c r="AB64" i="2"/>
  <c r="AA64" i="2"/>
  <c r="Z64" i="2"/>
  <c r="E64" i="2"/>
  <c r="D64" i="2"/>
  <c r="C64" i="2"/>
  <c r="AG64" i="2" s="1"/>
  <c r="AR63" i="2"/>
  <c r="AQ63" i="2"/>
  <c r="AO63" i="2"/>
  <c r="AG63" i="2"/>
  <c r="AE63" i="2"/>
  <c r="AD63" i="2"/>
  <c r="AC63" i="2"/>
  <c r="AB63" i="2"/>
  <c r="AA63" i="2"/>
  <c r="Z63" i="2"/>
  <c r="F63" i="2"/>
  <c r="E63" i="2"/>
  <c r="D63" i="2"/>
  <c r="C63" i="2"/>
  <c r="AG62" i="2"/>
  <c r="AE62" i="2"/>
  <c r="AD62" i="2"/>
  <c r="AC62" i="2"/>
  <c r="AB62" i="2"/>
  <c r="AA62" i="2"/>
  <c r="Z62" i="2"/>
  <c r="I62" i="2"/>
  <c r="D62" i="2"/>
  <c r="K62" i="2" s="1"/>
  <c r="C62" i="2"/>
  <c r="AO62" i="2" s="1"/>
  <c r="AE61" i="2"/>
  <c r="AD61" i="2"/>
  <c r="AC61" i="2"/>
  <c r="AB61" i="2"/>
  <c r="AA61" i="2"/>
  <c r="Z61" i="2"/>
  <c r="G61" i="2"/>
  <c r="D61" i="2"/>
  <c r="AH61" i="2" s="1"/>
  <c r="C61" i="2"/>
  <c r="AO61" i="2" s="1"/>
  <c r="AO60" i="2"/>
  <c r="AG60" i="2"/>
  <c r="AE60" i="2"/>
  <c r="AD60" i="2"/>
  <c r="AC60" i="2"/>
  <c r="AB60" i="2"/>
  <c r="AA60" i="2"/>
  <c r="Z60" i="2"/>
  <c r="D60" i="2"/>
  <c r="K60" i="2" s="1"/>
  <c r="C60" i="2"/>
  <c r="AG58" i="2"/>
  <c r="AE58" i="2"/>
  <c r="AD58" i="2"/>
  <c r="AC58" i="2"/>
  <c r="AB58" i="2"/>
  <c r="AA58" i="2"/>
  <c r="Z58" i="2"/>
  <c r="D58" i="2"/>
  <c r="AH58" i="2" s="1"/>
  <c r="C58" i="2"/>
  <c r="AO58" i="2" s="1"/>
  <c r="AE56" i="2"/>
  <c r="AD56" i="2"/>
  <c r="AC56" i="2"/>
  <c r="AB56" i="2"/>
  <c r="AA56" i="2"/>
  <c r="Z56" i="2"/>
  <c r="D56" i="2"/>
  <c r="C56" i="2"/>
  <c r="AG56" i="2" s="1"/>
  <c r="AG46" i="2"/>
  <c r="AE46" i="2"/>
  <c r="AD46" i="2"/>
  <c r="AC46" i="2"/>
  <c r="AB46" i="2"/>
  <c r="AA46" i="2"/>
  <c r="Z46" i="2"/>
  <c r="D46" i="2"/>
  <c r="AH46" i="2" s="1"/>
  <c r="C46" i="2"/>
  <c r="AO46" i="2" s="1"/>
  <c r="AR45" i="2"/>
  <c r="AP45" i="2"/>
  <c r="AO45" i="2"/>
  <c r="AH45" i="2"/>
  <c r="AE45" i="2"/>
  <c r="AD45" i="2"/>
  <c r="AC45" i="2"/>
  <c r="AB45" i="2"/>
  <c r="AA45" i="2"/>
  <c r="Z45" i="2"/>
  <c r="E45" i="2"/>
  <c r="AI45" i="2" s="1"/>
  <c r="D45" i="2"/>
  <c r="K45" i="2" s="1"/>
  <c r="C45" i="2"/>
  <c r="AG45" i="2" s="1"/>
  <c r="AE44" i="2"/>
  <c r="AD44" i="2"/>
  <c r="AC44" i="2"/>
  <c r="AB44" i="2"/>
  <c r="AA44" i="2"/>
  <c r="Z44" i="2"/>
  <c r="D44" i="2"/>
  <c r="AP44" i="2" s="1"/>
  <c r="C44" i="2"/>
  <c r="AE43" i="2"/>
  <c r="AD43" i="2"/>
  <c r="AC43" i="2"/>
  <c r="AB43" i="2"/>
  <c r="AA43" i="2"/>
  <c r="Z43" i="2"/>
  <c r="I43" i="2"/>
  <c r="D43" i="2"/>
  <c r="AH43" i="2" s="1"/>
  <c r="C43" i="2"/>
  <c r="AE42" i="2"/>
  <c r="AD42" i="2"/>
  <c r="AC42" i="2"/>
  <c r="AB42" i="2"/>
  <c r="AA42" i="2"/>
  <c r="Z42" i="2"/>
  <c r="D42" i="2"/>
  <c r="AH42" i="2" s="1"/>
  <c r="C42" i="2"/>
  <c r="AO42" i="2" s="1"/>
  <c r="AP41" i="2"/>
  <c r="AO41" i="2"/>
  <c r="AE41" i="2"/>
  <c r="AD41" i="2"/>
  <c r="AC41" i="2"/>
  <c r="AB41" i="2"/>
  <c r="AA41" i="2"/>
  <c r="Z41" i="2"/>
  <c r="E41" i="2"/>
  <c r="D41" i="2"/>
  <c r="C41" i="2"/>
  <c r="AG41" i="2" s="1"/>
  <c r="AE40" i="2"/>
  <c r="AD40" i="2"/>
  <c r="AC40" i="2"/>
  <c r="AB40" i="2"/>
  <c r="AA40" i="2"/>
  <c r="Z40" i="2"/>
  <c r="D40" i="2"/>
  <c r="K40" i="2" s="1"/>
  <c r="C40" i="2"/>
  <c r="AO40" i="2" s="1"/>
  <c r="AP39" i="2"/>
  <c r="AH39" i="2"/>
  <c r="AE39" i="2"/>
  <c r="AD39" i="2"/>
  <c r="AC39" i="2"/>
  <c r="AB39" i="2"/>
  <c r="AA39" i="2"/>
  <c r="Z39" i="2"/>
  <c r="D39" i="2"/>
  <c r="K39" i="2" s="1"/>
  <c r="C39" i="2"/>
  <c r="AO39" i="2" s="1"/>
  <c r="AE35" i="2"/>
  <c r="AD35" i="2"/>
  <c r="AC35" i="2"/>
  <c r="AB35" i="2"/>
  <c r="AA35" i="2"/>
  <c r="Z35" i="2"/>
  <c r="D35" i="2"/>
  <c r="C35" i="2"/>
  <c r="AG34" i="2"/>
  <c r="AE34" i="2"/>
  <c r="AD34" i="2"/>
  <c r="AC34" i="2"/>
  <c r="AB34" i="2"/>
  <c r="AA34" i="2"/>
  <c r="Z34" i="2"/>
  <c r="D34" i="2"/>
  <c r="K34" i="2" s="1"/>
  <c r="C34" i="2"/>
  <c r="AO34" i="2" s="1"/>
  <c r="AE32" i="2"/>
  <c r="AD32" i="2"/>
  <c r="AC32" i="2"/>
  <c r="AB32" i="2"/>
  <c r="AA32" i="2"/>
  <c r="Z32" i="2"/>
  <c r="D32" i="2"/>
  <c r="AP32" i="2" s="1"/>
  <c r="C32" i="2"/>
  <c r="AE31" i="2"/>
  <c r="AD31" i="2"/>
  <c r="AC31" i="2"/>
  <c r="AB31" i="2"/>
  <c r="AA31" i="2"/>
  <c r="Z31" i="2"/>
  <c r="D31" i="2"/>
  <c r="C31" i="2"/>
  <c r="AE30" i="2"/>
  <c r="AD30" i="2"/>
  <c r="AC30" i="2"/>
  <c r="AB30" i="2"/>
  <c r="AA30" i="2"/>
  <c r="Z30" i="2"/>
  <c r="D30" i="2"/>
  <c r="AH30" i="2" s="1"/>
  <c r="C30" i="2"/>
  <c r="AG30" i="2" s="1"/>
  <c r="AE29" i="2"/>
  <c r="AD29" i="2"/>
  <c r="AC29" i="2"/>
  <c r="AB29" i="2"/>
  <c r="AA29" i="2"/>
  <c r="Z29" i="2"/>
  <c r="D29" i="2"/>
  <c r="AP29" i="2" s="1"/>
  <c r="C29" i="2"/>
  <c r="AO29" i="2" s="1"/>
  <c r="AP26" i="2"/>
  <c r="AE26" i="2"/>
  <c r="AD26" i="2"/>
  <c r="AC26" i="2"/>
  <c r="AB26" i="2"/>
  <c r="AA26" i="2"/>
  <c r="Z26" i="2"/>
  <c r="D26" i="2"/>
  <c r="AH26" i="2" s="1"/>
  <c r="C26" i="2"/>
  <c r="AG26" i="2" s="1"/>
  <c r="AE25" i="2"/>
  <c r="AD25" i="2"/>
  <c r="AC25" i="2"/>
  <c r="AB25" i="2"/>
  <c r="AA25" i="2"/>
  <c r="Z25" i="2"/>
  <c r="D25" i="2"/>
  <c r="C25" i="2"/>
  <c r="AO25" i="2" s="1"/>
  <c r="AM23" i="2"/>
  <c r="AE23" i="2"/>
  <c r="AD23" i="2"/>
  <c r="AC23" i="2"/>
  <c r="AB23" i="2"/>
  <c r="AA23" i="2"/>
  <c r="Z23" i="2"/>
  <c r="D23" i="2"/>
  <c r="C23" i="2"/>
  <c r="AE22" i="2"/>
  <c r="AD22" i="2"/>
  <c r="AC22" i="2"/>
  <c r="AB22" i="2"/>
  <c r="AA22" i="2"/>
  <c r="Z22" i="2"/>
  <c r="H22" i="2"/>
  <c r="AT22" i="2" s="1"/>
  <c r="D22" i="2"/>
  <c r="C22" i="2"/>
  <c r="AO22" i="2" s="1"/>
  <c r="AU20" i="2"/>
  <c r="AP20" i="2"/>
  <c r="AM20" i="2"/>
  <c r="AE20" i="2"/>
  <c r="AD20" i="2"/>
  <c r="AC20" i="2"/>
  <c r="AB20" i="2"/>
  <c r="AA20" i="2"/>
  <c r="Z20" i="2"/>
  <c r="I20" i="2"/>
  <c r="G20" i="2"/>
  <c r="D20" i="2"/>
  <c r="C20" i="2"/>
  <c r="AG20" i="2" s="1"/>
  <c r="AO19" i="2"/>
  <c r="AG19" i="2"/>
  <c r="AE19" i="2"/>
  <c r="AD19" i="2"/>
  <c r="AC19" i="2"/>
  <c r="AB19" i="2"/>
  <c r="AA19" i="2"/>
  <c r="Z19" i="2"/>
  <c r="P19" i="2"/>
  <c r="D19" i="2"/>
  <c r="C19" i="2"/>
  <c r="AE18" i="2"/>
  <c r="AD18" i="2"/>
  <c r="AC18" i="2"/>
  <c r="AB18" i="2"/>
  <c r="AA18" i="2"/>
  <c r="Z18" i="2"/>
  <c r="D18" i="2"/>
  <c r="AH18" i="2" s="1"/>
  <c r="C18" i="2"/>
  <c r="AE17" i="2"/>
  <c r="AD17" i="2"/>
  <c r="AC17" i="2"/>
  <c r="AB17" i="2"/>
  <c r="AA17" i="2"/>
  <c r="Z17" i="2"/>
  <c r="D17" i="2"/>
  <c r="AH17" i="2" s="1"/>
  <c r="C17" i="2"/>
  <c r="AE15" i="2"/>
  <c r="AD15" i="2"/>
  <c r="AC15" i="2"/>
  <c r="AB15" i="2"/>
  <c r="AA15" i="2"/>
  <c r="Z15" i="2"/>
  <c r="I15" i="2"/>
  <c r="AM15" i="2" s="1"/>
  <c r="D15" i="2"/>
  <c r="AP15" i="2" s="1"/>
  <c r="C15" i="2"/>
  <c r="AO15" i="2" s="1"/>
  <c r="AG14" i="2"/>
  <c r="AE14" i="2"/>
  <c r="AD14" i="2"/>
  <c r="AC14" i="2"/>
  <c r="AB14" i="2"/>
  <c r="AA14" i="2"/>
  <c r="Z14" i="2"/>
  <c r="D14" i="2"/>
  <c r="AP14" i="2" s="1"/>
  <c r="C14" i="2"/>
  <c r="AO14" i="2" s="1"/>
  <c r="AG13" i="2"/>
  <c r="AE13" i="2"/>
  <c r="AD13" i="2"/>
  <c r="AC13" i="2"/>
  <c r="AB13" i="2"/>
  <c r="AA13" i="2"/>
  <c r="Z13" i="2"/>
  <c r="D13" i="2"/>
  <c r="AH13" i="2" s="1"/>
  <c r="C13" i="2"/>
  <c r="AO13" i="2" s="1"/>
  <c r="AG12" i="2"/>
  <c r="AE12" i="2"/>
  <c r="AD12" i="2"/>
  <c r="AC12" i="2"/>
  <c r="AB12" i="2"/>
  <c r="AA12" i="2"/>
  <c r="Z12" i="2"/>
  <c r="D12" i="2"/>
  <c r="AP12" i="2" s="1"/>
  <c r="C12" i="2"/>
  <c r="AO12" i="2" s="1"/>
  <c r="AG9" i="2"/>
  <c r="AE9" i="2"/>
  <c r="AD9" i="2"/>
  <c r="AC9" i="2"/>
  <c r="AB9" i="2"/>
  <c r="AA9" i="2"/>
  <c r="Z9" i="2"/>
  <c r="D9" i="2"/>
  <c r="C9" i="2"/>
  <c r="AO9" i="2" s="1"/>
  <c r="AE8" i="2"/>
  <c r="AD8" i="2"/>
  <c r="AC8" i="2"/>
  <c r="AB8" i="2"/>
  <c r="AA8" i="2"/>
  <c r="Z8" i="2"/>
  <c r="D8" i="2"/>
  <c r="AH8" i="2" s="1"/>
  <c r="C8" i="2"/>
  <c r="AE7" i="2"/>
  <c r="AD7" i="2"/>
  <c r="AC7" i="2"/>
  <c r="AB7" i="2"/>
  <c r="AA7" i="2"/>
  <c r="Z7" i="2"/>
  <c r="D7" i="2"/>
  <c r="C7" i="2"/>
  <c r="AG7" i="2" s="1"/>
  <c r="AP158" i="1"/>
  <c r="AO158" i="1"/>
  <c r="AN158" i="1"/>
  <c r="AM158" i="1"/>
  <c r="AL158" i="1"/>
  <c r="AK158" i="1"/>
  <c r="AU157" i="1"/>
  <c r="AR157" i="1"/>
  <c r="AQ157" i="1"/>
  <c r="AP157" i="1"/>
  <c r="AO157" i="1"/>
  <c r="AN157" i="1"/>
  <c r="AM157" i="1"/>
  <c r="AL157" i="1"/>
  <c r="AK157" i="1"/>
  <c r="I156" i="2"/>
  <c r="H156" i="2"/>
  <c r="AL156" i="2" s="1"/>
  <c r="F156" i="2"/>
  <c r="AJ156" i="2" s="1"/>
  <c r="E156" i="2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H153" i="2"/>
  <c r="G153" i="2"/>
  <c r="F153" i="2"/>
  <c r="E153" i="2"/>
  <c r="AI153" i="2" s="1"/>
  <c r="AU153" i="1"/>
  <c r="AT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I152" i="2"/>
  <c r="H152" i="2"/>
  <c r="E152" i="2"/>
  <c r="AQ152" i="2" s="1"/>
  <c r="AT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H151" i="2"/>
  <c r="G151" i="2"/>
  <c r="AS152" i="1"/>
  <c r="E151" i="2"/>
  <c r="AI151" i="2" s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I150" i="2"/>
  <c r="H150" i="2"/>
  <c r="AS151" i="1"/>
  <c r="F150" i="2"/>
  <c r="AR151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S150" i="1"/>
  <c r="F149" i="2"/>
  <c r="AR149" i="2" s="1"/>
  <c r="E149" i="2"/>
  <c r="AU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I148" i="2"/>
  <c r="AU148" i="2" s="1"/>
  <c r="H148" i="2"/>
  <c r="G148" i="2"/>
  <c r="F148" i="2"/>
  <c r="E148" i="2"/>
  <c r="AU148" i="1"/>
  <c r="AT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I147" i="2"/>
  <c r="H147" i="2"/>
  <c r="G147" i="2"/>
  <c r="F147" i="2"/>
  <c r="E147" i="2"/>
  <c r="AU147" i="1"/>
  <c r="AT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I146" i="2"/>
  <c r="H146" i="2"/>
  <c r="E146" i="2"/>
  <c r="AT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H145" i="2"/>
  <c r="G145" i="2"/>
  <c r="F145" i="2"/>
  <c r="E145" i="2"/>
  <c r="AU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I144" i="2"/>
  <c r="H144" i="2"/>
  <c r="E144" i="2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I143" i="2"/>
  <c r="AU143" i="2" s="1"/>
  <c r="AS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G142" i="2"/>
  <c r="F142" i="2"/>
  <c r="M142" i="2" s="1"/>
  <c r="E142" i="2"/>
  <c r="AT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I141" i="2"/>
  <c r="P141" i="2" s="1"/>
  <c r="H141" i="2"/>
  <c r="AL141" i="2" s="1"/>
  <c r="G141" i="2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G140" i="2"/>
  <c r="E140" i="2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H139" i="2"/>
  <c r="G139" i="2"/>
  <c r="F139" i="2"/>
  <c r="E139" i="2"/>
  <c r="AU139" i="1"/>
  <c r="AT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I138" i="2"/>
  <c r="H138" i="2"/>
  <c r="G138" i="2"/>
  <c r="AS139" i="1"/>
  <c r="AU138" i="1"/>
  <c r="AR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I137" i="2"/>
  <c r="F137" i="2"/>
  <c r="AQ138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B134" i="1"/>
  <c r="AC134" i="1" s="1"/>
  <c r="AD134" i="1" s="1"/>
  <c r="AE134" i="1" s="1"/>
  <c r="AF134" i="1" s="1"/>
  <c r="AG134" i="1" s="1"/>
  <c r="AH134" i="1" s="1"/>
  <c r="AI134" i="1" s="1"/>
  <c r="AJ134" i="1" s="1"/>
  <c r="AK134" i="1" s="1"/>
  <c r="AL134" i="1" s="1"/>
  <c r="AM134" i="1" s="1"/>
  <c r="AN134" i="1" s="1"/>
  <c r="AO134" i="1" s="1"/>
  <c r="AP134" i="1" s="1"/>
  <c r="AQ134" i="1" s="1"/>
  <c r="AR134" i="1" s="1"/>
  <c r="AS134" i="1" s="1"/>
  <c r="AT134" i="1" s="1"/>
  <c r="D134" i="1"/>
  <c r="E134" i="1" s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AT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E124" i="2"/>
  <c r="AI124" i="2" s="1"/>
  <c r="AR122" i="1"/>
  <c r="AQ122" i="1"/>
  <c r="AP122" i="1"/>
  <c r="P46" i="3" s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I121" i="2"/>
  <c r="P121" i="2" s="1"/>
  <c r="H121" i="2"/>
  <c r="F121" i="2"/>
  <c r="E121" i="2"/>
  <c r="AT121" i="1"/>
  <c r="AS121" i="1"/>
  <c r="AP121" i="1"/>
  <c r="P45" i="3" s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H120" i="2"/>
  <c r="O120" i="2" s="1"/>
  <c r="G120" i="2"/>
  <c r="AQ120" i="1"/>
  <c r="AP120" i="1"/>
  <c r="P44" i="3" s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H119" i="2"/>
  <c r="G119" i="2"/>
  <c r="AP119" i="1"/>
  <c r="P43" i="3" s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G118" i="2"/>
  <c r="F118" i="2"/>
  <c r="E118" i="2"/>
  <c r="AT118" i="1"/>
  <c r="AS118" i="1"/>
  <c r="AP118" i="1"/>
  <c r="P42" i="3" s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H117" i="2"/>
  <c r="G117" i="2"/>
  <c r="AS117" i="2" s="1"/>
  <c r="F117" i="2"/>
  <c r="E117" i="2"/>
  <c r="AR117" i="1"/>
  <c r="AP117" i="1"/>
  <c r="P41" i="3" s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I116" i="2"/>
  <c r="H116" i="2"/>
  <c r="G116" i="2"/>
  <c r="F116" i="2"/>
  <c r="AJ116" i="2" s="1"/>
  <c r="E116" i="2"/>
  <c r="AI116" i="2" s="1"/>
  <c r="AS116" i="1"/>
  <c r="AQ116" i="1"/>
  <c r="AP116" i="1"/>
  <c r="P40" i="3" s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I115" i="2"/>
  <c r="AM115" i="2" s="1"/>
  <c r="G115" i="2"/>
  <c r="AS115" i="2" s="1"/>
  <c r="E115" i="2"/>
  <c r="AQ115" i="2" s="1"/>
  <c r="AT115" i="1"/>
  <c r="AP115" i="1"/>
  <c r="P39" i="3" s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I114" i="2"/>
  <c r="H114" i="2"/>
  <c r="AT114" i="2" s="1"/>
  <c r="G114" i="2"/>
  <c r="AS114" i="2" s="1"/>
  <c r="F114" i="2"/>
  <c r="E114" i="2"/>
  <c r="AU114" i="1"/>
  <c r="AP114" i="1"/>
  <c r="P38" i="3" s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I113" i="2"/>
  <c r="AU113" i="2" s="1"/>
  <c r="H113" i="2"/>
  <c r="AL113" i="2" s="1"/>
  <c r="G113" i="2"/>
  <c r="AK113" i="2" s="1"/>
  <c r="F113" i="2"/>
  <c r="AS113" i="1"/>
  <c r="AP113" i="1"/>
  <c r="P37" i="3" s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G112" i="2"/>
  <c r="AK112" i="2" s="1"/>
  <c r="E112" i="2"/>
  <c r="AU112" i="1"/>
  <c r="AP112" i="1"/>
  <c r="P36" i="3" s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I111" i="2"/>
  <c r="F111" i="2"/>
  <c r="AT111" i="1"/>
  <c r="AP111" i="1"/>
  <c r="P35" i="3" s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I110" i="2"/>
  <c r="H110" i="2"/>
  <c r="G110" i="2"/>
  <c r="F110" i="2"/>
  <c r="E110" i="2"/>
  <c r="AP110" i="1"/>
  <c r="P34" i="3" s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AU110" i="1"/>
  <c r="H109" i="2"/>
  <c r="AS110" i="1"/>
  <c r="F109" i="2"/>
  <c r="AU109" i="1"/>
  <c r="AQ109" i="1"/>
  <c r="AP109" i="1"/>
  <c r="P33" i="3" s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I108" i="2"/>
  <c r="AU108" i="2" s="1"/>
  <c r="H108" i="2"/>
  <c r="AT108" i="2" s="1"/>
  <c r="F108" i="2"/>
  <c r="AS108" i="1"/>
  <c r="AP108" i="1"/>
  <c r="P32" i="3" s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I107" i="2"/>
  <c r="AU108" i="1"/>
  <c r="G107" i="2"/>
  <c r="AK107" i="2" s="1"/>
  <c r="E107" i="2"/>
  <c r="AS107" i="1"/>
  <c r="AP107" i="1"/>
  <c r="P31" i="3" s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AU107" i="1"/>
  <c r="G106" i="2"/>
  <c r="AQ107" i="1"/>
  <c r="AR106" i="1"/>
  <c r="AP106" i="1"/>
  <c r="P30" i="3" s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I105" i="2"/>
  <c r="F105" i="2"/>
  <c r="AR105" i="2" s="1"/>
  <c r="E105" i="2"/>
  <c r="M105" i="2" s="1"/>
  <c r="AP104" i="1"/>
  <c r="P28" i="3" s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AB102" i="1"/>
  <c r="AC102" i="1" s="1"/>
  <c r="AD102" i="1" s="1"/>
  <c r="AE102" i="1" s="1"/>
  <c r="AF102" i="1" s="1"/>
  <c r="AG102" i="1" s="1"/>
  <c r="AH102" i="1" s="1"/>
  <c r="AI102" i="1" s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E102" i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D102" i="1"/>
  <c r="AU93" i="1"/>
  <c r="AQ93" i="1"/>
  <c r="AP93" i="1"/>
  <c r="AO93" i="1"/>
  <c r="AN93" i="1"/>
  <c r="AM93" i="1"/>
  <c r="AL93" i="1"/>
  <c r="AK93" i="1"/>
  <c r="I92" i="2"/>
  <c r="AR92" i="1"/>
  <c r="AQ92" i="1"/>
  <c r="AP92" i="1"/>
  <c r="AO92" i="1"/>
  <c r="AN92" i="1"/>
  <c r="AM92" i="1"/>
  <c r="AL92" i="1"/>
  <c r="AK92" i="1"/>
  <c r="I91" i="2"/>
  <c r="F91" i="2"/>
  <c r="AP91" i="1"/>
  <c r="AO91" i="1"/>
  <c r="AN91" i="1"/>
  <c r="AM91" i="1"/>
  <c r="AL91" i="1"/>
  <c r="AK91" i="1"/>
  <c r="I90" i="2"/>
  <c r="G90" i="2"/>
  <c r="AS90" i="2" s="1"/>
  <c r="E90" i="2"/>
  <c r="AS90" i="1"/>
  <c r="AP90" i="1"/>
  <c r="AO90" i="1"/>
  <c r="AN90" i="1"/>
  <c r="AM90" i="1"/>
  <c r="AL90" i="1"/>
  <c r="AK90" i="1"/>
  <c r="G89" i="2"/>
  <c r="AK89" i="2" s="1"/>
  <c r="F89" i="2"/>
  <c r="E89" i="2"/>
  <c r="AB88" i="1"/>
  <c r="AC88" i="1" s="1"/>
  <c r="AD88" i="1" s="1"/>
  <c r="AE88" i="1" s="1"/>
  <c r="AF88" i="1" s="1"/>
  <c r="AG88" i="1" s="1"/>
  <c r="AH88" i="1" s="1"/>
  <c r="AI88" i="1" s="1"/>
  <c r="AJ88" i="1" s="1"/>
  <c r="AK88" i="1" s="1"/>
  <c r="AL88" i="1" s="1"/>
  <c r="AM88" i="1" s="1"/>
  <c r="AN88" i="1" s="1"/>
  <c r="AO88" i="1" s="1"/>
  <c r="AP88" i="1" s="1"/>
  <c r="AQ88" i="1" s="1"/>
  <c r="AR88" i="1" s="1"/>
  <c r="AS88" i="1" s="1"/>
  <c r="AT88" i="1" s="1"/>
  <c r="D88" i="1"/>
  <c r="E88" i="1" s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AT79" i="1"/>
  <c r="AS79" i="1"/>
  <c r="AR79" i="1"/>
  <c r="AQ79" i="1"/>
  <c r="AP79" i="1"/>
  <c r="AO79" i="1"/>
  <c r="AN79" i="1"/>
  <c r="AM79" i="1"/>
  <c r="AL79" i="1"/>
  <c r="AK79" i="1"/>
  <c r="I78" i="2"/>
  <c r="H78" i="2"/>
  <c r="AL78" i="2" s="1"/>
  <c r="G78" i="2"/>
  <c r="AK78" i="2" s="1"/>
  <c r="F78" i="2"/>
  <c r="AJ78" i="2" s="1"/>
  <c r="E78" i="2"/>
  <c r="AQ78" i="2" s="1"/>
  <c r="AU78" i="1"/>
  <c r="AT78" i="1"/>
  <c r="AR78" i="1"/>
  <c r="AP78" i="1"/>
  <c r="AO78" i="1"/>
  <c r="AN78" i="1"/>
  <c r="AM78" i="1"/>
  <c r="AL78" i="1"/>
  <c r="AK78" i="1"/>
  <c r="I77" i="2"/>
  <c r="H77" i="2"/>
  <c r="F77" i="2"/>
  <c r="E77" i="2"/>
  <c r="AQ77" i="1"/>
  <c r="AP77" i="1"/>
  <c r="AO77" i="1"/>
  <c r="AN77" i="1"/>
  <c r="AM77" i="1"/>
  <c r="AL77" i="1"/>
  <c r="AK77" i="1"/>
  <c r="H76" i="2"/>
  <c r="AT76" i="2" s="1"/>
  <c r="E76" i="2"/>
  <c r="AP76" i="1"/>
  <c r="AO76" i="1"/>
  <c r="AN76" i="1"/>
  <c r="AM76" i="1"/>
  <c r="AL76" i="1"/>
  <c r="AK76" i="1"/>
  <c r="H75" i="2"/>
  <c r="AS76" i="1"/>
  <c r="E75" i="2"/>
  <c r="AT75" i="1"/>
  <c r="AP75" i="1"/>
  <c r="AO75" i="1"/>
  <c r="AN75" i="1"/>
  <c r="AM75" i="1"/>
  <c r="AL75" i="1"/>
  <c r="AK75" i="1"/>
  <c r="AU75" i="1"/>
  <c r="G74" i="2"/>
  <c r="AR75" i="1"/>
  <c r="AU73" i="1"/>
  <c r="AT73" i="1"/>
  <c r="AS73" i="1"/>
  <c r="AR73" i="1"/>
  <c r="AQ73" i="1"/>
  <c r="AP73" i="1"/>
  <c r="AO73" i="1"/>
  <c r="AN73" i="1"/>
  <c r="AM73" i="1"/>
  <c r="AL73" i="1"/>
  <c r="AK73" i="1"/>
  <c r="I72" i="2"/>
  <c r="F72" i="2"/>
  <c r="E72" i="2"/>
  <c r="L72" i="2" s="1"/>
  <c r="AU72" i="1"/>
  <c r="AT72" i="1"/>
  <c r="AR72" i="1"/>
  <c r="AQ72" i="1"/>
  <c r="AP72" i="1"/>
  <c r="AO72" i="1"/>
  <c r="AN72" i="1"/>
  <c r="AM72" i="1"/>
  <c r="AL72" i="1"/>
  <c r="AK72" i="1"/>
  <c r="I71" i="2"/>
  <c r="AM71" i="2" s="1"/>
  <c r="H71" i="2"/>
  <c r="AL71" i="2" s="1"/>
  <c r="F71" i="2"/>
  <c r="E71" i="2"/>
  <c r="AP71" i="1"/>
  <c r="AO71" i="1"/>
  <c r="AN71" i="1"/>
  <c r="AM71" i="1"/>
  <c r="AL71" i="1"/>
  <c r="AK71" i="1"/>
  <c r="AU70" i="1"/>
  <c r="AT70" i="1"/>
  <c r="AS70" i="1"/>
  <c r="AP70" i="1"/>
  <c r="AO70" i="1"/>
  <c r="AN70" i="1"/>
  <c r="AM70" i="1"/>
  <c r="AL70" i="1"/>
  <c r="AK70" i="1"/>
  <c r="H69" i="2"/>
  <c r="G69" i="2"/>
  <c r="F69" i="2"/>
  <c r="AP69" i="1"/>
  <c r="AO69" i="1"/>
  <c r="AN69" i="1"/>
  <c r="AM69" i="1"/>
  <c r="AL69" i="1"/>
  <c r="AK69" i="1"/>
  <c r="AT67" i="1"/>
  <c r="AS67" i="1"/>
  <c r="AR67" i="1"/>
  <c r="AQ67" i="1"/>
  <c r="AP67" i="1"/>
  <c r="AO67" i="1"/>
  <c r="AN67" i="1"/>
  <c r="AM67" i="1"/>
  <c r="AL67" i="1"/>
  <c r="AK67" i="1"/>
  <c r="G66" i="2"/>
  <c r="AK66" i="2" s="1"/>
  <c r="F66" i="2"/>
  <c r="AJ66" i="2" s="1"/>
  <c r="E66" i="2"/>
  <c r="AI66" i="2" s="1"/>
  <c r="AP66" i="1"/>
  <c r="AO66" i="1"/>
  <c r="AN66" i="1"/>
  <c r="AM66" i="1"/>
  <c r="AL66" i="1"/>
  <c r="AK66" i="1"/>
  <c r="I65" i="2"/>
  <c r="H65" i="2"/>
  <c r="E65" i="2"/>
  <c r="AQ65" i="1"/>
  <c r="AP65" i="1"/>
  <c r="AO65" i="1"/>
  <c r="AN65" i="1"/>
  <c r="AM65" i="1"/>
  <c r="AL65" i="1"/>
  <c r="AK65" i="1"/>
  <c r="AS64" i="1"/>
  <c r="AR64" i="1"/>
  <c r="AP64" i="1"/>
  <c r="AO64" i="1"/>
  <c r="AN64" i="1"/>
  <c r="AM64" i="1"/>
  <c r="AL64" i="1"/>
  <c r="AK64" i="1"/>
  <c r="G63" i="2"/>
  <c r="AS63" i="2" s="1"/>
  <c r="AQ64" i="1"/>
  <c r="AP63" i="1"/>
  <c r="AO63" i="1"/>
  <c r="AN63" i="1"/>
  <c r="AM63" i="1"/>
  <c r="AL63" i="1"/>
  <c r="AK63" i="1"/>
  <c r="G62" i="2"/>
  <c r="F62" i="2"/>
  <c r="AU62" i="1"/>
  <c r="AT62" i="1"/>
  <c r="AS62" i="1"/>
  <c r="AR62" i="1"/>
  <c r="AQ62" i="1"/>
  <c r="AP62" i="1"/>
  <c r="AO62" i="1"/>
  <c r="AN62" i="1"/>
  <c r="AM62" i="1"/>
  <c r="AL62" i="1"/>
  <c r="AK62" i="1"/>
  <c r="I61" i="2"/>
  <c r="H61" i="2"/>
  <c r="F61" i="2"/>
  <c r="E61" i="2"/>
  <c r="AP61" i="1"/>
  <c r="AO61" i="1"/>
  <c r="AN61" i="1"/>
  <c r="AM61" i="1"/>
  <c r="AL61" i="1"/>
  <c r="AK61" i="1"/>
  <c r="AQ59" i="1"/>
  <c r="AP59" i="1"/>
  <c r="AO59" i="1"/>
  <c r="AN59" i="1"/>
  <c r="AM59" i="1"/>
  <c r="AL59" i="1"/>
  <c r="AK59" i="1"/>
  <c r="H58" i="2"/>
  <c r="AL58" i="2" s="1"/>
  <c r="E58" i="2"/>
  <c r="AI58" i="2" s="1"/>
  <c r="AR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I56" i="2"/>
  <c r="AM56" i="2" s="1"/>
  <c r="H56" i="2"/>
  <c r="AL56" i="2" s="1"/>
  <c r="G56" i="2"/>
  <c r="AS56" i="2" s="1"/>
  <c r="F56" i="2"/>
  <c r="E56" i="2"/>
  <c r="AI56" i="2" s="1"/>
  <c r="AB55" i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D55" i="1"/>
  <c r="E55" i="1" s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AP47" i="1"/>
  <c r="AO47" i="1"/>
  <c r="AN47" i="1"/>
  <c r="AM47" i="1"/>
  <c r="N47" i="1"/>
  <c r="AL47" i="1" s="1"/>
  <c r="M47" i="1"/>
  <c r="AT46" i="1"/>
  <c r="AS46" i="1"/>
  <c r="AQ46" i="1"/>
  <c r="AP46" i="1"/>
  <c r="AO46" i="1"/>
  <c r="AN46" i="1"/>
  <c r="AM46" i="1"/>
  <c r="I45" i="2"/>
  <c r="H45" i="2"/>
  <c r="AL45" i="2" s="1"/>
  <c r="G45" i="2"/>
  <c r="F45" i="2"/>
  <c r="N46" i="1"/>
  <c r="M46" i="1"/>
  <c r="AP45" i="1"/>
  <c r="P20" i="3" s="1"/>
  <c r="AO45" i="1"/>
  <c r="AN45" i="1"/>
  <c r="AM45" i="1"/>
  <c r="AJ45" i="1"/>
  <c r="AI45" i="1"/>
  <c r="AH45" i="1"/>
  <c r="AG45" i="1"/>
  <c r="AF45" i="1"/>
  <c r="AE45" i="1"/>
  <c r="AD45" i="1"/>
  <c r="N45" i="1"/>
  <c r="AU44" i="1"/>
  <c r="AT44" i="1"/>
  <c r="AS44" i="1"/>
  <c r="AP44" i="1"/>
  <c r="AO44" i="1"/>
  <c r="AN44" i="1"/>
  <c r="AM44" i="1"/>
  <c r="AL44" i="1"/>
  <c r="AK44" i="1"/>
  <c r="H43" i="2"/>
  <c r="G43" i="2"/>
  <c r="AK43" i="2" s="1"/>
  <c r="E43" i="2"/>
  <c r="L43" i="2" s="1"/>
  <c r="I42" i="2"/>
  <c r="H42" i="2"/>
  <c r="G42" i="2"/>
  <c r="F42" i="2"/>
  <c r="E42" i="2"/>
  <c r="AU42" i="1"/>
  <c r="AP42" i="1"/>
  <c r="AN42" i="1"/>
  <c r="AM42" i="1"/>
  <c r="AL42" i="1"/>
  <c r="AK42" i="1"/>
  <c r="I41" i="2"/>
  <c r="AU41" i="2" s="1"/>
  <c r="AS42" i="1"/>
  <c r="AQ42" i="1"/>
  <c r="AU41" i="1"/>
  <c r="AS41" i="1"/>
  <c r="AQ41" i="1"/>
  <c r="AP41" i="1"/>
  <c r="P19" i="3" s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G19" i="3"/>
  <c r="AT41" i="1"/>
  <c r="AP40" i="1"/>
  <c r="P18" i="3" s="1"/>
  <c r="AO40" i="1"/>
  <c r="AN40" i="1"/>
  <c r="AM40" i="1"/>
  <c r="AJ40" i="1"/>
  <c r="AC40" i="1"/>
  <c r="M40" i="1"/>
  <c r="L40" i="1"/>
  <c r="K40" i="1"/>
  <c r="AI40" i="1" s="1"/>
  <c r="J40" i="1"/>
  <c r="I40" i="1"/>
  <c r="AF40" i="1" s="1"/>
  <c r="H40" i="1"/>
  <c r="G40" i="1"/>
  <c r="F40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AQ33" i="1"/>
  <c r="AP33" i="1"/>
  <c r="P14" i="3" s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G32" i="2"/>
  <c r="AR33" i="1"/>
  <c r="E32" i="2"/>
  <c r="AQ32" i="2" s="1"/>
  <c r="AP32" i="1"/>
  <c r="P13" i="3" s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AQ32" i="1"/>
  <c r="AP31" i="1"/>
  <c r="P12" i="3" s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AP30" i="1"/>
  <c r="P11" i="3" s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I26" i="2"/>
  <c r="G26" i="2"/>
  <c r="E26" i="2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I25" i="2"/>
  <c r="H25" i="2"/>
  <c r="P25" i="2" s="1"/>
  <c r="G25" i="2"/>
  <c r="F25" i="2"/>
  <c r="E25" i="2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I23" i="2"/>
  <c r="H23" i="2"/>
  <c r="AS24" i="1"/>
  <c r="F23" i="2"/>
  <c r="AJ23" i="2" s="1"/>
  <c r="E23" i="2"/>
  <c r="AU23" i="1"/>
  <c r="AR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I22" i="2"/>
  <c r="AM22" i="2" s="1"/>
  <c r="AT23" i="1"/>
  <c r="G22" i="2"/>
  <c r="AK22" i="2" s="1"/>
  <c r="F22" i="2"/>
  <c r="AJ22" i="2" s="1"/>
  <c r="E22" i="2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AS21" i="1"/>
  <c r="AQ21" i="1"/>
  <c r="AU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I19" i="2"/>
  <c r="AM19" i="2" s="1"/>
  <c r="H19" i="2"/>
  <c r="F19" i="2"/>
  <c r="E19" i="2"/>
  <c r="AU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I18" i="2"/>
  <c r="AT19" i="1"/>
  <c r="F18" i="2"/>
  <c r="E18" i="2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I17" i="2"/>
  <c r="H17" i="2"/>
  <c r="AL17" i="2" s="1"/>
  <c r="G17" i="2"/>
  <c r="AS17" i="2" s="1"/>
  <c r="E17" i="2"/>
  <c r="AU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H15" i="2"/>
  <c r="AL15" i="2" s="1"/>
  <c r="G15" i="2"/>
  <c r="AQ16" i="1"/>
  <c r="AP15" i="1"/>
  <c r="E14" i="2"/>
  <c r="AQ14" i="2" s="1"/>
  <c r="AU14" i="1"/>
  <c r="AS14" i="1"/>
  <c r="AP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I13" i="2"/>
  <c r="AP13" i="1"/>
  <c r="P10" i="3" s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AP8" i="1"/>
  <c r="P8" i="3" s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AB6" i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R14" i="3" l="1"/>
  <c r="W14" i="3"/>
  <c r="O141" i="2"/>
  <c r="AH147" i="2"/>
  <c r="K152" i="2"/>
  <c r="AM143" i="2"/>
  <c r="AH153" i="2"/>
  <c r="AP137" i="2"/>
  <c r="M110" i="2"/>
  <c r="AH116" i="2"/>
  <c r="O119" i="2"/>
  <c r="K125" i="2"/>
  <c r="AP121" i="2"/>
  <c r="AH60" i="2"/>
  <c r="AP60" i="2"/>
  <c r="AH71" i="2"/>
  <c r="AH76" i="2"/>
  <c r="K72" i="2"/>
  <c r="AP70" i="2"/>
  <c r="AM41" i="2"/>
  <c r="AH14" i="2"/>
  <c r="AI14" i="2"/>
  <c r="AP8" i="2"/>
  <c r="AH44" i="2"/>
  <c r="AL22" i="2"/>
  <c r="AH32" i="2"/>
  <c r="L19" i="2"/>
  <c r="M23" i="2"/>
  <c r="AR23" i="2"/>
  <c r="K89" i="2"/>
  <c r="AG91" i="2"/>
  <c r="AH89" i="2"/>
  <c r="AH91" i="2"/>
  <c r="K61" i="2"/>
  <c r="AI43" i="2"/>
  <c r="AP30" i="2"/>
  <c r="K148" i="2"/>
  <c r="AO7" i="2"/>
  <c r="K29" i="2"/>
  <c r="AG40" i="2"/>
  <c r="K112" i="2"/>
  <c r="M19" i="2"/>
  <c r="AH40" i="2"/>
  <c r="AS43" i="2"/>
  <c r="AP62" i="2"/>
  <c r="AG156" i="2"/>
  <c r="K25" i="2"/>
  <c r="AH62" i="2"/>
  <c r="AG22" i="2"/>
  <c r="AQ43" i="2"/>
  <c r="AT113" i="2"/>
  <c r="AO140" i="2"/>
  <c r="L14" i="2"/>
  <c r="E31" i="2"/>
  <c r="AQ31" i="2" s="1"/>
  <c r="AI78" i="2"/>
  <c r="AH115" i="2"/>
  <c r="K117" i="2"/>
  <c r="AO135" i="2"/>
  <c r="AG144" i="2"/>
  <c r="K150" i="2"/>
  <c r="AG151" i="2"/>
  <c r="L61" i="2"/>
  <c r="K92" i="2"/>
  <c r="K105" i="2"/>
  <c r="AG108" i="2"/>
  <c r="AH15" i="2"/>
  <c r="AP40" i="2"/>
  <c r="AP144" i="2"/>
  <c r="AG146" i="2"/>
  <c r="AG90" i="2"/>
  <c r="AG110" i="2"/>
  <c r="AO115" i="2"/>
  <c r="P23" i="2"/>
  <c r="AG61" i="2"/>
  <c r="AG75" i="2"/>
  <c r="AG92" i="2"/>
  <c r="K137" i="2"/>
  <c r="AG25" i="2"/>
  <c r="AG42" i="2"/>
  <c r="AO64" i="2"/>
  <c r="AG66" i="2"/>
  <c r="AH92" i="2"/>
  <c r="AG105" i="2"/>
  <c r="AG148" i="2"/>
  <c r="AG29" i="2"/>
  <c r="AO56" i="2"/>
  <c r="AP61" i="2"/>
  <c r="AJ105" i="2"/>
  <c r="AG112" i="2"/>
  <c r="AR16" i="1"/>
  <c r="AH29" i="2"/>
  <c r="AG39" i="2"/>
  <c r="AQ56" i="2"/>
  <c r="AG71" i="2"/>
  <c r="AP112" i="2"/>
  <c r="AP105" i="2"/>
  <c r="K111" i="2"/>
  <c r="AS112" i="2"/>
  <c r="K116" i="2"/>
  <c r="AG40" i="1"/>
  <c r="K26" i="2"/>
  <c r="K103" i="2"/>
  <c r="AO119" i="2"/>
  <c r="K68" i="2"/>
  <c r="K144" i="2"/>
  <c r="F32" i="2"/>
  <c r="AR32" i="2" s="1"/>
  <c r="AU46" i="1"/>
  <c r="K30" i="2"/>
  <c r="K108" i="2"/>
  <c r="AG145" i="2"/>
  <c r="AH157" i="2"/>
  <c r="K7" i="2"/>
  <c r="O22" i="2"/>
  <c r="K124" i="2"/>
  <c r="AI75" i="2"/>
  <c r="AQ75" i="2"/>
  <c r="L75" i="2"/>
  <c r="M75" i="2"/>
  <c r="AE40" i="1"/>
  <c r="AD40" i="1"/>
  <c r="P111" i="2"/>
  <c r="AU111" i="2"/>
  <c r="AM111" i="2"/>
  <c r="AR20" i="1"/>
  <c r="AS66" i="1"/>
  <c r="AQ35" i="1"/>
  <c r="E34" i="2"/>
  <c r="AJ147" i="2"/>
  <c r="M147" i="2"/>
  <c r="AR147" i="2"/>
  <c r="AU13" i="2"/>
  <c r="AM13" i="2"/>
  <c r="I139" i="2"/>
  <c r="AU140" i="1"/>
  <c r="I124" i="2"/>
  <c r="AS59" i="1"/>
  <c r="G58" i="2"/>
  <c r="H105" i="2"/>
  <c r="AU106" i="1"/>
  <c r="AT106" i="1"/>
  <c r="K18" i="2"/>
  <c r="AU25" i="2"/>
  <c r="AM25" i="2"/>
  <c r="AT26" i="1"/>
  <c r="G70" i="2"/>
  <c r="AS71" i="1"/>
  <c r="AG35" i="2"/>
  <c r="AO35" i="2"/>
  <c r="AU26" i="1"/>
  <c r="I58" i="2"/>
  <c r="AU59" i="1"/>
  <c r="K35" i="2"/>
  <c r="AH35" i="2"/>
  <c r="AP35" i="2"/>
  <c r="AJ19" i="2"/>
  <c r="AR19" i="2"/>
  <c r="I140" i="2"/>
  <c r="AU141" i="1"/>
  <c r="AK26" i="2"/>
  <c r="AS26" i="2"/>
  <c r="AL46" i="1"/>
  <c r="AK46" i="1"/>
  <c r="AM43" i="2"/>
  <c r="P43" i="2"/>
  <c r="AU43" i="2"/>
  <c r="AH65" i="2"/>
  <c r="K65" i="2"/>
  <c r="AP65" i="2"/>
  <c r="AQ139" i="2"/>
  <c r="AI139" i="2"/>
  <c r="L139" i="2"/>
  <c r="G143" i="2"/>
  <c r="AS144" i="1"/>
  <c r="AH56" i="2"/>
  <c r="K56" i="2"/>
  <c r="AP56" i="2"/>
  <c r="AQ22" i="2"/>
  <c r="L22" i="2"/>
  <c r="I75" i="2"/>
  <c r="AU76" i="1"/>
  <c r="AS15" i="1"/>
  <c r="G14" i="2"/>
  <c r="G75" i="2"/>
  <c r="O75" i="2" s="1"/>
  <c r="AK71" i="2"/>
  <c r="N71" i="2"/>
  <c r="AS71" i="2"/>
  <c r="AS26" i="1"/>
  <c r="AG43" i="2"/>
  <c r="AO43" i="2"/>
  <c r="K43" i="2"/>
  <c r="F26" i="2"/>
  <c r="N26" i="2" s="1"/>
  <c r="AR27" i="1"/>
  <c r="AS15" i="2"/>
  <c r="AK15" i="2"/>
  <c r="AQ18" i="2"/>
  <c r="L18" i="2"/>
  <c r="AI18" i="2"/>
  <c r="AT116" i="2"/>
  <c r="AL116" i="2"/>
  <c r="O116" i="2"/>
  <c r="AK150" i="2"/>
  <c r="AS150" i="2"/>
  <c r="N150" i="2"/>
  <c r="M18" i="2"/>
  <c r="AR18" i="2"/>
  <c r="AJ18" i="2"/>
  <c r="AQ19" i="1"/>
  <c r="M42" i="2"/>
  <c r="AR42" i="2"/>
  <c r="AJ42" i="2"/>
  <c r="I76" i="2"/>
  <c r="AU77" i="1"/>
  <c r="O150" i="2"/>
  <c r="F144" i="2"/>
  <c r="AR145" i="1"/>
  <c r="AQ76" i="1"/>
  <c r="AR76" i="1"/>
  <c r="F141" i="2"/>
  <c r="AR142" i="1"/>
  <c r="AS142" i="1"/>
  <c r="T33" i="3"/>
  <c r="S33" i="3"/>
  <c r="F140" i="2"/>
  <c r="AS141" i="1"/>
  <c r="AR141" i="1"/>
  <c r="G146" i="2"/>
  <c r="O146" i="2" s="1"/>
  <c r="AS147" i="1"/>
  <c r="AR15" i="1"/>
  <c r="F14" i="2"/>
  <c r="M11" i="3"/>
  <c r="M8" i="3" s="1"/>
  <c r="M12" i="3"/>
  <c r="AS25" i="2"/>
  <c r="N25" i="2"/>
  <c r="AK25" i="2"/>
  <c r="E70" i="2"/>
  <c r="AQ71" i="1"/>
  <c r="G105" i="2"/>
  <c r="AU125" i="1"/>
  <c r="I14" i="2"/>
  <c r="AU15" i="1"/>
  <c r="AS27" i="1"/>
  <c r="I66" i="2"/>
  <c r="AU67" i="1"/>
  <c r="AS117" i="1"/>
  <c r="AI22" i="2"/>
  <c r="G18" i="2"/>
  <c r="AS19" i="1"/>
  <c r="AR19" i="1"/>
  <c r="H63" i="2"/>
  <c r="AT64" i="1"/>
  <c r="AM72" i="2"/>
  <c r="AU72" i="2"/>
  <c r="P72" i="2"/>
  <c r="F90" i="2"/>
  <c r="N90" i="2" s="1"/>
  <c r="AR91" i="1"/>
  <c r="AS91" i="1"/>
  <c r="AP31" i="2"/>
  <c r="K31" i="2"/>
  <c r="AH31" i="2"/>
  <c r="F65" i="2"/>
  <c r="AR66" i="1"/>
  <c r="AU110" i="2"/>
  <c r="P110" i="2"/>
  <c r="AM110" i="2"/>
  <c r="G144" i="2"/>
  <c r="AS145" i="1"/>
  <c r="AS142" i="2"/>
  <c r="AK142" i="2"/>
  <c r="N142" i="2"/>
  <c r="U41" i="3"/>
  <c r="T41" i="3"/>
  <c r="AS106" i="1"/>
  <c r="AO18" i="2"/>
  <c r="AG18" i="2"/>
  <c r="AS116" i="2"/>
  <c r="N116" i="2"/>
  <c r="AK116" i="2"/>
  <c r="AP7" i="2"/>
  <c r="AH7" i="2"/>
  <c r="L42" i="2"/>
  <c r="AI42" i="2"/>
  <c r="AQ42" i="2"/>
  <c r="I63" i="2"/>
  <c r="AU64" i="1"/>
  <c r="AT144" i="1"/>
  <c r="AT145" i="1"/>
  <c r="AI31" i="2"/>
  <c r="E111" i="2"/>
  <c r="M111" i="2" s="1"/>
  <c r="AQ112" i="1"/>
  <c r="G19" i="2"/>
  <c r="O19" i="2" s="1"/>
  <c r="AS20" i="1"/>
  <c r="AR112" i="1"/>
  <c r="E141" i="2"/>
  <c r="AQ142" i="1"/>
  <c r="E62" i="2"/>
  <c r="AR63" i="1"/>
  <c r="AQ63" i="1"/>
  <c r="C11" i="3"/>
  <c r="C8" i="3" s="1"/>
  <c r="C12" i="3"/>
  <c r="AJ89" i="2"/>
  <c r="M89" i="2"/>
  <c r="AR89" i="2"/>
  <c r="H140" i="2"/>
  <c r="AT141" i="1"/>
  <c r="H62" i="2"/>
  <c r="AU63" i="1"/>
  <c r="AT63" i="1"/>
  <c r="AT15" i="1"/>
  <c r="H14" i="2"/>
  <c r="F58" i="2"/>
  <c r="AR59" i="1"/>
  <c r="O25" i="2"/>
  <c r="AT25" i="2"/>
  <c r="AL25" i="2"/>
  <c r="H106" i="2"/>
  <c r="AT107" i="1"/>
  <c r="G65" i="2"/>
  <c r="O65" i="2" s="1"/>
  <c r="H10" i="3"/>
  <c r="I12" i="2"/>
  <c r="AU13" i="1"/>
  <c r="AT117" i="1"/>
  <c r="AU18" i="2"/>
  <c r="AM18" i="2"/>
  <c r="H90" i="2"/>
  <c r="AT91" i="1"/>
  <c r="AU111" i="1"/>
  <c r="AI26" i="2"/>
  <c r="AQ26" i="2"/>
  <c r="AL45" i="1"/>
  <c r="AK45" i="1"/>
  <c r="N62" i="2"/>
  <c r="AS62" i="2"/>
  <c r="AK62" i="2"/>
  <c r="AI65" i="2"/>
  <c r="AQ65" i="2"/>
  <c r="L65" i="2"/>
  <c r="F70" i="2"/>
  <c r="AR71" i="1"/>
  <c r="AL75" i="2"/>
  <c r="AT75" i="2"/>
  <c r="L89" i="2"/>
  <c r="AQ89" i="2"/>
  <c r="AI89" i="2"/>
  <c r="AU90" i="2"/>
  <c r="AM90" i="2"/>
  <c r="AS106" i="2"/>
  <c r="AK106" i="2"/>
  <c r="N106" i="2"/>
  <c r="G111" i="2"/>
  <c r="O111" i="2" s="1"/>
  <c r="AS112" i="1"/>
  <c r="AT112" i="1"/>
  <c r="AI117" i="2"/>
  <c r="AQ117" i="2"/>
  <c r="H142" i="2"/>
  <c r="AT143" i="1"/>
  <c r="H143" i="2"/>
  <c r="AU144" i="1"/>
  <c r="F146" i="2"/>
  <c r="AR147" i="1"/>
  <c r="AI147" i="2"/>
  <c r="L147" i="2"/>
  <c r="AQ147" i="2"/>
  <c r="AS148" i="1"/>
  <c r="AJ75" i="2"/>
  <c r="AR75" i="2"/>
  <c r="Q40" i="3"/>
  <c r="AT71" i="1"/>
  <c r="L107" i="2"/>
  <c r="AI107" i="2"/>
  <c r="AQ107" i="2"/>
  <c r="I145" i="2"/>
  <c r="AU146" i="1"/>
  <c r="AL19" i="2"/>
  <c r="H26" i="2"/>
  <c r="P26" i="2" s="1"/>
  <c r="AT27" i="1"/>
  <c r="AU27" i="1"/>
  <c r="N42" i="2"/>
  <c r="AS42" i="2"/>
  <c r="AL65" i="2"/>
  <c r="I70" i="2"/>
  <c r="AU71" i="1"/>
  <c r="P78" i="2"/>
  <c r="AU78" i="2"/>
  <c r="AM78" i="2"/>
  <c r="H89" i="2"/>
  <c r="F107" i="2"/>
  <c r="AQ108" i="1"/>
  <c r="O117" i="2"/>
  <c r="AT117" i="2"/>
  <c r="AL117" i="2"/>
  <c r="AU118" i="1"/>
  <c r="P146" i="2"/>
  <c r="AU146" i="2"/>
  <c r="AM146" i="2"/>
  <c r="AT147" i="2"/>
  <c r="O147" i="2"/>
  <c r="AL147" i="2"/>
  <c r="AQ148" i="2"/>
  <c r="L148" i="2"/>
  <c r="AI148" i="2"/>
  <c r="AQ152" i="1"/>
  <c r="AT20" i="1"/>
  <c r="AU26" i="2"/>
  <c r="AM26" i="2"/>
  <c r="D19" i="3"/>
  <c r="E40" i="2"/>
  <c r="AR41" i="1"/>
  <c r="AL42" i="2"/>
  <c r="AT42" i="2"/>
  <c r="O42" i="2"/>
  <c r="M45" i="2"/>
  <c r="AJ45" i="2"/>
  <c r="AK47" i="1"/>
  <c r="AM65" i="2"/>
  <c r="P65" i="2"/>
  <c r="E69" i="2"/>
  <c r="AQ70" i="1"/>
  <c r="N74" i="2"/>
  <c r="AS74" i="2"/>
  <c r="AK74" i="2"/>
  <c r="AQ77" i="2"/>
  <c r="L77" i="2"/>
  <c r="AI77" i="2"/>
  <c r="I89" i="2"/>
  <c r="F92" i="2"/>
  <c r="N107" i="2"/>
  <c r="AS107" i="2"/>
  <c r="AR108" i="1"/>
  <c r="AR114" i="1"/>
  <c r="AQ114" i="1"/>
  <c r="E113" i="2"/>
  <c r="I117" i="2"/>
  <c r="AQ118" i="2"/>
  <c r="L118" i="2"/>
  <c r="AI118" i="2"/>
  <c r="AQ119" i="1"/>
  <c r="AT151" i="1"/>
  <c r="AO20" i="2"/>
  <c r="AP34" i="2"/>
  <c r="AH34" i="2"/>
  <c r="AH64" i="2"/>
  <c r="K64" i="2"/>
  <c r="F19" i="3"/>
  <c r="AK118" i="2"/>
  <c r="AS118" i="2"/>
  <c r="N118" i="2"/>
  <c r="AS119" i="1"/>
  <c r="F151" i="2"/>
  <c r="AR152" i="1"/>
  <c r="AG17" i="2"/>
  <c r="AO17" i="2"/>
  <c r="AT65" i="2"/>
  <c r="AP74" i="2"/>
  <c r="K74" i="2"/>
  <c r="AH74" i="2"/>
  <c r="L106" i="2"/>
  <c r="AQ106" i="2"/>
  <c r="AI106" i="2"/>
  <c r="AA11" i="3"/>
  <c r="L151" i="2"/>
  <c r="AQ151" i="2"/>
  <c r="O45" i="2"/>
  <c r="AT45" i="2"/>
  <c r="AM92" i="2"/>
  <c r="AU92" i="2"/>
  <c r="F152" i="2"/>
  <c r="AR153" i="1"/>
  <c r="E15" i="2"/>
  <c r="AP23" i="2"/>
  <c r="AH23" i="2"/>
  <c r="K23" i="2"/>
  <c r="E74" i="2"/>
  <c r="M74" i="2" s="1"/>
  <c r="M106" i="2"/>
  <c r="AR106" i="2"/>
  <c r="AJ106" i="2"/>
  <c r="AH119" i="2"/>
  <c r="AP119" i="2"/>
  <c r="K119" i="2"/>
  <c r="F43" i="2"/>
  <c r="N43" i="2" s="1"/>
  <c r="AR44" i="1"/>
  <c r="AL77" i="2"/>
  <c r="O77" i="2"/>
  <c r="AT77" i="2"/>
  <c r="AQ115" i="1"/>
  <c r="H118" i="2"/>
  <c r="AT119" i="1"/>
  <c r="O15" i="2"/>
  <c r="AT15" i="2"/>
  <c r="AS16" i="1"/>
  <c r="N40" i="1"/>
  <c r="I40" i="2"/>
  <c r="H19" i="3"/>
  <c r="I69" i="2"/>
  <c r="AM77" i="2"/>
  <c r="P77" i="2"/>
  <c r="AU77" i="2"/>
  <c r="AJ108" i="2"/>
  <c r="AR108" i="2"/>
  <c r="M108" i="2"/>
  <c r="N114" i="2"/>
  <c r="AR115" i="1"/>
  <c r="E120" i="2"/>
  <c r="AQ121" i="1"/>
  <c r="AR139" i="1"/>
  <c r="H149" i="2"/>
  <c r="AT150" i="1"/>
  <c r="AL150" i="2"/>
  <c r="AT150" i="2"/>
  <c r="G152" i="2"/>
  <c r="O152" i="2" s="1"/>
  <c r="AS153" i="1"/>
  <c r="M156" i="2"/>
  <c r="AR156" i="2"/>
  <c r="F15" i="2"/>
  <c r="N15" i="2" s="1"/>
  <c r="AT19" i="2"/>
  <c r="AR74" i="2"/>
  <c r="AJ74" i="2"/>
  <c r="AL111" i="2"/>
  <c r="AT111" i="2"/>
  <c r="L117" i="2"/>
  <c r="AQ119" i="2"/>
  <c r="AI119" i="2"/>
  <c r="L119" i="2"/>
  <c r="P61" i="2"/>
  <c r="M114" i="2"/>
  <c r="AJ114" i="2"/>
  <c r="AR114" i="2"/>
  <c r="AT16" i="1"/>
  <c r="AT21" i="1"/>
  <c r="H20" i="2"/>
  <c r="AU21" i="1"/>
  <c r="AQ23" i="1"/>
  <c r="AR42" i="1"/>
  <c r="F41" i="2"/>
  <c r="AT43" i="2"/>
  <c r="O43" i="2"/>
  <c r="AL43" i="2"/>
  <c r="AR65" i="1"/>
  <c r="F64" i="2"/>
  <c r="AU91" i="1"/>
  <c r="G108" i="2"/>
  <c r="O108" i="2" s="1"/>
  <c r="AS109" i="1"/>
  <c r="AR109" i="1"/>
  <c r="O114" i="2"/>
  <c r="AS115" i="1"/>
  <c r="F119" i="2"/>
  <c r="N119" i="2" s="1"/>
  <c r="AR120" i="1"/>
  <c r="AS120" i="1"/>
  <c r="F120" i="2"/>
  <c r="N120" i="2" s="1"/>
  <c r="AR121" i="1"/>
  <c r="I149" i="2"/>
  <c r="AU150" i="1"/>
  <c r="I151" i="2"/>
  <c r="AU152" i="1"/>
  <c r="G156" i="2"/>
  <c r="O156" i="2" s="1"/>
  <c r="AT157" i="1"/>
  <c r="AS157" i="1"/>
  <c r="AH12" i="2"/>
  <c r="K12" i="2"/>
  <c r="AU19" i="2"/>
  <c r="AO32" i="2"/>
  <c r="AG32" i="2"/>
  <c r="AM61" i="2"/>
  <c r="AH63" i="2"/>
  <c r="AP63" i="2"/>
  <c r="K63" i="2"/>
  <c r="H74" i="2"/>
  <c r="I106" i="2"/>
  <c r="AS65" i="1"/>
  <c r="G64" i="2"/>
  <c r="AT76" i="1"/>
  <c r="E91" i="2"/>
  <c r="AM114" i="2"/>
  <c r="P114" i="2"/>
  <c r="AU114" i="2"/>
  <c r="AR121" i="2"/>
  <c r="M121" i="2"/>
  <c r="AJ121" i="2"/>
  <c r="E138" i="2"/>
  <c r="AQ139" i="1"/>
  <c r="AP9" i="2"/>
  <c r="K9" i="2"/>
  <c r="AH9" i="2"/>
  <c r="P15" i="2"/>
  <c r="AU15" i="2"/>
  <c r="AI41" i="2"/>
  <c r="AQ41" i="2"/>
  <c r="L41" i="2"/>
  <c r="AI63" i="2"/>
  <c r="L63" i="2"/>
  <c r="AT66" i="2"/>
  <c r="AL66" i="2"/>
  <c r="AU74" i="2"/>
  <c r="AM74" i="2"/>
  <c r="E19" i="3"/>
  <c r="E150" i="2"/>
  <c r="AQ151" i="1"/>
  <c r="L64" i="2"/>
  <c r="AI64" i="2"/>
  <c r="H40" i="2"/>
  <c r="G10" i="3"/>
  <c r="H12" i="2"/>
  <c r="AR22" i="2"/>
  <c r="M22" i="2"/>
  <c r="AR91" i="2"/>
  <c r="AJ91" i="2"/>
  <c r="AU115" i="1"/>
  <c r="E13" i="2"/>
  <c r="F17" i="2"/>
  <c r="AR18" i="1"/>
  <c r="AS22" i="2"/>
  <c r="N22" i="2"/>
  <c r="AK56" i="2"/>
  <c r="N56" i="2"/>
  <c r="AS57" i="1"/>
  <c r="I64" i="2"/>
  <c r="AU65" i="1"/>
  <c r="AJ71" i="2"/>
  <c r="M71" i="2"/>
  <c r="AR71" i="2"/>
  <c r="AI76" i="2"/>
  <c r="AQ76" i="2"/>
  <c r="AR90" i="1"/>
  <c r="G91" i="2"/>
  <c r="AS92" i="1"/>
  <c r="AJ109" i="2"/>
  <c r="AQ110" i="2"/>
  <c r="L110" i="2"/>
  <c r="AI110" i="2"/>
  <c r="I120" i="2"/>
  <c r="AU121" i="1"/>
  <c r="G137" i="2"/>
  <c r="AS138" i="1"/>
  <c r="AS138" i="2"/>
  <c r="AK138" i="2"/>
  <c r="AS140" i="1"/>
  <c r="K14" i="2"/>
  <c r="E20" i="2"/>
  <c r="AU61" i="2"/>
  <c r="AT72" i="2"/>
  <c r="AL72" i="2"/>
  <c r="O72" i="2"/>
  <c r="AK114" i="2"/>
  <c r="AJ77" i="2"/>
  <c r="AR77" i="2"/>
  <c r="M77" i="2"/>
  <c r="AU107" i="2"/>
  <c r="AM107" i="2"/>
  <c r="AI114" i="2"/>
  <c r="L114" i="2"/>
  <c r="AR21" i="1"/>
  <c r="AQ17" i="2"/>
  <c r="L17" i="2"/>
  <c r="AT65" i="1"/>
  <c r="L71" i="2"/>
  <c r="AQ71" i="2"/>
  <c r="AI71" i="2"/>
  <c r="AQ90" i="1"/>
  <c r="F138" i="2"/>
  <c r="N138" i="2" s="1"/>
  <c r="I153" i="2"/>
  <c r="AU154" i="1"/>
  <c r="K139" i="2"/>
  <c r="AH139" i="2"/>
  <c r="AP139" i="2"/>
  <c r="F13" i="2"/>
  <c r="AQ14" i="1"/>
  <c r="AS18" i="1"/>
  <c r="L23" i="2"/>
  <c r="AQ23" i="2"/>
  <c r="AR24" i="1"/>
  <c r="O56" i="2"/>
  <c r="AT56" i="2"/>
  <c r="AT57" i="1"/>
  <c r="AT66" i="1"/>
  <c r="AS72" i="1"/>
  <c r="AQ75" i="1"/>
  <c r="F76" i="2"/>
  <c r="AR77" i="1"/>
  <c r="H91" i="2"/>
  <c r="AT92" i="1"/>
  <c r="AJ110" i="2"/>
  <c r="AR110" i="2"/>
  <c r="AQ111" i="1"/>
  <c r="F115" i="2"/>
  <c r="N115" i="2" s="1"/>
  <c r="AR116" i="1"/>
  <c r="F124" i="2"/>
  <c r="H137" i="2"/>
  <c r="P137" i="2" s="1"/>
  <c r="AT138" i="1"/>
  <c r="AL138" i="2"/>
  <c r="AT138" i="2"/>
  <c r="O138" i="2"/>
  <c r="AR139" i="2"/>
  <c r="AJ139" i="2"/>
  <c r="AT140" i="1"/>
  <c r="F20" i="2"/>
  <c r="L26" i="2"/>
  <c r="K32" i="2"/>
  <c r="L76" i="2"/>
  <c r="AR109" i="2"/>
  <c r="AL114" i="2"/>
  <c r="AT146" i="2"/>
  <c r="N45" i="2"/>
  <c r="AK45" i="2"/>
  <c r="AS45" i="2"/>
  <c r="AJ118" i="2"/>
  <c r="AR118" i="2"/>
  <c r="M118" i="2"/>
  <c r="G77" i="2"/>
  <c r="AS78" i="1"/>
  <c r="H92" i="2"/>
  <c r="P92" i="2" s="1"/>
  <c r="AT93" i="1"/>
  <c r="AT69" i="2"/>
  <c r="O69" i="2"/>
  <c r="AL69" i="2"/>
  <c r="AS23" i="1"/>
  <c r="AT42" i="1"/>
  <c r="H41" i="2"/>
  <c r="AM156" i="2"/>
  <c r="P156" i="2"/>
  <c r="AU156" i="2"/>
  <c r="G13" i="2"/>
  <c r="AR14" i="1"/>
  <c r="AT17" i="2"/>
  <c r="O17" i="2"/>
  <c r="AT18" i="1"/>
  <c r="P22" i="2"/>
  <c r="AU22" i="2"/>
  <c r="L25" i="2"/>
  <c r="AQ25" i="2"/>
  <c r="AI25" i="2"/>
  <c r="AS32" i="2"/>
  <c r="AK32" i="2"/>
  <c r="AS33" i="1"/>
  <c r="P56" i="2"/>
  <c r="AU56" i="2"/>
  <c r="AU57" i="1"/>
  <c r="AU66" i="1"/>
  <c r="AT71" i="2"/>
  <c r="O71" i="2"/>
  <c r="G76" i="2"/>
  <c r="O76" i="2" s="1"/>
  <c r="AS77" i="1"/>
  <c r="AU79" i="1"/>
  <c r="AT90" i="1"/>
  <c r="AS110" i="2"/>
  <c r="AK110" i="2"/>
  <c r="N110" i="2"/>
  <c r="AR111" i="1"/>
  <c r="G124" i="2"/>
  <c r="AU137" i="2"/>
  <c r="AM137" i="2"/>
  <c r="AU138" i="2"/>
  <c r="AM138" i="2"/>
  <c r="P138" i="2"/>
  <c r="AS139" i="2"/>
  <c r="AK139" i="2"/>
  <c r="N139" i="2"/>
  <c r="AO8" i="2"/>
  <c r="AG8" i="2"/>
  <c r="AH19" i="2"/>
  <c r="K19" i="2"/>
  <c r="AP19" i="2"/>
  <c r="AS20" i="2"/>
  <c r="AK20" i="2"/>
  <c r="AI23" i="2"/>
  <c r="F40" i="2"/>
  <c r="AK42" i="2"/>
  <c r="AP64" i="2"/>
  <c r="M139" i="2"/>
  <c r="N147" i="2"/>
  <c r="AK147" i="2"/>
  <c r="AS147" i="2"/>
  <c r="AU42" i="2"/>
  <c r="AM42" i="2"/>
  <c r="P42" i="2"/>
  <c r="O61" i="2"/>
  <c r="AT61" i="2"/>
  <c r="AL61" i="2"/>
  <c r="G92" i="2"/>
  <c r="AS93" i="1"/>
  <c r="H107" i="2"/>
  <c r="P107" i="2" s="1"/>
  <c r="AT108" i="1"/>
  <c r="AT113" i="1"/>
  <c r="H112" i="2"/>
  <c r="AR119" i="1"/>
  <c r="AG15" i="2"/>
  <c r="K15" i="2"/>
  <c r="G40" i="2"/>
  <c r="N69" i="2"/>
  <c r="AS69" i="2"/>
  <c r="AK69" i="2"/>
  <c r="AM45" i="2"/>
  <c r="P45" i="2"/>
  <c r="AU45" i="2"/>
  <c r="AJ56" i="2"/>
  <c r="M56" i="2"/>
  <c r="AR56" i="2"/>
  <c r="AS63" i="1"/>
  <c r="AQ66" i="1"/>
  <c r="AR110" i="1"/>
  <c r="AQ110" i="1"/>
  <c r="E109" i="2"/>
  <c r="G121" i="2"/>
  <c r="AT122" i="1"/>
  <c r="AS122" i="1"/>
  <c r="AH20" i="2"/>
  <c r="K20" i="2"/>
  <c r="H13" i="2"/>
  <c r="P13" i="2" s="1"/>
  <c r="AT14" i="1"/>
  <c r="AM17" i="2"/>
  <c r="P17" i="2"/>
  <c r="AU17" i="2"/>
  <c r="AU18" i="1"/>
  <c r="M25" i="2"/>
  <c r="AR25" i="2"/>
  <c r="AJ25" i="2"/>
  <c r="AH40" i="1"/>
  <c r="AR46" i="1"/>
  <c r="AQ58" i="2"/>
  <c r="L58" i="2"/>
  <c r="AK63" i="2"/>
  <c r="N63" i="2"/>
  <c r="AR70" i="1"/>
  <c r="AU71" i="2"/>
  <c r="P71" i="2"/>
  <c r="AS75" i="1"/>
  <c r="AQ78" i="1"/>
  <c r="AU90" i="1"/>
  <c r="AR93" i="1"/>
  <c r="AL110" i="2"/>
  <c r="AT110" i="2"/>
  <c r="O110" i="2"/>
  <c r="AS111" i="1"/>
  <c r="H115" i="2"/>
  <c r="P115" i="2" s="1"/>
  <c r="AT116" i="1"/>
  <c r="AU116" i="1"/>
  <c r="H124" i="2"/>
  <c r="AS125" i="1"/>
  <c r="AI17" i="2"/>
  <c r="AG31" i="2"/>
  <c r="AO31" i="2"/>
  <c r="AQ64" i="2"/>
  <c r="AQ114" i="2"/>
  <c r="AO65" i="2"/>
  <c r="AG65" i="2"/>
  <c r="N72" i="2"/>
  <c r="AS72" i="2"/>
  <c r="AK72" i="2"/>
  <c r="T32" i="3"/>
  <c r="S32" i="3"/>
  <c r="W37" i="3"/>
  <c r="X37" i="3"/>
  <c r="O58" i="2"/>
  <c r="AL76" i="2"/>
  <c r="AQ90" i="2"/>
  <c r="AI90" i="2"/>
  <c r="L90" i="2"/>
  <c r="AU91" i="2"/>
  <c r="P91" i="2"/>
  <c r="AM91" i="2"/>
  <c r="AJ111" i="2"/>
  <c r="AR111" i="2"/>
  <c r="AI115" i="2"/>
  <c r="L115" i="2"/>
  <c r="AT139" i="2"/>
  <c r="O139" i="2"/>
  <c r="AL139" i="2"/>
  <c r="AQ140" i="2"/>
  <c r="AI140" i="2"/>
  <c r="AK17" i="2"/>
  <c r="AP22" i="2"/>
  <c r="K22" i="2"/>
  <c r="AH22" i="2"/>
  <c r="AL23" i="2"/>
  <c r="L32" i="2"/>
  <c r="AH41" i="2"/>
  <c r="K41" i="2"/>
  <c r="K44" i="2"/>
  <c r="AO44" i="2"/>
  <c r="AG44" i="2"/>
  <c r="AJ63" i="2"/>
  <c r="M63" i="2"/>
  <c r="AH109" i="2"/>
  <c r="K109" i="2"/>
  <c r="AH114" i="2"/>
  <c r="AP114" i="2"/>
  <c r="J18" i="3"/>
  <c r="W19" i="3"/>
  <c r="R30" i="3"/>
  <c r="M69" i="2"/>
  <c r="AR69" i="2"/>
  <c r="AJ69" i="2"/>
  <c r="AK90" i="2"/>
  <c r="AK140" i="2"/>
  <c r="AS140" i="2"/>
  <c r="AJ150" i="2"/>
  <c r="M150" i="2"/>
  <c r="AR150" i="2"/>
  <c r="AU151" i="1"/>
  <c r="AH25" i="2"/>
  <c r="AT58" i="2"/>
  <c r="H64" i="2"/>
  <c r="AH108" i="2"/>
  <c r="AP108" i="2"/>
  <c r="K18" i="3"/>
  <c r="X19" i="3"/>
  <c r="U31" i="3"/>
  <c r="AO23" i="2"/>
  <c r="AG23" i="2"/>
  <c r="G41" i="2"/>
  <c r="AQ45" i="2"/>
  <c r="L45" i="2"/>
  <c r="AM62" i="2"/>
  <c r="AU62" i="2"/>
  <c r="AO70" i="2"/>
  <c r="AG70" i="2"/>
  <c r="AI108" i="2"/>
  <c r="AQ108" i="2"/>
  <c r="N109" i="2"/>
  <c r="AK109" i="2"/>
  <c r="AH141" i="2"/>
  <c r="K141" i="2"/>
  <c r="AP141" i="2"/>
  <c r="W10" i="3"/>
  <c r="AK61" i="2"/>
  <c r="N61" i="2"/>
  <c r="AS61" i="2"/>
  <c r="AM109" i="2"/>
  <c r="P109" i="2"/>
  <c r="AU109" i="2"/>
  <c r="K114" i="2"/>
  <c r="K138" i="2"/>
  <c r="AP138" i="2"/>
  <c r="AH138" i="2"/>
  <c r="AG149" i="2"/>
  <c r="K149" i="2"/>
  <c r="AO149" i="2"/>
  <c r="AI105" i="2"/>
  <c r="AQ105" i="2"/>
  <c r="L105" i="2"/>
  <c r="AL108" i="2"/>
  <c r="AI112" i="2"/>
  <c r="AQ112" i="2"/>
  <c r="L112" i="2"/>
  <c r="AS120" i="2"/>
  <c r="AK120" i="2"/>
  <c r="AQ144" i="1"/>
  <c r="E143" i="2"/>
  <c r="P150" i="2"/>
  <c r="AU150" i="2"/>
  <c r="AM150" i="2"/>
  <c r="AS151" i="2"/>
  <c r="N151" i="2"/>
  <c r="K17" i="2"/>
  <c r="AP17" i="2"/>
  <c r="AT23" i="2"/>
  <c r="AO26" i="2"/>
  <c r="AP42" i="2"/>
  <c r="K42" i="2"/>
  <c r="H70" i="2"/>
  <c r="AG107" i="2"/>
  <c r="AO107" i="2"/>
  <c r="M62" i="2"/>
  <c r="AR62" i="2"/>
  <c r="AJ62" i="2"/>
  <c r="N89" i="2"/>
  <c r="AS89" i="2"/>
  <c r="AQ106" i="1"/>
  <c r="AM108" i="2"/>
  <c r="P108" i="2"/>
  <c r="AT109" i="1"/>
  <c r="F112" i="2"/>
  <c r="N112" i="2" s="1"/>
  <c r="AR113" i="1"/>
  <c r="AQ113" i="1"/>
  <c r="I119" i="2"/>
  <c r="AU120" i="1"/>
  <c r="AT120" i="2"/>
  <c r="AL120" i="2"/>
  <c r="AI121" i="2"/>
  <c r="L121" i="2"/>
  <c r="AQ121" i="2"/>
  <c r="AR142" i="2"/>
  <c r="AJ142" i="2"/>
  <c r="AR144" i="1"/>
  <c r="F143" i="2"/>
  <c r="AI144" i="2"/>
  <c r="L144" i="2"/>
  <c r="AQ144" i="2"/>
  <c r="AT151" i="2"/>
  <c r="O151" i="2"/>
  <c r="AL151" i="2"/>
  <c r="AI152" i="2"/>
  <c r="L152" i="2"/>
  <c r="G23" i="2"/>
  <c r="O23" i="2" s="1"/>
  <c r="AU23" i="2"/>
  <c r="K70" i="2"/>
  <c r="AH107" i="2"/>
  <c r="AP107" i="2"/>
  <c r="L108" i="2"/>
  <c r="AO113" i="2"/>
  <c r="AG113" i="2"/>
  <c r="G149" i="2"/>
  <c r="AP25" i="2"/>
  <c r="L56" i="2"/>
  <c r="AG78" i="2"/>
  <c r="AO78" i="2"/>
  <c r="AP113" i="2"/>
  <c r="K113" i="2"/>
  <c r="AH113" i="2"/>
  <c r="AO118" i="2"/>
  <c r="AG118" i="2"/>
  <c r="AQ15" i="1"/>
  <c r="AI61" i="2"/>
  <c r="AQ61" i="2"/>
  <c r="L66" i="2"/>
  <c r="AQ66" i="2"/>
  <c r="AI72" i="2"/>
  <c r="AQ72" i="2"/>
  <c r="AU105" i="2"/>
  <c r="AM105" i="2"/>
  <c r="I112" i="2"/>
  <c r="AU113" i="1"/>
  <c r="AR113" i="2"/>
  <c r="AJ113" i="2"/>
  <c r="AU116" i="2"/>
  <c r="AM116" i="2"/>
  <c r="P116" i="2"/>
  <c r="AU117" i="1"/>
  <c r="AL121" i="2"/>
  <c r="AT121" i="2"/>
  <c r="I142" i="2"/>
  <c r="AU143" i="1"/>
  <c r="O144" i="2"/>
  <c r="AT144" i="2"/>
  <c r="AL144" i="2"/>
  <c r="AQ145" i="2"/>
  <c r="L145" i="2"/>
  <c r="AS146" i="1"/>
  <c r="AL152" i="2"/>
  <c r="AT152" i="2"/>
  <c r="AQ153" i="2"/>
  <c r="L153" i="2"/>
  <c r="AS154" i="1"/>
  <c r="H18" i="2"/>
  <c r="AI32" i="2"/>
  <c r="L78" i="2"/>
  <c r="AK115" i="2"/>
  <c r="K118" i="2"/>
  <c r="AP118" i="2"/>
  <c r="AH118" i="2"/>
  <c r="L140" i="2"/>
  <c r="K78" i="2"/>
  <c r="AP78" i="2"/>
  <c r="AT24" i="1"/>
  <c r="AJ61" i="2"/>
  <c r="M61" i="2"/>
  <c r="AR61" i="2"/>
  <c r="M66" i="2"/>
  <c r="AR66" i="2"/>
  <c r="M72" i="2"/>
  <c r="AJ72" i="2"/>
  <c r="AR72" i="2"/>
  <c r="AR78" i="2"/>
  <c r="M78" i="2"/>
  <c r="AS113" i="2"/>
  <c r="N113" i="2"/>
  <c r="AM121" i="2"/>
  <c r="AU121" i="2"/>
  <c r="P144" i="2"/>
  <c r="AU144" i="2"/>
  <c r="AM144" i="2"/>
  <c r="M145" i="2"/>
  <c r="AR145" i="2"/>
  <c r="AJ145" i="2"/>
  <c r="AM152" i="2"/>
  <c r="P152" i="2"/>
  <c r="AU152" i="2"/>
  <c r="AR153" i="2"/>
  <c r="M153" i="2"/>
  <c r="AJ153" i="2"/>
  <c r="AT154" i="1"/>
  <c r="K8" i="2"/>
  <c r="AP18" i="2"/>
  <c r="R41" i="3"/>
  <c r="Q41" i="3"/>
  <c r="X42" i="3"/>
  <c r="K14" i="3"/>
  <c r="X14" i="3" s="1"/>
  <c r="W43" i="3"/>
  <c r="C13" i="3"/>
  <c r="Z46" i="3"/>
  <c r="AA46" i="3"/>
  <c r="AT59" i="1"/>
  <c r="N66" i="2"/>
  <c r="AS66" i="2"/>
  <c r="AT77" i="1"/>
  <c r="AS78" i="2"/>
  <c r="N78" i="2"/>
  <c r="AQ91" i="1"/>
  <c r="AU92" i="1"/>
  <c r="AT110" i="1"/>
  <c r="O113" i="2"/>
  <c r="AS114" i="1"/>
  <c r="AJ117" i="2"/>
  <c r="M117" i="2"/>
  <c r="AQ118" i="1"/>
  <c r="AU122" i="1"/>
  <c r="E137" i="2"/>
  <c r="M137" i="2" s="1"/>
  <c r="N145" i="2"/>
  <c r="AS145" i="2"/>
  <c r="AK145" i="2"/>
  <c r="AK153" i="2"/>
  <c r="AS153" i="2"/>
  <c r="N153" i="2"/>
  <c r="AP69" i="2"/>
  <c r="K69" i="2"/>
  <c r="AG106" i="2"/>
  <c r="AO106" i="2"/>
  <c r="N140" i="2"/>
  <c r="U14" i="3"/>
  <c r="Y42" i="3"/>
  <c r="L14" i="3"/>
  <c r="Y14" i="3" s="1"/>
  <c r="AU24" i="1"/>
  <c r="AQ44" i="1"/>
  <c r="AI19" i="2"/>
  <c r="AQ19" i="2"/>
  <c r="AQ57" i="1"/>
  <c r="AT78" i="2"/>
  <c r="O78" i="2"/>
  <c r="E92" i="2"/>
  <c r="AR107" i="1"/>
  <c r="AM113" i="2"/>
  <c r="P113" i="2"/>
  <c r="AT114" i="1"/>
  <c r="AK117" i="2"/>
  <c r="N117" i="2"/>
  <c r="AR118" i="1"/>
  <c r="L124" i="2"/>
  <c r="AQ124" i="2"/>
  <c r="AR137" i="2"/>
  <c r="AJ137" i="2"/>
  <c r="O145" i="2"/>
  <c r="AT145" i="2"/>
  <c r="AL145" i="2"/>
  <c r="AI146" i="2"/>
  <c r="L146" i="2"/>
  <c r="AQ146" i="2"/>
  <c r="AL153" i="2"/>
  <c r="AT153" i="2"/>
  <c r="O153" i="2"/>
  <c r="L156" i="2"/>
  <c r="AI156" i="2"/>
  <c r="AQ156" i="2"/>
  <c r="K106" i="2"/>
  <c r="AH106" i="2"/>
  <c r="AP106" i="2"/>
  <c r="K107" i="2"/>
  <c r="AO139" i="2"/>
  <c r="AG139" i="2"/>
  <c r="AO89" i="2"/>
  <c r="AG103" i="2"/>
  <c r="AP156" i="2"/>
  <c r="K156" i="2"/>
  <c r="R40" i="3"/>
  <c r="AP58" i="2"/>
  <c r="K58" i="2"/>
  <c r="AP89" i="2"/>
  <c r="AH103" i="2"/>
  <c r="AP143" i="2"/>
  <c r="Z28" i="3"/>
  <c r="T40" i="3"/>
  <c r="S40" i="3"/>
  <c r="K91" i="2"/>
  <c r="AO124" i="2"/>
  <c r="K90" i="2"/>
  <c r="AP90" i="2"/>
  <c r="AH90" i="2"/>
  <c r="AP124" i="2"/>
  <c r="AT141" i="2"/>
  <c r="AH146" i="2"/>
  <c r="K146" i="2"/>
  <c r="X20" i="3"/>
  <c r="Q39" i="3"/>
  <c r="X40" i="3"/>
  <c r="W40" i="3"/>
  <c r="E13" i="3"/>
  <c r="R43" i="3"/>
  <c r="AO120" i="2"/>
  <c r="AG120" i="2"/>
  <c r="X36" i="3"/>
  <c r="R39" i="3"/>
  <c r="AH120" i="2"/>
  <c r="AP120" i="2"/>
  <c r="AH135" i="2"/>
  <c r="K135" i="2"/>
  <c r="AP135" i="2"/>
  <c r="AU115" i="2"/>
  <c r="AS141" i="2"/>
  <c r="N141" i="2"/>
  <c r="AK141" i="2"/>
  <c r="AU142" i="1"/>
  <c r="AR143" i="1"/>
  <c r="AU147" i="2"/>
  <c r="P147" i="2"/>
  <c r="AM147" i="2"/>
  <c r="AR148" i="2"/>
  <c r="M148" i="2"/>
  <c r="AJ148" i="2"/>
  <c r="AT149" i="1"/>
  <c r="AT156" i="2"/>
  <c r="K121" i="2"/>
  <c r="AA20" i="3"/>
  <c r="N18" i="3"/>
  <c r="T39" i="3"/>
  <c r="AQ142" i="2"/>
  <c r="AI142" i="2"/>
  <c r="AS148" i="2"/>
  <c r="N148" i="2"/>
  <c r="AP13" i="2"/>
  <c r="K13" i="2"/>
  <c r="AO30" i="2"/>
  <c r="X31" i="3"/>
  <c r="T34" i="3"/>
  <c r="S34" i="3"/>
  <c r="Y43" i="3"/>
  <c r="L13" i="3"/>
  <c r="Y13" i="3" s="1"/>
  <c r="AQ116" i="2"/>
  <c r="L116" i="2"/>
  <c r="AS119" i="2"/>
  <c r="AK119" i="2"/>
  <c r="AT120" i="1"/>
  <c r="AM141" i="2"/>
  <c r="AU141" i="2"/>
  <c r="AT148" i="2"/>
  <c r="O148" i="2"/>
  <c r="AI149" i="2"/>
  <c r="L149" i="2"/>
  <c r="AO74" i="2"/>
  <c r="W20" i="3"/>
  <c r="T36" i="3"/>
  <c r="M13" i="3"/>
  <c r="Z43" i="3"/>
  <c r="Q46" i="3"/>
  <c r="O109" i="2"/>
  <c r="AT109" i="2"/>
  <c r="AR116" i="2"/>
  <c r="M116" i="2"/>
  <c r="AQ117" i="1"/>
  <c r="AT119" i="2"/>
  <c r="AL119" i="2"/>
  <c r="P148" i="2"/>
  <c r="M149" i="2"/>
  <c r="AJ149" i="2"/>
  <c r="AP43" i="2"/>
  <c r="K46" i="2"/>
  <c r="AP46" i="2"/>
  <c r="AL109" i="2"/>
  <c r="L142" i="2"/>
  <c r="K143" i="2"/>
  <c r="AK148" i="2"/>
  <c r="AQ149" i="2"/>
  <c r="AH156" i="2"/>
  <c r="Z10" i="3"/>
  <c r="Y20" i="3"/>
  <c r="Y36" i="3"/>
  <c r="R46" i="3"/>
  <c r="Y19" i="3"/>
  <c r="U39" i="3"/>
  <c r="Q38" i="3"/>
  <c r="U46" i="3"/>
  <c r="S38" i="3"/>
  <c r="K151" i="2"/>
  <c r="AH151" i="2"/>
  <c r="R44" i="3"/>
  <c r="Q44" i="3"/>
  <c r="K66" i="2"/>
  <c r="AO157" i="2"/>
  <c r="AG157" i="2"/>
  <c r="Q37" i="3"/>
  <c r="W38" i="3"/>
  <c r="AP66" i="2"/>
  <c r="AO117" i="2"/>
  <c r="AO138" i="2"/>
  <c r="K153" i="2"/>
  <c r="K140" i="2"/>
  <c r="L18" i="3"/>
  <c r="K71" i="2"/>
  <c r="K157" i="2"/>
  <c r="Z18" i="3"/>
  <c r="AA28" i="3"/>
  <c r="T37" i="3"/>
  <c r="Z45" i="3"/>
  <c r="Q14" i="3"/>
  <c r="R37" i="3"/>
  <c r="N8" i="3"/>
  <c r="S14" i="3"/>
  <c r="Q31" i="3"/>
  <c r="R36" i="3"/>
  <c r="T45" i="3"/>
  <c r="S30" i="3"/>
  <c r="T35" i="3"/>
  <c r="U13" i="3"/>
  <c r="X33" i="3"/>
  <c r="Z42" i="3"/>
  <c r="AO142" i="2"/>
  <c r="AG142" i="2"/>
  <c r="AP148" i="2"/>
  <c r="W13" i="3"/>
  <c r="AA42" i="3"/>
  <c r="N14" i="3"/>
  <c r="AA14" i="3" s="1"/>
  <c r="AP142" i="2"/>
  <c r="K142" i="2"/>
  <c r="AH142" i="2"/>
  <c r="AP145" i="2"/>
  <c r="K145" i="2"/>
  <c r="AP75" i="2"/>
  <c r="K75" i="2"/>
  <c r="AP110" i="2"/>
  <c r="K110" i="2"/>
  <c r="Y33" i="3"/>
  <c r="U44" i="3"/>
  <c r="Z32" i="3"/>
  <c r="Z35" i="3"/>
  <c r="W44" i="3"/>
  <c r="X46" i="3"/>
  <c r="K115" i="2"/>
  <c r="K147" i="2"/>
  <c r="L31" i="2" l="1"/>
  <c r="AJ32" i="2"/>
  <c r="M32" i="2"/>
  <c r="N32" i="2"/>
  <c r="Q28" i="3"/>
  <c r="D11" i="3"/>
  <c r="Q11" i="3" s="1"/>
  <c r="D12" i="3"/>
  <c r="Q12" i="3" s="1"/>
  <c r="AK75" i="2"/>
  <c r="N75" i="2"/>
  <c r="AS75" i="2"/>
  <c r="AJ115" i="2"/>
  <c r="M115" i="2"/>
  <c r="AR115" i="2"/>
  <c r="G68" i="2"/>
  <c r="AS69" i="1"/>
  <c r="P151" i="2"/>
  <c r="AU151" i="2"/>
  <c r="AM151" i="2"/>
  <c r="M41" i="2"/>
  <c r="AR41" i="2"/>
  <c r="AJ41" i="2"/>
  <c r="O149" i="2"/>
  <c r="AT149" i="2"/>
  <c r="AL149" i="2"/>
  <c r="AI15" i="2"/>
  <c r="L15" i="2"/>
  <c r="AQ15" i="2"/>
  <c r="AQ113" i="2"/>
  <c r="L113" i="2"/>
  <c r="AI113" i="2"/>
  <c r="AR58" i="2"/>
  <c r="M58" i="2"/>
  <c r="AJ58" i="2"/>
  <c r="L141" i="2"/>
  <c r="AQ141" i="2"/>
  <c r="AI141" i="2"/>
  <c r="AS14" i="2"/>
  <c r="N14" i="2"/>
  <c r="AK14" i="2"/>
  <c r="AT41" i="2"/>
  <c r="P41" i="2"/>
  <c r="O41" i="2"/>
  <c r="AL41" i="2"/>
  <c r="N64" i="2"/>
  <c r="AS64" i="2"/>
  <c r="AK64" i="2"/>
  <c r="AT14" i="2"/>
  <c r="O14" i="2"/>
  <c r="AL14" i="2"/>
  <c r="G103" i="2"/>
  <c r="AS104" i="1"/>
  <c r="AL18" i="2"/>
  <c r="AT18" i="2"/>
  <c r="O18" i="2"/>
  <c r="AS40" i="2"/>
  <c r="N40" i="2"/>
  <c r="AK40" i="2"/>
  <c r="E10" i="3"/>
  <c r="AR13" i="1"/>
  <c r="F12" i="2"/>
  <c r="G135" i="2"/>
  <c r="AS136" i="1"/>
  <c r="AU64" i="2"/>
  <c r="P64" i="2"/>
  <c r="AM64" i="2"/>
  <c r="AT12" i="2"/>
  <c r="AL12" i="2"/>
  <c r="AU149" i="2"/>
  <c r="P149" i="2"/>
  <c r="AM149" i="2"/>
  <c r="AT118" i="2"/>
  <c r="O118" i="2"/>
  <c r="AL118" i="2"/>
  <c r="AJ152" i="2"/>
  <c r="M152" i="2"/>
  <c r="AR152" i="2"/>
  <c r="AR151" i="2"/>
  <c r="M151" i="2"/>
  <c r="AJ151" i="2"/>
  <c r="M146" i="2"/>
  <c r="AR146" i="2"/>
  <c r="AJ146" i="2"/>
  <c r="AT90" i="2"/>
  <c r="AL90" i="2"/>
  <c r="O90" i="2"/>
  <c r="AS105" i="2"/>
  <c r="AK105" i="2"/>
  <c r="N105" i="2"/>
  <c r="AL13" i="2"/>
  <c r="AT13" i="2"/>
  <c r="O13" i="2"/>
  <c r="F13" i="3"/>
  <c r="T43" i="3"/>
  <c r="S43" i="3"/>
  <c r="AT32" i="1"/>
  <c r="H31" i="2"/>
  <c r="AJ13" i="2"/>
  <c r="M13" i="2"/>
  <c r="AR13" i="2"/>
  <c r="N137" i="2"/>
  <c r="AS137" i="2"/>
  <c r="AK137" i="2"/>
  <c r="AR32" i="1"/>
  <c r="F31" i="2"/>
  <c r="L120" i="2"/>
  <c r="AI120" i="2"/>
  <c r="AQ120" i="2"/>
  <c r="P18" i="2"/>
  <c r="H60" i="2"/>
  <c r="AT61" i="1"/>
  <c r="AS19" i="2"/>
  <c r="AK19" i="2"/>
  <c r="N19" i="2"/>
  <c r="AR141" i="2"/>
  <c r="M141" i="2"/>
  <c r="AJ141" i="2"/>
  <c r="AM75" i="2"/>
  <c r="P75" i="2"/>
  <c r="AU75" i="2"/>
  <c r="N70" i="2"/>
  <c r="AS70" i="2"/>
  <c r="AK70" i="2"/>
  <c r="AR90" i="2"/>
  <c r="M90" i="2"/>
  <c r="AJ90" i="2"/>
  <c r="E68" i="2"/>
  <c r="AQ69" i="1"/>
  <c r="M143" i="2"/>
  <c r="AR143" i="2"/>
  <c r="AJ143" i="2"/>
  <c r="L143" i="2"/>
  <c r="AI143" i="2"/>
  <c r="AQ143" i="2"/>
  <c r="I118" i="2"/>
  <c r="AU119" i="1"/>
  <c r="O74" i="2"/>
  <c r="AT74" i="2"/>
  <c r="AL74" i="2"/>
  <c r="O26" i="2"/>
  <c r="AT26" i="2"/>
  <c r="AL26" i="2"/>
  <c r="AI111" i="2"/>
  <c r="AQ111" i="2"/>
  <c r="L111" i="2"/>
  <c r="L70" i="2"/>
  <c r="AI70" i="2"/>
  <c r="AQ70" i="2"/>
  <c r="E8" i="2"/>
  <c r="AQ9" i="1"/>
  <c r="G34" i="2"/>
  <c r="AS35" i="1"/>
  <c r="AA8" i="3"/>
  <c r="N149" i="2"/>
  <c r="AS149" i="2"/>
  <c r="AK149" i="2"/>
  <c r="AT91" i="2"/>
  <c r="O91" i="2"/>
  <c r="AL91" i="2"/>
  <c r="AT20" i="2"/>
  <c r="O20" i="2"/>
  <c r="AL20" i="2"/>
  <c r="AL142" i="2"/>
  <c r="AT142" i="2"/>
  <c r="O142" i="2"/>
  <c r="M70" i="2"/>
  <c r="AR70" i="2"/>
  <c r="AJ70" i="2"/>
  <c r="AL62" i="2"/>
  <c r="O62" i="2"/>
  <c r="AT62" i="2"/>
  <c r="AQ34" i="2"/>
  <c r="AI34" i="2"/>
  <c r="L34" i="2"/>
  <c r="E103" i="2"/>
  <c r="AQ104" i="1"/>
  <c r="O40" i="2"/>
  <c r="AT40" i="2"/>
  <c r="AL40" i="2"/>
  <c r="AT143" i="2"/>
  <c r="O143" i="2"/>
  <c r="P143" i="2"/>
  <c r="AL143" i="2"/>
  <c r="AR40" i="2"/>
  <c r="M40" i="2"/>
  <c r="AJ40" i="2"/>
  <c r="AS124" i="2"/>
  <c r="N124" i="2"/>
  <c r="AK124" i="2"/>
  <c r="AM120" i="2"/>
  <c r="AU120" i="2"/>
  <c r="P120" i="2"/>
  <c r="AM112" i="2"/>
  <c r="P112" i="2"/>
  <c r="AU112" i="2"/>
  <c r="P20" i="2"/>
  <c r="AK121" i="2"/>
  <c r="N121" i="2"/>
  <c r="AS121" i="2"/>
  <c r="O112" i="2"/>
  <c r="AL112" i="2"/>
  <c r="AT112" i="2"/>
  <c r="AR119" i="2"/>
  <c r="M119" i="2"/>
  <c r="AJ119" i="2"/>
  <c r="S19" i="3"/>
  <c r="AJ92" i="2"/>
  <c r="M92" i="2"/>
  <c r="AR92" i="2"/>
  <c r="L40" i="2"/>
  <c r="AQ40" i="2"/>
  <c r="AI40" i="2"/>
  <c r="H135" i="2"/>
  <c r="AT136" i="1"/>
  <c r="M144" i="2"/>
  <c r="AR144" i="2"/>
  <c r="AJ144" i="2"/>
  <c r="L91" i="2"/>
  <c r="AQ91" i="2"/>
  <c r="AI91" i="2"/>
  <c r="AM117" i="2"/>
  <c r="P117" i="2"/>
  <c r="AU117" i="2"/>
  <c r="AM106" i="2"/>
  <c r="AU106" i="2"/>
  <c r="P106" i="2"/>
  <c r="L109" i="2"/>
  <c r="AI109" i="2"/>
  <c r="AQ109" i="2"/>
  <c r="AR20" i="2"/>
  <c r="M20" i="2"/>
  <c r="AJ20" i="2"/>
  <c r="AR76" i="2"/>
  <c r="AJ76" i="2"/>
  <c r="M76" i="2"/>
  <c r="T19" i="3"/>
  <c r="H103" i="2"/>
  <c r="AT104" i="1"/>
  <c r="AA13" i="3"/>
  <c r="Z13" i="3"/>
  <c r="F103" i="2"/>
  <c r="AR104" i="1"/>
  <c r="AU145" i="2"/>
  <c r="AM145" i="2"/>
  <c r="P145" i="2"/>
  <c r="AL140" i="2"/>
  <c r="AT140" i="2"/>
  <c r="O140" i="2"/>
  <c r="AT63" i="2"/>
  <c r="O63" i="2"/>
  <c r="AL63" i="2"/>
  <c r="I135" i="2"/>
  <c r="AU136" i="1"/>
  <c r="S28" i="3"/>
  <c r="F12" i="3"/>
  <c r="F11" i="3"/>
  <c r="AU153" i="2"/>
  <c r="AM153" i="2"/>
  <c r="P153" i="2"/>
  <c r="M107" i="2"/>
  <c r="AR107" i="2"/>
  <c r="AJ107" i="2"/>
  <c r="AA12" i="3"/>
  <c r="P76" i="2"/>
  <c r="AU76" i="2"/>
  <c r="AM76" i="2"/>
  <c r="AU140" i="2"/>
  <c r="P140" i="2"/>
  <c r="AM140" i="2"/>
  <c r="P62" i="2"/>
  <c r="X18" i="3"/>
  <c r="G12" i="3"/>
  <c r="T28" i="3"/>
  <c r="G11" i="3"/>
  <c r="H34" i="2"/>
  <c r="AT35" i="1"/>
  <c r="AL92" i="2"/>
  <c r="O92" i="2"/>
  <c r="AT92" i="2"/>
  <c r="H68" i="2"/>
  <c r="AT69" i="1"/>
  <c r="F135" i="2"/>
  <c r="AR136" i="1"/>
  <c r="M109" i="2"/>
  <c r="AI13" i="2"/>
  <c r="L13" i="2"/>
  <c r="AQ13" i="2"/>
  <c r="R19" i="3"/>
  <c r="L138" i="2"/>
  <c r="AQ138" i="2"/>
  <c r="AI138" i="2"/>
  <c r="AK111" i="2"/>
  <c r="N111" i="2"/>
  <c r="AS111" i="2"/>
  <c r="P12" i="2"/>
  <c r="AU12" i="2"/>
  <c r="AM12" i="2"/>
  <c r="N144" i="2"/>
  <c r="AS144" i="2"/>
  <c r="AK144" i="2"/>
  <c r="Z11" i="3"/>
  <c r="AJ26" i="2"/>
  <c r="AR26" i="2"/>
  <c r="M26" i="2"/>
  <c r="AT105" i="2"/>
  <c r="AL105" i="2"/>
  <c r="P105" i="2"/>
  <c r="O105" i="2"/>
  <c r="N41" i="2"/>
  <c r="AS41" i="2"/>
  <c r="AK41" i="2"/>
  <c r="K11" i="3"/>
  <c r="K12" i="3"/>
  <c r="X28" i="3"/>
  <c r="R13" i="3"/>
  <c r="E12" i="3"/>
  <c r="R12" i="3" s="1"/>
  <c r="E11" i="3"/>
  <c r="R11" i="3" s="1"/>
  <c r="R28" i="3"/>
  <c r="AT124" i="2"/>
  <c r="O124" i="2"/>
  <c r="AL124" i="2"/>
  <c r="AS32" i="1"/>
  <c r="G31" i="2"/>
  <c r="N20" i="2"/>
  <c r="N65" i="2"/>
  <c r="AK65" i="2"/>
  <c r="AS65" i="2"/>
  <c r="N143" i="2"/>
  <c r="AS143" i="2"/>
  <c r="AK143" i="2"/>
  <c r="N58" i="2"/>
  <c r="AS58" i="2"/>
  <c r="AK58" i="2"/>
  <c r="AU14" i="2"/>
  <c r="P14" i="2"/>
  <c r="AM14" i="2"/>
  <c r="U28" i="3"/>
  <c r="H12" i="3"/>
  <c r="H11" i="3"/>
  <c r="H8" i="3" s="1"/>
  <c r="M64" i="2"/>
  <c r="AR64" i="2"/>
  <c r="AJ64" i="2"/>
  <c r="AQ92" i="2"/>
  <c r="AI92" i="2"/>
  <c r="L92" i="2"/>
  <c r="U10" i="3"/>
  <c r="AT89" i="2"/>
  <c r="O89" i="2"/>
  <c r="AL89" i="2"/>
  <c r="AU119" i="2"/>
  <c r="AM119" i="2"/>
  <c r="P119" i="2"/>
  <c r="AS76" i="2"/>
  <c r="AK76" i="2"/>
  <c r="N76" i="2"/>
  <c r="E135" i="2"/>
  <c r="AQ136" i="1"/>
  <c r="O64" i="2"/>
  <c r="AT64" i="2"/>
  <c r="AL64" i="2"/>
  <c r="W18" i="3"/>
  <c r="O115" i="2"/>
  <c r="AT115" i="2"/>
  <c r="AL115" i="2"/>
  <c r="AK13" i="2"/>
  <c r="AS13" i="2"/>
  <c r="N13" i="2"/>
  <c r="L20" i="2"/>
  <c r="AI20" i="2"/>
  <c r="AQ20" i="2"/>
  <c r="M91" i="2"/>
  <c r="P74" i="2"/>
  <c r="U19" i="3"/>
  <c r="AL106" i="2"/>
  <c r="AT106" i="2"/>
  <c r="O106" i="2"/>
  <c r="F60" i="2"/>
  <c r="AR61" i="1"/>
  <c r="N146" i="2"/>
  <c r="AS146" i="2"/>
  <c r="AK146" i="2"/>
  <c r="I34" i="2"/>
  <c r="AU35" i="1"/>
  <c r="L11" i="3"/>
  <c r="L12" i="3"/>
  <c r="Y28" i="3"/>
  <c r="AR14" i="2"/>
  <c r="M14" i="2"/>
  <c r="AJ14" i="2"/>
  <c r="H32" i="2"/>
  <c r="AT33" i="1"/>
  <c r="AK92" i="2"/>
  <c r="N92" i="2"/>
  <c r="AS92" i="2"/>
  <c r="AK77" i="2"/>
  <c r="N77" i="2"/>
  <c r="AS77" i="2"/>
  <c r="AS91" i="2"/>
  <c r="AK91" i="2"/>
  <c r="N91" i="2"/>
  <c r="AU69" i="2"/>
  <c r="P69" i="2"/>
  <c r="AM69" i="2"/>
  <c r="F10" i="3"/>
  <c r="G12" i="2"/>
  <c r="O12" i="2" s="1"/>
  <c r="AT13" i="1"/>
  <c r="AS13" i="1"/>
  <c r="AT137" i="2"/>
  <c r="O137" i="2"/>
  <c r="AL137" i="2"/>
  <c r="I60" i="2"/>
  <c r="AU61" i="1"/>
  <c r="G60" i="2"/>
  <c r="AS61" i="1"/>
  <c r="AK152" i="2"/>
  <c r="N152" i="2"/>
  <c r="AS152" i="2"/>
  <c r="P40" i="2"/>
  <c r="AU40" i="2"/>
  <c r="AM40" i="2"/>
  <c r="AQ74" i="2"/>
  <c r="AI74" i="2"/>
  <c r="L74" i="2"/>
  <c r="E60" i="2"/>
  <c r="AQ61" i="1"/>
  <c r="AU66" i="2"/>
  <c r="P66" i="2"/>
  <c r="AM66" i="2"/>
  <c r="P124" i="2"/>
  <c r="AU124" i="2"/>
  <c r="AM124" i="2"/>
  <c r="AJ120" i="2"/>
  <c r="M120" i="2"/>
  <c r="AR120" i="2"/>
  <c r="F68" i="2"/>
  <c r="AR69" i="1"/>
  <c r="AK108" i="2"/>
  <c r="N108" i="2"/>
  <c r="AS108" i="2"/>
  <c r="AU69" i="1"/>
  <c r="I68" i="2"/>
  <c r="AA18" i="3"/>
  <c r="AQ137" i="2"/>
  <c r="AI137" i="2"/>
  <c r="L137" i="2"/>
  <c r="J11" i="3"/>
  <c r="J12" i="3"/>
  <c r="W12" i="3" s="1"/>
  <c r="W28" i="3"/>
  <c r="Y18" i="3"/>
  <c r="AJ112" i="2"/>
  <c r="M112" i="2"/>
  <c r="AR112" i="2"/>
  <c r="F34" i="2"/>
  <c r="AR35" i="1"/>
  <c r="AK40" i="1"/>
  <c r="AL40" i="1"/>
  <c r="L69" i="2"/>
  <c r="AI69" i="2"/>
  <c r="AQ69" i="2"/>
  <c r="P90" i="2"/>
  <c r="M65" i="2"/>
  <c r="AR65" i="2"/>
  <c r="AJ65" i="2"/>
  <c r="P58" i="2"/>
  <c r="AU58" i="2"/>
  <c r="AM58" i="2"/>
  <c r="Q43" i="3"/>
  <c r="D13" i="3"/>
  <c r="Q13" i="3" s="1"/>
  <c r="M17" i="2"/>
  <c r="AR17" i="2"/>
  <c r="N17" i="2"/>
  <c r="AJ17" i="2"/>
  <c r="M43" i="2"/>
  <c r="AR43" i="2"/>
  <c r="AJ43" i="2"/>
  <c r="AU89" i="2"/>
  <c r="P89" i="2"/>
  <c r="AM89" i="2"/>
  <c r="Q19" i="3"/>
  <c r="O70" i="2"/>
  <c r="AT70" i="2"/>
  <c r="AL70" i="2"/>
  <c r="I8" i="2"/>
  <c r="AT107" i="2"/>
  <c r="O107" i="2"/>
  <c r="AL107" i="2"/>
  <c r="D10" i="3"/>
  <c r="AQ13" i="1"/>
  <c r="E12" i="2"/>
  <c r="AQ150" i="2"/>
  <c r="L150" i="2"/>
  <c r="AI150" i="2"/>
  <c r="AR138" i="2"/>
  <c r="AJ138" i="2"/>
  <c r="M138" i="2"/>
  <c r="M15" i="2"/>
  <c r="AR15" i="2"/>
  <c r="AJ15" i="2"/>
  <c r="AU63" i="2"/>
  <c r="P63" i="2"/>
  <c r="AM63" i="2"/>
  <c r="AS18" i="2"/>
  <c r="AK18" i="2"/>
  <c r="N18" i="2"/>
  <c r="AK23" i="2"/>
  <c r="N23" i="2"/>
  <c r="AS23" i="2"/>
  <c r="AU142" i="2"/>
  <c r="P142" i="2"/>
  <c r="AM142" i="2"/>
  <c r="Z14" i="3"/>
  <c r="M113" i="2"/>
  <c r="O121" i="2"/>
  <c r="M124" i="2"/>
  <c r="AR124" i="2"/>
  <c r="AJ124" i="2"/>
  <c r="AS156" i="2"/>
  <c r="N156" i="2"/>
  <c r="AK156" i="2"/>
  <c r="AU33" i="1"/>
  <c r="I32" i="2"/>
  <c r="AU70" i="2"/>
  <c r="P70" i="2"/>
  <c r="AM70" i="2"/>
  <c r="L62" i="2"/>
  <c r="AQ62" i="2"/>
  <c r="AI62" i="2"/>
  <c r="AR140" i="2"/>
  <c r="AJ140" i="2"/>
  <c r="M140" i="2"/>
  <c r="AM139" i="2"/>
  <c r="AU139" i="2"/>
  <c r="P139" i="2"/>
  <c r="Y12" i="3" l="1"/>
  <c r="S11" i="3"/>
  <c r="T12" i="3"/>
  <c r="S12" i="3"/>
  <c r="T11" i="3"/>
  <c r="T10" i="3"/>
  <c r="AI68" i="2"/>
  <c r="AQ68" i="2"/>
  <c r="L68" i="2"/>
  <c r="AK60" i="2"/>
  <c r="N60" i="2"/>
  <c r="AS60" i="2"/>
  <c r="H8" i="2"/>
  <c r="P8" i="2" s="1"/>
  <c r="AT9" i="1"/>
  <c r="G20" i="3"/>
  <c r="H44" i="2"/>
  <c r="AT45" i="1"/>
  <c r="AR31" i="2"/>
  <c r="M31" i="2"/>
  <c r="AJ31" i="2"/>
  <c r="AJ60" i="2"/>
  <c r="M60" i="2"/>
  <c r="AR60" i="2"/>
  <c r="AL34" i="2"/>
  <c r="AT34" i="2"/>
  <c r="O34" i="2"/>
  <c r="AU60" i="2"/>
  <c r="AM60" i="2"/>
  <c r="P60" i="2"/>
  <c r="F29" i="2"/>
  <c r="AR30" i="1"/>
  <c r="H157" i="2"/>
  <c r="AT158" i="1"/>
  <c r="AL135" i="2"/>
  <c r="AT135" i="2"/>
  <c r="O135" i="2"/>
  <c r="E29" i="2"/>
  <c r="AQ30" i="1"/>
  <c r="G8" i="3"/>
  <c r="T8" i="3" s="1"/>
  <c r="F125" i="2"/>
  <c r="AR126" i="1"/>
  <c r="D20" i="3"/>
  <c r="E44" i="2"/>
  <c r="AQ45" i="1"/>
  <c r="F30" i="2"/>
  <c r="AR31" i="1"/>
  <c r="E157" i="2"/>
  <c r="AQ158" i="1"/>
  <c r="AS31" i="2"/>
  <c r="N31" i="2"/>
  <c r="AK31" i="2"/>
  <c r="AR103" i="2"/>
  <c r="AJ103" i="2"/>
  <c r="M103" i="2"/>
  <c r="AQ103" i="2"/>
  <c r="AI103" i="2"/>
  <c r="L103" i="2"/>
  <c r="F20" i="3"/>
  <c r="G44" i="2"/>
  <c r="AS45" i="1"/>
  <c r="H20" i="3"/>
  <c r="I44" i="2"/>
  <c r="AU45" i="1"/>
  <c r="AI60" i="2"/>
  <c r="L60" i="2"/>
  <c r="AQ60" i="2"/>
  <c r="E20" i="3"/>
  <c r="F44" i="2"/>
  <c r="AR45" i="1"/>
  <c r="E30" i="2"/>
  <c r="AQ31" i="1"/>
  <c r="G157" i="2"/>
  <c r="AS158" i="1"/>
  <c r="AS31" i="1"/>
  <c r="G30" i="2"/>
  <c r="G29" i="2"/>
  <c r="AS30" i="1"/>
  <c r="AQ12" i="2"/>
  <c r="L12" i="2"/>
  <c r="AI12" i="2"/>
  <c r="P68" i="2"/>
  <c r="AU68" i="2"/>
  <c r="AM68" i="2"/>
  <c r="O32" i="2"/>
  <c r="AT32" i="2"/>
  <c r="AL32" i="2"/>
  <c r="E125" i="2"/>
  <c r="AQ126" i="1"/>
  <c r="AS103" i="2"/>
  <c r="N103" i="2"/>
  <c r="AK103" i="2"/>
  <c r="AK68" i="2"/>
  <c r="N68" i="2"/>
  <c r="AS68" i="2"/>
  <c r="AM32" i="2"/>
  <c r="P32" i="2"/>
  <c r="AU32" i="2"/>
  <c r="AM135" i="2"/>
  <c r="P135" i="2"/>
  <c r="AU135" i="2"/>
  <c r="AT31" i="1"/>
  <c r="H30" i="2"/>
  <c r="P118" i="2"/>
  <c r="AM118" i="2"/>
  <c r="AU118" i="2"/>
  <c r="O31" i="2"/>
  <c r="AL31" i="2"/>
  <c r="AT31" i="2"/>
  <c r="AS135" i="2"/>
  <c r="N135" i="2"/>
  <c r="AK135" i="2"/>
  <c r="Q10" i="3"/>
  <c r="D8" i="3"/>
  <c r="Q8" i="3" s="1"/>
  <c r="O103" i="2"/>
  <c r="AL103" i="2"/>
  <c r="AT103" i="2"/>
  <c r="AS8" i="1"/>
  <c r="I103" i="2"/>
  <c r="AU104" i="1"/>
  <c r="S13" i="3"/>
  <c r="T13" i="3"/>
  <c r="AR9" i="1"/>
  <c r="F8" i="2"/>
  <c r="AQ135" i="2"/>
  <c r="L135" i="2"/>
  <c r="AI135" i="2"/>
  <c r="G125" i="2"/>
  <c r="AS126" i="1"/>
  <c r="F8" i="3"/>
  <c r="S10" i="3"/>
  <c r="L8" i="3"/>
  <c r="Y11" i="3"/>
  <c r="X12" i="3"/>
  <c r="AL68" i="2"/>
  <c r="O68" i="2"/>
  <c r="AT68" i="2"/>
  <c r="Z12" i="3"/>
  <c r="L8" i="2"/>
  <c r="AI8" i="2"/>
  <c r="AQ8" i="2"/>
  <c r="O60" i="2"/>
  <c r="AT60" i="2"/>
  <c r="AL60" i="2"/>
  <c r="W11" i="3"/>
  <c r="J8" i="3"/>
  <c r="G7" i="2"/>
  <c r="U11" i="3"/>
  <c r="I157" i="2"/>
  <c r="AU158" i="1"/>
  <c r="U12" i="3"/>
  <c r="M135" i="2"/>
  <c r="AR135" i="2"/>
  <c r="AJ135" i="2"/>
  <c r="AK34" i="2"/>
  <c r="AS34" i="2"/>
  <c r="N34" i="2"/>
  <c r="AJ68" i="2"/>
  <c r="M68" i="2"/>
  <c r="AR68" i="2"/>
  <c r="AU34" i="2"/>
  <c r="P34" i="2"/>
  <c r="AM34" i="2"/>
  <c r="K8" i="3"/>
  <c r="X11" i="3"/>
  <c r="N12" i="2"/>
  <c r="AS12" i="2"/>
  <c r="AK12" i="2"/>
  <c r="F157" i="2"/>
  <c r="AR158" i="1"/>
  <c r="AT30" i="1"/>
  <c r="H29" i="2"/>
  <c r="I31" i="2"/>
  <c r="AU32" i="1"/>
  <c r="G8" i="2"/>
  <c r="AS9" i="1"/>
  <c r="AR34" i="2"/>
  <c r="AJ34" i="2"/>
  <c r="M34" i="2"/>
  <c r="H125" i="2"/>
  <c r="AT126" i="1"/>
  <c r="M12" i="2"/>
  <c r="AR12" i="2"/>
  <c r="AJ12" i="2"/>
  <c r="AU9" i="1"/>
  <c r="AU8" i="2"/>
  <c r="AM8" i="2"/>
  <c r="R10" i="3"/>
  <c r="E8" i="3"/>
  <c r="S8" i="3" l="1"/>
  <c r="AU31" i="1"/>
  <c r="I30" i="2"/>
  <c r="AJ157" i="2"/>
  <c r="AR157" i="2"/>
  <c r="M157" i="2"/>
  <c r="AI125" i="2"/>
  <c r="AQ125" i="2"/>
  <c r="L125" i="2"/>
  <c r="AR44" i="2"/>
  <c r="M44" i="2"/>
  <c r="AJ44" i="2"/>
  <c r="L29" i="2"/>
  <c r="AQ29" i="2"/>
  <c r="AI29" i="2"/>
  <c r="I125" i="2"/>
  <c r="AU126" i="1"/>
  <c r="Y8" i="3"/>
  <c r="Z8" i="3"/>
  <c r="AL29" i="2"/>
  <c r="O29" i="2"/>
  <c r="AT29" i="2"/>
  <c r="R20" i="3"/>
  <c r="E18" i="3"/>
  <c r="AM157" i="2"/>
  <c r="AU157" i="2"/>
  <c r="P157" i="2"/>
  <c r="AJ125" i="2"/>
  <c r="AR125" i="2"/>
  <c r="M125" i="2"/>
  <c r="M29" i="2"/>
  <c r="AR29" i="2"/>
  <c r="AJ29" i="2"/>
  <c r="AT30" i="2"/>
  <c r="O30" i="2"/>
  <c r="AL30" i="2"/>
  <c r="P103" i="2"/>
  <c r="AU103" i="2"/>
  <c r="AM103" i="2"/>
  <c r="U8" i="3"/>
  <c r="AT8" i="2"/>
  <c r="AL8" i="2"/>
  <c r="O8" i="2"/>
  <c r="AR47" i="1"/>
  <c r="F46" i="2"/>
  <c r="H39" i="2"/>
  <c r="AT40" i="1"/>
  <c r="T20" i="3"/>
  <c r="G18" i="3"/>
  <c r="H35" i="2"/>
  <c r="AT36" i="1"/>
  <c r="X8" i="3"/>
  <c r="O44" i="2"/>
  <c r="AT44" i="2"/>
  <c r="AL44" i="2"/>
  <c r="AU30" i="1"/>
  <c r="I29" i="2"/>
  <c r="AL157" i="2"/>
  <c r="AT157" i="2"/>
  <c r="O157" i="2"/>
  <c r="N29" i="2"/>
  <c r="AK29" i="2"/>
  <c r="AS29" i="2"/>
  <c r="AJ30" i="2"/>
  <c r="AR30" i="2"/>
  <c r="M30" i="2"/>
  <c r="AS30" i="2"/>
  <c r="AK30" i="2"/>
  <c r="N30" i="2"/>
  <c r="M8" i="2"/>
  <c r="AR8" i="2"/>
  <c r="AJ8" i="2"/>
  <c r="AK157" i="2"/>
  <c r="AS157" i="2"/>
  <c r="N157" i="2"/>
  <c r="AQ47" i="1"/>
  <c r="E46" i="2"/>
  <c r="W8" i="3"/>
  <c r="AQ157" i="2"/>
  <c r="AI157" i="2"/>
  <c r="L157" i="2"/>
  <c r="AS8" i="2"/>
  <c r="AK8" i="2"/>
  <c r="N8" i="2"/>
  <c r="G46" i="2"/>
  <c r="AS47" i="1"/>
  <c r="AI44" i="2"/>
  <c r="L44" i="2"/>
  <c r="AQ44" i="2"/>
  <c r="H7" i="2"/>
  <c r="AT8" i="1"/>
  <c r="I46" i="2"/>
  <c r="AU47" i="1"/>
  <c r="AK125" i="2"/>
  <c r="N125" i="2"/>
  <c r="AS125" i="2"/>
  <c r="P44" i="2"/>
  <c r="AU44" i="2"/>
  <c r="AM44" i="2"/>
  <c r="E39" i="2"/>
  <c r="AQ40" i="1"/>
  <c r="R8" i="3"/>
  <c r="AI30" i="2"/>
  <c r="AQ30" i="2"/>
  <c r="L30" i="2"/>
  <c r="N44" i="2"/>
  <c r="AS44" i="2"/>
  <c r="AK44" i="2"/>
  <c r="Q20" i="3"/>
  <c r="D18" i="3"/>
  <c r="H46" i="2"/>
  <c r="AT47" i="1"/>
  <c r="AS7" i="2"/>
  <c r="AK7" i="2"/>
  <c r="F7" i="2"/>
  <c r="AR8" i="1"/>
  <c r="I39" i="2"/>
  <c r="AU40" i="1"/>
  <c r="AL125" i="2"/>
  <c r="O125" i="2"/>
  <c r="AT125" i="2"/>
  <c r="G35" i="2"/>
  <c r="AS36" i="1"/>
  <c r="U20" i="3"/>
  <c r="H18" i="3"/>
  <c r="E7" i="2"/>
  <c r="AQ8" i="1"/>
  <c r="AS40" i="1"/>
  <c r="G39" i="2"/>
  <c r="AM31" i="2"/>
  <c r="P31" i="2"/>
  <c r="AU31" i="2"/>
  <c r="AQ36" i="1"/>
  <c r="E35" i="2"/>
  <c r="F39" i="2"/>
  <c r="AR40" i="1"/>
  <c r="S20" i="3"/>
  <c r="F18" i="3"/>
  <c r="F35" i="2"/>
  <c r="AR36" i="1"/>
  <c r="O7" i="2" l="1"/>
  <c r="AT7" i="2"/>
  <c r="AL7" i="2"/>
  <c r="S18" i="3"/>
  <c r="AR35" i="2"/>
  <c r="AJ35" i="2"/>
  <c r="M35" i="2"/>
  <c r="N35" i="2"/>
  <c r="AS35" i="2"/>
  <c r="AK35" i="2"/>
  <c r="I35" i="2"/>
  <c r="AU36" i="1"/>
  <c r="T18" i="3"/>
  <c r="P125" i="2"/>
  <c r="AU125" i="2"/>
  <c r="AM125" i="2"/>
  <c r="AL35" i="2"/>
  <c r="AT35" i="2"/>
  <c r="O35" i="2"/>
  <c r="AS46" i="2"/>
  <c r="AK46" i="2"/>
  <c r="N46" i="2"/>
  <c r="AJ39" i="2"/>
  <c r="M39" i="2"/>
  <c r="AR39" i="2"/>
  <c r="H9" i="2"/>
  <c r="AT10" i="1"/>
  <c r="G9" i="2"/>
  <c r="AS10" i="1"/>
  <c r="AQ10" i="1"/>
  <c r="E9" i="2"/>
  <c r="L35" i="2"/>
  <c r="AI35" i="2"/>
  <c r="AQ35" i="2"/>
  <c r="AI39" i="2"/>
  <c r="L39" i="2"/>
  <c r="AQ39" i="2"/>
  <c r="AQ46" i="2"/>
  <c r="L46" i="2"/>
  <c r="AI46" i="2"/>
  <c r="I7" i="2"/>
  <c r="AU8" i="1"/>
  <c r="AU29" i="2"/>
  <c r="P29" i="2"/>
  <c r="AM29" i="2"/>
  <c r="AL46" i="2"/>
  <c r="O46" i="2"/>
  <c r="AT46" i="2"/>
  <c r="AL39" i="2"/>
  <c r="AT39" i="2"/>
  <c r="O39" i="2"/>
  <c r="M7" i="2"/>
  <c r="AR7" i="2"/>
  <c r="AJ7" i="2"/>
  <c r="AK39" i="2"/>
  <c r="N39" i="2"/>
  <c r="AS39" i="2"/>
  <c r="N7" i="2"/>
  <c r="L7" i="2"/>
  <c r="AQ7" i="2"/>
  <c r="AI7" i="2"/>
  <c r="Q18" i="3"/>
  <c r="AU46" i="2"/>
  <c r="P46" i="2"/>
  <c r="AM46" i="2"/>
  <c r="AU39" i="2"/>
  <c r="P39" i="2"/>
  <c r="AM39" i="2"/>
  <c r="AR46" i="2"/>
  <c r="M46" i="2"/>
  <c r="AJ46" i="2"/>
  <c r="R18" i="3"/>
  <c r="F9" i="2"/>
  <c r="AR10" i="1"/>
  <c r="U18" i="3"/>
  <c r="AM30" i="2"/>
  <c r="AU30" i="2"/>
  <c r="P30" i="2"/>
  <c r="AQ9" i="2" l="1"/>
  <c r="L9" i="2"/>
  <c r="AI9" i="2"/>
  <c r="AL9" i="2"/>
  <c r="AT9" i="2"/>
  <c r="O9" i="2"/>
  <c r="AU7" i="2"/>
  <c r="P7" i="2"/>
  <c r="AM7" i="2"/>
  <c r="AJ9" i="2"/>
  <c r="M9" i="2"/>
  <c r="AR9" i="2"/>
  <c r="P35" i="2"/>
  <c r="AU35" i="2"/>
  <c r="AM35" i="2"/>
  <c r="AK9" i="2"/>
  <c r="N9" i="2"/>
  <c r="AS9" i="2"/>
  <c r="I9" i="2"/>
  <c r="AU10" i="1"/>
  <c r="AM9" i="2" l="1"/>
  <c r="P9" i="2"/>
  <c r="AU9" i="2"/>
</calcChain>
</file>

<file path=xl/sharedStrings.xml><?xml version="1.0" encoding="utf-8"?>
<sst xmlns="http://schemas.openxmlformats.org/spreadsheetml/2006/main" count="380" uniqueCount="79">
  <si>
    <t>Sept 2026</t>
  </si>
  <si>
    <t>Gateway</t>
  </si>
  <si>
    <t>California tourism summary (millions)</t>
  </si>
  <si>
    <t>California tourism summary (% change)</t>
  </si>
  <si>
    <t>Forecast  &gt;&gt;</t>
  </si>
  <si>
    <t>Total visits</t>
  </si>
  <si>
    <t>Business</t>
  </si>
  <si>
    <t>Leisure</t>
  </si>
  <si>
    <t>Domestic</t>
  </si>
  <si>
    <t>Total</t>
  </si>
  <si>
    <t>Group</t>
  </si>
  <si>
    <t>n/a</t>
  </si>
  <si>
    <t>Day</t>
  </si>
  <si>
    <t>Overnight</t>
  </si>
  <si>
    <t>Paid accom.</t>
  </si>
  <si>
    <t>Unpaid accom.</t>
  </si>
  <si>
    <t>Rural/Other</t>
  </si>
  <si>
    <t>Fly</t>
  </si>
  <si>
    <t xml:space="preserve"> </t>
  </si>
  <si>
    <t>Drive</t>
  </si>
  <si>
    <t>International</t>
  </si>
  <si>
    <t>Overseas</t>
  </si>
  <si>
    <t>Mexico</t>
  </si>
  <si>
    <t>Canada</t>
  </si>
  <si>
    <t>Total travel spending      ($ billions)</t>
  </si>
  <si>
    <t>Source: Tourism Economics; STR; Omnitrak (domestic); OAG (air traffic); NTTO (international); Dean Runyan (spending); VisaVue; BTS</t>
  </si>
  <si>
    <t>Annual domestic leisure trips to California (millions)</t>
  </si>
  <si>
    <t>Annual domestic leisure trips to California (% change)</t>
  </si>
  <si>
    <t>California</t>
  </si>
  <si>
    <t>Western markets</t>
  </si>
  <si>
    <t>Arizona</t>
  </si>
  <si>
    <t>Colorado</t>
  </si>
  <si>
    <t>Nevada</t>
  </si>
  <si>
    <t>Oregon</t>
  </si>
  <si>
    <t>Utah</t>
  </si>
  <si>
    <t>Washington</t>
  </si>
  <si>
    <t>Rest of West</t>
  </si>
  <si>
    <t>Idaho</t>
  </si>
  <si>
    <t>Montana</t>
  </si>
  <si>
    <t>New Mexico</t>
  </si>
  <si>
    <t>Wyoming</t>
  </si>
  <si>
    <t>Rest of US</t>
  </si>
  <si>
    <t>Illinois</t>
  </si>
  <si>
    <t>New York</t>
  </si>
  <si>
    <t>Texas</t>
  </si>
  <si>
    <t>Source: Tourism Economics; STR; Omnitrak (domestic); OAG (air traffic);  Dean Runyan (spending); VisaVue</t>
  </si>
  <si>
    <t>Annual domestic travel spending in California (billions)</t>
  </si>
  <si>
    <t>Annual domestic travel spending in California</t>
  </si>
  <si>
    <t>Annual international trips to California (thousands)</t>
  </si>
  <si>
    <t>Annual international trips to California (% change)</t>
  </si>
  <si>
    <t>China</t>
  </si>
  <si>
    <t>India</t>
  </si>
  <si>
    <t>Japan</t>
  </si>
  <si>
    <t>South Korea</t>
  </si>
  <si>
    <t>Australia</t>
  </si>
  <si>
    <t>United Kingdom</t>
  </si>
  <si>
    <t>Germany</t>
  </si>
  <si>
    <t>France</t>
  </si>
  <si>
    <t>Italy</t>
  </si>
  <si>
    <t>Nordics</t>
  </si>
  <si>
    <t>Brazil</t>
  </si>
  <si>
    <t>Middle East</t>
  </si>
  <si>
    <t>Land</t>
  </si>
  <si>
    <t>Air</t>
  </si>
  <si>
    <t>Rest of World</t>
  </si>
  <si>
    <t>Source: NTTO; STR; OAG (air traffic); BTS; VisaVue; Tourism Economics</t>
  </si>
  <si>
    <t>Annual international travel spending in California (billions)</t>
  </si>
  <si>
    <t>Annual international travel spending in California (% change)</t>
  </si>
  <si>
    <t>Source: NTTO; BEA; Tourism Economics</t>
  </si>
  <si>
    <t>Current: Sept 2026</t>
  </si>
  <si>
    <t>Previous: May 2026</t>
  </si>
  <si>
    <t>Current - Previous</t>
  </si>
  <si>
    <t>% Difference, Current vs Previous</t>
  </si>
  <si>
    <t>Baseline Forecast</t>
  </si>
  <si>
    <t>Downside Scenario</t>
  </si>
  <si>
    <t>Baseline Forecast (% change)</t>
  </si>
  <si>
    <t>Downside Scenario (% change)</t>
  </si>
  <si>
    <t>Total visits (millions)</t>
  </si>
  <si>
    <t>Total (thousands)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</si>
</sst>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#,##0.0"/>
    <numFmt numFmtId="165" formatCode="0.0%"/>
    <numFmt numFmtId="166" formatCode="&quot;$&quot;#,##0.0"/>
    <numFmt numFmtId="167" formatCode="&quot;$&quot;#,##0.00"/>
    <numFmt numFmtId="168" formatCode="0.0"/>
    <numFmt numFmtId="169" formatCode="_(&quot;$&quot;* #,##0_);_(&quot;$&quot;* \(#,##0\);_(&quot;$&quot;* &quot;-&quot;??_);_(@_)"/>
    <numFmt numFmtId="170" formatCode="_(&quot;$&quot;* #,##0.0_);_(&quot;$&quot;* \(#,##0.0\);_(&quot;$&quot;* &quot;-&quot;??_);_(@_)"/>
  </numFmts>
  <fonts count="13" x14ac:knownFonts="1">
    <font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7"/>
      <color theme="0" tint="-0.49998474074526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133">
    <xf numFmtId="0" fontId="0" fillId="0" borderId="0" xfId="0"/>
    <xf numFmtId="49" fontId="2" fillId="2" borderId="0" xfId="0" applyNumberFormat="1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164" fontId="3" fillId="3" borderId="0" xfId="0" applyNumberFormat="1" applyFont="1" applyFill="1"/>
    <xf numFmtId="0" fontId="0" fillId="3" borderId="0" xfId="0" applyFill="1" applyAlignment="1">
      <alignment horizontal="right"/>
    </xf>
    <xf numFmtId="0" fontId="0" fillId="3" borderId="0" xfId="0" applyFill="1"/>
    <xf numFmtId="0" fontId="5" fillId="3" borderId="0" xfId="0" applyFont="1" applyFill="1" applyAlignment="1">
      <alignment horizontal="left"/>
    </xf>
    <xf numFmtId="0" fontId="2" fillId="3" borderId="1" xfId="0" applyFont="1" applyFill="1" applyBorder="1"/>
    <xf numFmtId="0" fontId="2" fillId="4" borderId="1" xfId="0" applyFont="1" applyFill="1" applyBorder="1"/>
    <xf numFmtId="0" fontId="3" fillId="4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4" fontId="2" fillId="4" borderId="0" xfId="0" applyNumberFormat="1" applyFont="1" applyFill="1"/>
    <xf numFmtId="165" fontId="2" fillId="3" borderId="0" xfId="2" applyNumberFormat="1" applyFont="1" applyFill="1"/>
    <xf numFmtId="9" fontId="2" fillId="3" borderId="0" xfId="2" applyFont="1" applyFill="1"/>
    <xf numFmtId="165" fontId="2" fillId="4" borderId="0" xfId="2" applyNumberFormat="1" applyFont="1" applyFill="1"/>
    <xf numFmtId="0" fontId="3" fillId="3" borderId="0" xfId="0" applyFont="1" applyFill="1" applyAlignment="1">
      <alignment horizontal="left" indent="1"/>
    </xf>
    <xf numFmtId="164" fontId="3" fillId="4" borderId="0" xfId="0" applyNumberFormat="1" applyFont="1" applyFill="1"/>
    <xf numFmtId="165" fontId="3" fillId="3" borderId="0" xfId="2" applyNumberFormat="1" applyFont="1" applyFill="1"/>
    <xf numFmtId="9" fontId="3" fillId="3" borderId="0" xfId="2" applyFont="1" applyFill="1"/>
    <xf numFmtId="165" fontId="3" fillId="4" borderId="0" xfId="2" applyNumberFormat="1" applyFont="1" applyFill="1"/>
    <xf numFmtId="3" fontId="3" fillId="3" borderId="0" xfId="0" applyNumberFormat="1" applyFont="1" applyFill="1"/>
    <xf numFmtId="3" fontId="3" fillId="4" borderId="0" xfId="0" applyNumberFormat="1" applyFont="1" applyFill="1"/>
    <xf numFmtId="9" fontId="3" fillId="3" borderId="0" xfId="0" applyNumberFormat="1" applyFont="1" applyFill="1"/>
    <xf numFmtId="9" fontId="3" fillId="4" borderId="0" xfId="0" applyNumberFormat="1" applyFont="1" applyFill="1"/>
    <xf numFmtId="0" fontId="2" fillId="3" borderId="0" xfId="0" applyFont="1" applyFill="1" applyAlignment="1">
      <alignment horizontal="left" indent="1"/>
    </xf>
    <xf numFmtId="0" fontId="7" fillId="5" borderId="0" xfId="3" applyFont="1" applyFill="1" applyAlignment="1">
      <alignment horizontal="left" indent="2"/>
    </xf>
    <xf numFmtId="0" fontId="6" fillId="5" borderId="0" xfId="3" applyFill="1" applyAlignment="1">
      <alignment horizontal="left" indent="3"/>
    </xf>
    <xf numFmtId="0" fontId="6" fillId="5" borderId="0" xfId="3" applyFill="1" applyAlignment="1">
      <alignment horizontal="left" indent="4"/>
    </xf>
    <xf numFmtId="164" fontId="3" fillId="3" borderId="0" xfId="0" applyNumberFormat="1" applyFont="1" applyFill="1" applyAlignment="1">
      <alignment horizontal="right"/>
    </xf>
    <xf numFmtId="165" fontId="3" fillId="3" borderId="0" xfId="0" applyNumberFormat="1" applyFont="1" applyFill="1"/>
    <xf numFmtId="165" fontId="3" fillId="4" borderId="0" xfId="0" applyNumberFormat="1" applyFont="1" applyFill="1"/>
    <xf numFmtId="0" fontId="2" fillId="3" borderId="1" xfId="0" applyFont="1" applyFill="1" applyBorder="1" applyAlignment="1">
      <alignment horizontal="left" indent="1"/>
    </xf>
    <xf numFmtId="3" fontId="3" fillId="3" borderId="1" xfId="0" applyNumberFormat="1" applyFont="1" applyFill="1" applyBorder="1"/>
    <xf numFmtId="3" fontId="3" fillId="4" borderId="1" xfId="0" applyNumberFormat="1" applyFont="1" applyFill="1" applyBorder="1"/>
    <xf numFmtId="9" fontId="3" fillId="3" borderId="1" xfId="0" applyNumberFormat="1" applyFont="1" applyFill="1" applyBorder="1"/>
    <xf numFmtId="9" fontId="3" fillId="4" borderId="1" xfId="0" applyNumberFormat="1" applyFont="1" applyFill="1" applyBorder="1"/>
    <xf numFmtId="166" fontId="2" fillId="3" borderId="0" xfId="0" applyNumberFormat="1" applyFont="1" applyFill="1"/>
    <xf numFmtId="166" fontId="2" fillId="4" borderId="0" xfId="0" applyNumberFormat="1" applyFont="1" applyFill="1"/>
    <xf numFmtId="0" fontId="7" fillId="5" borderId="0" xfId="3" applyFont="1" applyFill="1" applyAlignment="1">
      <alignment horizontal="left" indent="1"/>
    </xf>
    <xf numFmtId="166" fontId="3" fillId="3" borderId="0" xfId="1" applyNumberFormat="1" applyFont="1" applyFill="1"/>
    <xf numFmtId="166" fontId="3" fillId="4" borderId="0" xfId="1" applyNumberFormat="1" applyFont="1" applyFill="1"/>
    <xf numFmtId="1" fontId="3" fillId="3" borderId="0" xfId="0" applyNumberFormat="1" applyFont="1" applyFill="1"/>
    <xf numFmtId="166" fontId="3" fillId="3" borderId="0" xfId="0" applyNumberFormat="1" applyFont="1" applyFill="1"/>
    <xf numFmtId="167" fontId="3" fillId="3" borderId="0" xfId="0" applyNumberFormat="1" applyFont="1" applyFill="1"/>
    <xf numFmtId="0" fontId="6" fillId="5" borderId="0" xfId="3" applyFill="1" applyAlignment="1">
      <alignment horizontal="left" indent="2"/>
    </xf>
    <xf numFmtId="166" fontId="3" fillId="3" borderId="0" xfId="1" applyNumberFormat="1" applyFont="1" applyFill="1" applyAlignment="1">
      <alignment horizontal="right"/>
    </xf>
    <xf numFmtId="3" fontId="8" fillId="3" borderId="0" xfId="0" applyNumberFormat="1" applyFont="1" applyFill="1"/>
    <xf numFmtId="0" fontId="3" fillId="3" borderId="1" xfId="0" applyFont="1" applyFill="1" applyBorder="1"/>
    <xf numFmtId="0" fontId="3" fillId="4" borderId="1" xfId="0" applyFont="1" applyFill="1" applyBorder="1"/>
    <xf numFmtId="0" fontId="9" fillId="3" borderId="2" xfId="0" applyFont="1" applyFill="1" applyBorder="1"/>
    <xf numFmtId="0" fontId="9" fillId="3" borderId="0" xfId="0" applyFont="1" applyFill="1"/>
    <xf numFmtId="0" fontId="4" fillId="3" borderId="0" xfId="0" applyFont="1" applyFill="1" applyAlignment="1">
      <alignment horizontal="right"/>
    </xf>
    <xf numFmtId="0" fontId="7" fillId="5" borderId="0" xfId="3" applyFont="1" applyFill="1"/>
    <xf numFmtId="168" fontId="7" fillId="5" borderId="0" xfId="3" applyNumberFormat="1" applyFont="1" applyFill="1"/>
    <xf numFmtId="168" fontId="7" fillId="3" borderId="0" xfId="3" applyNumberFormat="1" applyFont="1" applyFill="1"/>
    <xf numFmtId="168" fontId="2" fillId="3" borderId="0" xfId="0" applyNumberFormat="1" applyFont="1" applyFill="1"/>
    <xf numFmtId="168" fontId="2" fillId="4" borderId="0" xfId="0" applyNumberFormat="1" applyFont="1" applyFill="1"/>
    <xf numFmtId="0" fontId="10" fillId="5" borderId="0" xfId="3" applyFont="1" applyFill="1"/>
    <xf numFmtId="168" fontId="3" fillId="3" borderId="0" xfId="0" applyNumberFormat="1" applyFont="1" applyFill="1"/>
    <xf numFmtId="168" fontId="3" fillId="4" borderId="0" xfId="0" applyNumberFormat="1" applyFont="1" applyFill="1"/>
    <xf numFmtId="0" fontId="11" fillId="5" borderId="1" xfId="3" applyFont="1" applyFill="1" applyBorder="1"/>
    <xf numFmtId="0" fontId="7" fillId="5" borderId="1" xfId="3" applyFont="1" applyFill="1" applyBorder="1"/>
    <xf numFmtId="0" fontId="3" fillId="6" borderId="0" xfId="0" applyFont="1" applyFill="1"/>
    <xf numFmtId="166" fontId="3" fillId="4" borderId="0" xfId="0" applyNumberFormat="1" applyFont="1" applyFill="1"/>
    <xf numFmtId="0" fontId="3" fillId="6" borderId="1" xfId="0" applyFont="1" applyFill="1" applyBorder="1"/>
    <xf numFmtId="9" fontId="4" fillId="3" borderId="0" xfId="2" applyFont="1" applyFill="1" applyAlignment="1">
      <alignment horizontal="right"/>
    </xf>
    <xf numFmtId="3" fontId="2" fillId="3" borderId="0" xfId="0" applyNumberFormat="1" applyFont="1" applyFill="1"/>
    <xf numFmtId="3" fontId="2" fillId="4" borderId="0" xfId="0" applyNumberFormat="1" applyFont="1" applyFill="1"/>
    <xf numFmtId="0" fontId="8" fillId="3" borderId="0" xfId="0" applyFont="1" applyFill="1" applyAlignment="1">
      <alignment horizontal="left" indent="2"/>
    </xf>
    <xf numFmtId="3" fontId="8" fillId="4" borderId="0" xfId="0" applyNumberFormat="1" applyFont="1" applyFill="1"/>
    <xf numFmtId="9" fontId="8" fillId="3" borderId="0" xfId="2" applyFont="1" applyFill="1"/>
    <xf numFmtId="165" fontId="8" fillId="3" borderId="0" xfId="2" applyNumberFormat="1" applyFont="1" applyFill="1"/>
    <xf numFmtId="165" fontId="8" fillId="4" borderId="0" xfId="2" applyNumberFormat="1" applyFont="1" applyFill="1"/>
    <xf numFmtId="165" fontId="3" fillId="3" borderId="1" xfId="2" applyNumberFormat="1" applyFont="1" applyFill="1" applyBorder="1"/>
    <xf numFmtId="9" fontId="3" fillId="3" borderId="1" xfId="2" applyFont="1" applyFill="1" applyBorder="1"/>
    <xf numFmtId="165" fontId="3" fillId="4" borderId="1" xfId="2" applyNumberFormat="1" applyFont="1" applyFill="1" applyBorder="1"/>
    <xf numFmtId="0" fontId="2" fillId="3" borderId="0" xfId="0" applyFont="1" applyFill="1" applyAlignment="1">
      <alignment horizontal="left" indent="2"/>
    </xf>
    <xf numFmtId="0" fontId="9" fillId="3" borderId="2" xfId="0" applyFont="1" applyFill="1" applyBorder="1" applyAlignment="1">
      <alignment horizontal="left"/>
    </xf>
    <xf numFmtId="0" fontId="9" fillId="3" borderId="0" xfId="0" applyFont="1" applyFill="1" applyAlignment="1">
      <alignment horizontal="left"/>
    </xf>
    <xf numFmtId="39" fontId="12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169" fontId="2" fillId="3" borderId="0" xfId="1" applyNumberFormat="1" applyFont="1" applyFill="1"/>
    <xf numFmtId="170" fontId="2" fillId="3" borderId="0" xfId="1" applyNumberFormat="1" applyFont="1" applyFill="1"/>
    <xf numFmtId="170" fontId="2" fillId="4" borderId="0" xfId="1" applyNumberFormat="1" applyFont="1" applyFill="1"/>
    <xf numFmtId="169" fontId="3" fillId="3" borderId="0" xfId="1" applyNumberFormat="1" applyFont="1" applyFill="1"/>
    <xf numFmtId="170" fontId="3" fillId="3" borderId="0" xfId="1" applyNumberFormat="1" applyFont="1" applyFill="1"/>
    <xf numFmtId="169" fontId="3" fillId="4" borderId="0" xfId="1" applyNumberFormat="1" applyFont="1" applyFill="1"/>
    <xf numFmtId="170" fontId="3" fillId="4" borderId="0" xfId="1" applyNumberFormat="1" applyFont="1" applyFill="1"/>
    <xf numFmtId="169" fontId="8" fillId="3" borderId="0" xfId="1" applyNumberFormat="1" applyFont="1" applyFill="1"/>
    <xf numFmtId="170" fontId="8" fillId="3" borderId="0" xfId="1" applyNumberFormat="1" applyFont="1" applyFill="1"/>
    <xf numFmtId="165" fontId="3" fillId="3" borderId="1" xfId="0" applyNumberFormat="1" applyFont="1" applyFill="1" applyBorder="1"/>
    <xf numFmtId="165" fontId="3" fillId="4" borderId="1" xfId="0" applyNumberFormat="1" applyFont="1" applyFill="1" applyBorder="1"/>
    <xf numFmtId="0" fontId="3" fillId="3" borderId="2" xfId="0" applyFont="1" applyFill="1" applyBorder="1"/>
    <xf numFmtId="167" fontId="0" fillId="3" borderId="0" xfId="0" applyNumberFormat="1" applyFill="1"/>
    <xf numFmtId="0" fontId="4" fillId="7" borderId="0" xfId="0" applyFont="1" applyFill="1"/>
    <xf numFmtId="0" fontId="2" fillId="7" borderId="0" xfId="0" applyFont="1" applyFill="1" applyAlignment="1">
      <alignment horizontal="centerContinuous"/>
    </xf>
    <xf numFmtId="0" fontId="3" fillId="7" borderId="0" xfId="0" applyFont="1" applyFill="1" applyAlignment="1">
      <alignment horizontal="centerContinuous"/>
    </xf>
    <xf numFmtId="0" fontId="4" fillId="8" borderId="0" xfId="0" applyFont="1" applyFill="1"/>
    <xf numFmtId="0" fontId="2" fillId="8" borderId="0" xfId="0" applyFont="1" applyFill="1" applyAlignment="1">
      <alignment horizontal="centerContinuous"/>
    </xf>
    <xf numFmtId="0" fontId="3" fillId="8" borderId="0" xfId="0" applyFont="1" applyFill="1" applyAlignment="1">
      <alignment horizontal="centerContinuous"/>
    </xf>
    <xf numFmtId="0" fontId="4" fillId="9" borderId="0" xfId="0" applyFont="1" applyFill="1"/>
    <xf numFmtId="0" fontId="2" fillId="9" borderId="0" xfId="0" applyFont="1" applyFill="1" applyAlignment="1">
      <alignment horizontal="centerContinuous"/>
    </xf>
    <xf numFmtId="165" fontId="3" fillId="3" borderId="0" xfId="2" applyNumberFormat="1" applyFont="1" applyFill="1" applyBorder="1"/>
    <xf numFmtId="165" fontId="7" fillId="3" borderId="0" xfId="2" applyNumberFormat="1" applyFont="1" applyFill="1" applyBorder="1"/>
    <xf numFmtId="167" fontId="3" fillId="4" borderId="0" xfId="0" applyNumberFormat="1" applyFont="1" applyFill="1"/>
    <xf numFmtId="0" fontId="5" fillId="3" borderId="0" xfId="0" applyFont="1" applyFill="1" applyAlignment="1">
      <alignment horizontal="centerContinuous"/>
    </xf>
    <xf numFmtId="0" fontId="3" fillId="3" borderId="0" xfId="0" applyFont="1" applyFill="1" applyAlignment="1">
      <alignment horizontal="centerContinuous"/>
    </xf>
    <xf numFmtId="0" fontId="2" fillId="10" borderId="1" xfId="0" applyFont="1" applyFill="1" applyBorder="1"/>
    <xf numFmtId="0" fontId="3" fillId="10" borderId="0" xfId="0" applyFont="1" applyFill="1"/>
    <xf numFmtId="164" fontId="2" fillId="10" borderId="0" xfId="0" applyNumberFormat="1" applyFont="1" applyFill="1"/>
    <xf numFmtId="165" fontId="2" fillId="10" borderId="0" xfId="2" applyNumberFormat="1" applyFont="1" applyFill="1"/>
    <xf numFmtId="3" fontId="3" fillId="10" borderId="0" xfId="0" applyNumberFormat="1" applyFont="1" applyFill="1"/>
    <xf numFmtId="9" fontId="3" fillId="10" borderId="0" xfId="0" applyNumberFormat="1" applyFont="1" applyFill="1"/>
    <xf numFmtId="164" fontId="3" fillId="10" borderId="0" xfId="0" applyNumberFormat="1" applyFont="1" applyFill="1"/>
    <xf numFmtId="165" fontId="3" fillId="10" borderId="0" xfId="2" applyNumberFormat="1" applyFont="1" applyFill="1"/>
    <xf numFmtId="3" fontId="3" fillId="10" borderId="1" xfId="0" applyNumberFormat="1" applyFont="1" applyFill="1" applyBorder="1"/>
    <xf numFmtId="9" fontId="3" fillId="10" borderId="1" xfId="0" applyNumberFormat="1" applyFont="1" applyFill="1" applyBorder="1"/>
    <xf numFmtId="166" fontId="2" fillId="10" borderId="0" xfId="0" applyNumberFormat="1" applyFont="1" applyFill="1"/>
    <xf numFmtId="166" fontId="3" fillId="10" borderId="0" xfId="1" applyNumberFormat="1" applyFont="1" applyFill="1"/>
    <xf numFmtId="0" fontId="3" fillId="10" borderId="1" xfId="0" applyFont="1" applyFill="1" applyBorder="1"/>
    <xf numFmtId="3" fontId="2" fillId="10" borderId="0" xfId="0" applyNumberFormat="1" applyFont="1" applyFill="1"/>
    <xf numFmtId="165" fontId="8" fillId="10" borderId="0" xfId="2" applyNumberFormat="1" applyFont="1" applyFill="1"/>
    <xf numFmtId="165" fontId="3" fillId="10" borderId="1" xfId="2" applyNumberFormat="1" applyFont="1" applyFill="1" applyBorder="1"/>
    <xf numFmtId="0" fontId="2" fillId="3" borderId="2" xfId="0" applyFont="1" applyFill="1" applyBorder="1" applyAlignment="1">
      <alignment horizontal="left" indent="1"/>
    </xf>
    <xf numFmtId="165" fontId="0" fillId="3" borderId="0" xfId="2" applyNumberFormat="1" applyFont="1" applyFill="1"/>
    <xf numFmtId="9" fontId="3" fillId="3" borderId="0" xfId="2" applyFont="1" applyFill="1" applyAlignment="1">
      <alignment horizontal="right"/>
    </xf>
    <xf numFmtId="165" fontId="3" fillId="3" borderId="0" xfId="2" applyNumberFormat="1" applyFont="1" applyFill="1" applyAlignment="1">
      <alignment horizontal="right"/>
    </xf>
    <xf numFmtId="0" fontId="7" fillId="5" borderId="0" xfId="3" applyFont="1" applyFill="1" applyAlignment="1">
      <alignment vertical="top" wrapText="1"/>
    </xf>
    <xf numFmtId="0" fontId="9" fillId="3" borderId="2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</cellXfs>
  <cellStyles count="4">
    <cellStyle name="Currency" xfId="1" builtinId="4"/>
    <cellStyle name="Normal" xfId="0" builtinId="0"/>
    <cellStyle name="Normal 2" xfId="3" xr:uid="{661B12D6-4864-4037-ADD6-35BB4029C85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F7BE-67C3-4CEB-8E1C-0A0FCE9AACD2}">
  <dimension ref="A1:CU166"/>
  <sheetViews>
    <sheetView tabSelected="1" zoomScaleNormal="100" workbookViewId="0">
      <selection activeCell="X6" sqref="X6"/>
    </sheetView>
  </sheetViews>
  <sheetFormatPr baseColWidth="10" defaultColWidth="8.75" defaultRowHeight="13" outlineLevelCol="1" x14ac:dyDescent="0.15"/>
  <cols>
    <col min="1" max="1" width="4.75" style="2" customWidth="1"/>
    <col min="2" max="2" width="28" style="2" customWidth="1"/>
    <col min="3" max="4" width="8.75" style="2" hidden="1" customWidth="1" outlineLevel="1"/>
    <col min="5" max="12" width="10.75" style="2" hidden="1" customWidth="1" outlineLevel="1"/>
    <col min="13" max="13" width="10.75" style="2" customWidth="1" collapsed="1"/>
    <col min="14" max="24" width="10.75" style="2" customWidth="1"/>
    <col min="25" max="25" width="5.75" style="2" customWidth="1"/>
    <col min="26" max="26" width="30.75" style="2" customWidth="1"/>
    <col min="27" max="33" width="8.75" style="2" hidden="1" customWidth="1" outlineLevel="1"/>
    <col min="34" max="34" width="8.75" style="2" hidden="1" customWidth="1" outlineLevel="1" collapsed="1"/>
    <col min="35" max="37" width="8.75" style="2" hidden="1" customWidth="1" outlineLevel="1"/>
    <col min="38" max="38" width="10" style="2" hidden="1" customWidth="1" outlineLevel="1"/>
    <col min="39" max="39" width="10.75" style="2" bestFit="1" customWidth="1" collapsed="1"/>
    <col min="40" max="41" width="9.5" style="2" bestFit="1" customWidth="1"/>
    <col min="42" max="47" width="8.75" style="2" customWidth="1"/>
    <col min="48" max="48" width="5.75" style="2" customWidth="1"/>
    <col min="49" max="81" width="8.75" style="2"/>
    <col min="82" max="82" width="13" style="2" customWidth="1"/>
    <col min="83" max="16384" width="8.75" style="2"/>
  </cols>
  <sheetData>
    <row r="1" spans="2:47" x14ac:dyDescent="0.15">
      <c r="B1" s="1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2:47" x14ac:dyDescent="0.15"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2:47" x14ac:dyDescent="0.15"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2:47" ht="16" x14ac:dyDescent="0.2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Q4" s="5"/>
      <c r="R4" s="6"/>
      <c r="S4" s="7"/>
      <c r="T4" s="7"/>
      <c r="Z4" s="132" t="s">
        <v>3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O4" s="6"/>
      <c r="AP4" s="7"/>
      <c r="AQ4" s="7"/>
    </row>
    <row r="5" spans="2:47" ht="15.5" customHeight="1" x14ac:dyDescent="0.2">
      <c r="B5" s="4"/>
      <c r="T5" s="7" t="s">
        <v>4</v>
      </c>
      <c r="Z5" s="4"/>
      <c r="AQ5" s="7" t="s">
        <v>4</v>
      </c>
    </row>
    <row r="6" spans="2:47" x14ac:dyDescent="0.15">
      <c r="C6" s="9">
        <v>2009</v>
      </c>
      <c r="D6" s="9">
        <f>C6+1</f>
        <v>2010</v>
      </c>
      <c r="E6" s="9">
        <f t="shared" ref="E6:Q6" si="0">D6+1</f>
        <v>2011</v>
      </c>
      <c r="F6" s="9">
        <f t="shared" si="0"/>
        <v>2012</v>
      </c>
      <c r="G6" s="9">
        <f t="shared" si="0"/>
        <v>2013</v>
      </c>
      <c r="H6" s="9">
        <f t="shared" si="0"/>
        <v>2014</v>
      </c>
      <c r="I6" s="9">
        <f t="shared" si="0"/>
        <v>2015</v>
      </c>
      <c r="J6" s="9">
        <f t="shared" si="0"/>
        <v>2016</v>
      </c>
      <c r="K6" s="9">
        <f t="shared" si="0"/>
        <v>2017</v>
      </c>
      <c r="L6" s="9">
        <f t="shared" si="0"/>
        <v>2018</v>
      </c>
      <c r="M6" s="9">
        <f t="shared" si="0"/>
        <v>2019</v>
      </c>
      <c r="N6" s="9">
        <f t="shared" si="0"/>
        <v>2020</v>
      </c>
      <c r="O6" s="9">
        <f t="shared" si="0"/>
        <v>2021</v>
      </c>
      <c r="P6" s="9">
        <f t="shared" si="0"/>
        <v>2022</v>
      </c>
      <c r="Q6" s="9">
        <f t="shared" si="0"/>
        <v>2023</v>
      </c>
      <c r="R6" s="9">
        <f>Q6+1</f>
        <v>2024</v>
      </c>
      <c r="S6" s="9">
        <f>R6+1</f>
        <v>2025</v>
      </c>
      <c r="T6" s="10">
        <f>S6+1</f>
        <v>2026</v>
      </c>
      <c r="U6" s="10">
        <f>T6+1</f>
        <v>2027</v>
      </c>
      <c r="V6" s="10">
        <f>U6+1</f>
        <v>2028</v>
      </c>
      <c r="W6" s="10">
        <v>2029</v>
      </c>
      <c r="X6" s="10">
        <v>2030</v>
      </c>
      <c r="AA6" s="9">
        <v>2010</v>
      </c>
      <c r="AB6" s="9">
        <f t="shared" ref="AB6:AT6" si="1">AA6+1</f>
        <v>2011</v>
      </c>
      <c r="AC6" s="9">
        <f t="shared" si="1"/>
        <v>2012</v>
      </c>
      <c r="AD6" s="9">
        <f t="shared" si="1"/>
        <v>2013</v>
      </c>
      <c r="AE6" s="9">
        <f t="shared" si="1"/>
        <v>2014</v>
      </c>
      <c r="AF6" s="9">
        <f t="shared" si="1"/>
        <v>2015</v>
      </c>
      <c r="AG6" s="9">
        <f t="shared" si="1"/>
        <v>2016</v>
      </c>
      <c r="AH6" s="9">
        <f t="shared" si="1"/>
        <v>2017</v>
      </c>
      <c r="AI6" s="9">
        <f t="shared" si="1"/>
        <v>2018</v>
      </c>
      <c r="AJ6" s="9">
        <f t="shared" si="1"/>
        <v>2019</v>
      </c>
      <c r="AK6" s="9">
        <f t="shared" si="1"/>
        <v>2020</v>
      </c>
      <c r="AL6" s="9">
        <f t="shared" si="1"/>
        <v>2021</v>
      </c>
      <c r="AM6" s="9">
        <f t="shared" si="1"/>
        <v>2022</v>
      </c>
      <c r="AN6" s="9">
        <f t="shared" si="1"/>
        <v>2023</v>
      </c>
      <c r="AO6" s="9">
        <f t="shared" si="1"/>
        <v>2024</v>
      </c>
      <c r="AP6" s="9">
        <f t="shared" si="1"/>
        <v>2025</v>
      </c>
      <c r="AQ6" s="10">
        <f t="shared" si="1"/>
        <v>2026</v>
      </c>
      <c r="AR6" s="10">
        <f t="shared" si="1"/>
        <v>2027</v>
      </c>
      <c r="AS6" s="10">
        <f t="shared" si="1"/>
        <v>2028</v>
      </c>
      <c r="AT6" s="10">
        <f t="shared" si="1"/>
        <v>2029</v>
      </c>
      <c r="AU6" s="10">
        <v>2030</v>
      </c>
    </row>
    <row r="7" spans="2:47" ht="4" customHeight="1" x14ac:dyDescent="0.15">
      <c r="T7" s="11"/>
      <c r="U7" s="11"/>
      <c r="V7" s="11"/>
      <c r="W7" s="11"/>
      <c r="X7" s="11"/>
      <c r="AQ7" s="11"/>
      <c r="AR7" s="11"/>
      <c r="AS7" s="11"/>
      <c r="AT7" s="11"/>
      <c r="AU7" s="11"/>
    </row>
    <row r="8" spans="2:47" x14ac:dyDescent="0.15">
      <c r="B8" s="12" t="s">
        <v>5</v>
      </c>
      <c r="C8" s="13">
        <v>194.93855341132067</v>
      </c>
      <c r="D8" s="13">
        <v>212.57175277144111</v>
      </c>
      <c r="E8" s="13">
        <v>222.817953208056</v>
      </c>
      <c r="F8" s="13">
        <v>229.73707319530772</v>
      </c>
      <c r="G8" s="13">
        <v>243.08526250658534</v>
      </c>
      <c r="H8" s="13">
        <v>251.3825266036597</v>
      </c>
      <c r="I8" s="13">
        <v>263.88857278127216</v>
      </c>
      <c r="J8" s="13">
        <v>268.8947995322207</v>
      </c>
      <c r="K8" s="13">
        <v>273.59260681767392</v>
      </c>
      <c r="L8" s="13">
        <v>281.47325492695836</v>
      </c>
      <c r="M8" s="13">
        <v>285.56365785660057</v>
      </c>
      <c r="N8" s="13">
        <v>140.64816367714431</v>
      </c>
      <c r="O8" s="13">
        <v>213.43226572850097</v>
      </c>
      <c r="P8" s="13">
        <v>259.0913483786245</v>
      </c>
      <c r="Q8" s="13">
        <v>264.11571496709621</v>
      </c>
      <c r="R8" s="13">
        <v>269.50541943468352</v>
      </c>
      <c r="S8" s="13">
        <v>271.40345634632916</v>
      </c>
      <c r="T8" s="14">
        <v>276.33703781053242</v>
      </c>
      <c r="U8" s="14">
        <v>282.50111679940574</v>
      </c>
      <c r="V8" s="14">
        <v>289.55265899933642</v>
      </c>
      <c r="W8" s="14">
        <v>296.4839755779609</v>
      </c>
      <c r="X8" s="14">
        <v>304.46597017530405</v>
      </c>
      <c r="Z8" s="12" t="s">
        <v>5</v>
      </c>
      <c r="AA8" s="15">
        <f t="shared" ref="AA8:AP10" si="2">D8/C8-1</f>
        <v>9.0455166777165807E-2</v>
      </c>
      <c r="AB8" s="15">
        <f t="shared" si="2"/>
        <v>4.8201138218169959E-2</v>
      </c>
      <c r="AC8" s="15">
        <f t="shared" si="2"/>
        <v>3.1052793940670398E-2</v>
      </c>
      <c r="AD8" s="15">
        <f t="shared" si="2"/>
        <v>5.8102025613993247E-2</v>
      </c>
      <c r="AE8" s="15">
        <f t="shared" si="2"/>
        <v>3.4133143291027679E-2</v>
      </c>
      <c r="AF8" s="15">
        <f t="shared" si="2"/>
        <v>4.9749067075493425E-2</v>
      </c>
      <c r="AG8" s="16">
        <f t="shared" si="2"/>
        <v>1.897098725490487E-2</v>
      </c>
      <c r="AH8" s="16">
        <f t="shared" si="2"/>
        <v>1.7470800081019533E-2</v>
      </c>
      <c r="AI8" s="16">
        <f t="shared" si="2"/>
        <v>2.8804316757492732E-2</v>
      </c>
      <c r="AJ8" s="16">
        <f t="shared" si="2"/>
        <v>1.4532119332984816E-2</v>
      </c>
      <c r="AK8" s="16">
        <f t="shared" si="2"/>
        <v>-0.50747176747619416</v>
      </c>
      <c r="AL8" s="16">
        <f t="shared" si="2"/>
        <v>0.51749059602677394</v>
      </c>
      <c r="AM8" s="15">
        <f t="shared" si="2"/>
        <v>0.21392774187294017</v>
      </c>
      <c r="AN8" s="15">
        <f t="shared" si="2"/>
        <v>1.9392259216349128E-2</v>
      </c>
      <c r="AO8" s="15">
        <f t="shared" si="2"/>
        <v>2.0406602720549172E-2</v>
      </c>
      <c r="AP8" s="15">
        <f t="shared" si="2"/>
        <v>7.0426669549985554E-3</v>
      </c>
      <c r="AQ8" s="17">
        <f t="shared" ref="AK8:AU10" si="3">T8/S8-1</f>
        <v>1.817803476278379E-2</v>
      </c>
      <c r="AR8" s="17">
        <f t="shared" si="3"/>
        <v>2.2306380055719055E-2</v>
      </c>
      <c r="AS8" s="17">
        <f t="shared" si="3"/>
        <v>2.4961112649114714E-2</v>
      </c>
      <c r="AT8" s="17">
        <f t="shared" si="3"/>
        <v>2.393801736298462E-2</v>
      </c>
      <c r="AU8" s="17">
        <f t="shared" si="3"/>
        <v>2.6922178784816841E-2</v>
      </c>
    </row>
    <row r="9" spans="2:47" x14ac:dyDescent="0.15">
      <c r="B9" s="18" t="s">
        <v>6</v>
      </c>
      <c r="C9" s="5">
        <v>47.64698445846598</v>
      </c>
      <c r="D9" s="5">
        <v>47.396180076718863</v>
      </c>
      <c r="E9" s="5">
        <v>48.29447900000001</v>
      </c>
      <c r="F9" s="5">
        <v>46.216906178400009</v>
      </c>
      <c r="G9" s="5">
        <v>46.715395507200007</v>
      </c>
      <c r="H9" s="5">
        <v>46.529858713800003</v>
      </c>
      <c r="I9" s="5">
        <v>48.014879181400005</v>
      </c>
      <c r="J9" s="5">
        <v>48.42200247400001</v>
      </c>
      <c r="K9" s="5">
        <v>49.092414217600009</v>
      </c>
      <c r="L9" s="5">
        <v>50.925727681000005</v>
      </c>
      <c r="M9" s="5">
        <v>50.964658102300007</v>
      </c>
      <c r="N9" s="5">
        <v>16.940475278600186</v>
      </c>
      <c r="O9" s="5">
        <v>25.846560191013914</v>
      </c>
      <c r="P9" s="5">
        <v>39.964086652551707</v>
      </c>
      <c r="Q9" s="5">
        <v>41.57514741149852</v>
      </c>
      <c r="R9" s="5">
        <v>44.199676439321358</v>
      </c>
      <c r="S9" s="5">
        <v>44.320416761366843</v>
      </c>
      <c r="T9" s="19">
        <v>45.419953090008981</v>
      </c>
      <c r="U9" s="19">
        <v>47.07001850336097</v>
      </c>
      <c r="V9" s="19">
        <v>47.991487666766709</v>
      </c>
      <c r="W9" s="19">
        <v>49.399005708516569</v>
      </c>
      <c r="X9" s="19">
        <v>50.968474651371423</v>
      </c>
      <c r="Z9" s="18" t="s">
        <v>6</v>
      </c>
      <c r="AA9" s="20">
        <f t="shared" si="2"/>
        <v>-5.2638038817701682E-3</v>
      </c>
      <c r="AB9" s="20">
        <f t="shared" si="2"/>
        <v>1.89529814813576E-2</v>
      </c>
      <c r="AC9" s="20">
        <f t="shared" si="2"/>
        <v>-4.3018847384190595E-2</v>
      </c>
      <c r="AD9" s="20">
        <f t="shared" si="2"/>
        <v>1.0785865390378957E-2</v>
      </c>
      <c r="AE9" s="20">
        <f t="shared" si="2"/>
        <v>-3.9716412841117599E-3</v>
      </c>
      <c r="AF9" s="20">
        <f t="shared" si="2"/>
        <v>3.191543040640199E-2</v>
      </c>
      <c r="AG9" s="21">
        <f t="shared" si="2"/>
        <v>8.4791068839702444E-3</v>
      </c>
      <c r="AH9" s="21">
        <f t="shared" si="2"/>
        <v>1.3845188330655622E-2</v>
      </c>
      <c r="AI9" s="21">
        <f t="shared" si="2"/>
        <v>3.7344129283883198E-2</v>
      </c>
      <c r="AJ9" s="21">
        <f t="shared" si="2"/>
        <v>7.6445488504095493E-4</v>
      </c>
      <c r="AK9" s="21">
        <f t="shared" si="3"/>
        <v>-0.6676034744587902</v>
      </c>
      <c r="AL9" s="21">
        <f t="shared" si="3"/>
        <v>0.52572816086595942</v>
      </c>
      <c r="AM9" s="20">
        <f t="shared" si="3"/>
        <v>0.5462052341667516</v>
      </c>
      <c r="AN9" s="20">
        <f t="shared" si="3"/>
        <v>4.0312713085460805E-2</v>
      </c>
      <c r="AO9" s="20">
        <f t="shared" si="3"/>
        <v>6.3127353508720674E-2</v>
      </c>
      <c r="AP9" s="20">
        <f t="shared" si="3"/>
        <v>2.7317014913275095E-3</v>
      </c>
      <c r="AQ9" s="22">
        <f t="shared" si="3"/>
        <v>2.4808799397405101E-2</v>
      </c>
      <c r="AR9" s="22">
        <f t="shared" si="3"/>
        <v>3.632908669196655E-2</v>
      </c>
      <c r="AS9" s="22">
        <f t="shared" si="3"/>
        <v>1.9576562591322233E-2</v>
      </c>
      <c r="AT9" s="22">
        <f t="shared" si="3"/>
        <v>2.9328493659606769E-2</v>
      </c>
      <c r="AU9" s="22">
        <f t="shared" si="3"/>
        <v>3.177126584522072E-2</v>
      </c>
    </row>
    <row r="10" spans="2:47" x14ac:dyDescent="0.15">
      <c r="B10" s="18" t="s">
        <v>7</v>
      </c>
      <c r="C10" s="5">
        <v>147.29156894645359</v>
      </c>
      <c r="D10" s="5">
        <v>165.17557295881724</v>
      </c>
      <c r="E10" s="5">
        <v>174.52300130805605</v>
      </c>
      <c r="F10" s="5">
        <v>183.52016701690778</v>
      </c>
      <c r="G10" s="5">
        <v>196.36986699938538</v>
      </c>
      <c r="H10" s="5">
        <v>204.8526678898597</v>
      </c>
      <c r="I10" s="5">
        <v>215.87369359987215</v>
      </c>
      <c r="J10" s="5">
        <v>220.47279705822069</v>
      </c>
      <c r="K10" s="5">
        <v>224.50019260007392</v>
      </c>
      <c r="L10" s="5">
        <v>230.54752724595841</v>
      </c>
      <c r="M10" s="5">
        <v>234.59899975430056</v>
      </c>
      <c r="N10" s="5">
        <v>123.70768839854412</v>
      </c>
      <c r="O10" s="5">
        <v>187.58570553748706</v>
      </c>
      <c r="P10" s="5">
        <v>219.12726172607279</v>
      </c>
      <c r="Q10" s="5">
        <v>222.5405675555977</v>
      </c>
      <c r="R10" s="5">
        <v>225.30574299536212</v>
      </c>
      <c r="S10" s="5">
        <v>227.08303958496234</v>
      </c>
      <c r="T10" s="19">
        <v>230.91708472052343</v>
      </c>
      <c r="U10" s="19">
        <v>235.43109829604475</v>
      </c>
      <c r="V10" s="19">
        <v>241.5611713325697</v>
      </c>
      <c r="W10" s="19">
        <v>247.08496986944436</v>
      </c>
      <c r="X10" s="19">
        <v>253.49749552393266</v>
      </c>
      <c r="Z10" s="18" t="s">
        <v>7</v>
      </c>
      <c r="AA10" s="20">
        <f t="shared" si="2"/>
        <v>0.12141906111995593</v>
      </c>
      <c r="AB10" s="20">
        <f t="shared" si="2"/>
        <v>5.6590863780865419E-2</v>
      </c>
      <c r="AC10" s="20">
        <f t="shared" si="2"/>
        <v>5.1552893552240464E-2</v>
      </c>
      <c r="AD10" s="20">
        <f t="shared" si="2"/>
        <v>7.0017917874354074E-2</v>
      </c>
      <c r="AE10" s="20">
        <f t="shared" si="2"/>
        <v>4.3198078300378251E-2</v>
      </c>
      <c r="AF10" s="20">
        <f t="shared" si="2"/>
        <v>5.3799766551920092E-2</v>
      </c>
      <c r="AG10" s="21">
        <f t="shared" si="2"/>
        <v>2.1304603546892009E-2</v>
      </c>
      <c r="AH10" s="21">
        <f t="shared" si="2"/>
        <v>1.8267085987890397E-2</v>
      </c>
      <c r="AI10" s="21">
        <f t="shared" si="2"/>
        <v>2.6936879544942061E-2</v>
      </c>
      <c r="AJ10" s="21">
        <f t="shared" si="2"/>
        <v>1.7573263772288739E-2</v>
      </c>
      <c r="AK10" s="21">
        <f t="shared" si="3"/>
        <v>-0.472684501945425</v>
      </c>
      <c r="AL10" s="21">
        <f t="shared" si="3"/>
        <v>0.51636254759809019</v>
      </c>
      <c r="AM10" s="20">
        <f t="shared" si="3"/>
        <v>0.1681447746682514</v>
      </c>
      <c r="AN10" s="20">
        <f t="shared" si="3"/>
        <v>1.5576819619056881E-2</v>
      </c>
      <c r="AO10" s="20">
        <f t="shared" si="3"/>
        <v>1.2425489294546566E-2</v>
      </c>
      <c r="AP10" s="20">
        <f t="shared" si="3"/>
        <v>7.8883767718109787E-3</v>
      </c>
      <c r="AQ10" s="22">
        <f t="shared" si="3"/>
        <v>1.6883890327382245E-2</v>
      </c>
      <c r="AR10" s="22">
        <f t="shared" si="3"/>
        <v>1.954820095266907E-2</v>
      </c>
      <c r="AS10" s="22">
        <f t="shared" si="3"/>
        <v>2.60376521236656E-2</v>
      </c>
      <c r="AT10" s="22">
        <f t="shared" si="3"/>
        <v>2.2867079615497277E-2</v>
      </c>
      <c r="AU10" s="22">
        <f t="shared" si="3"/>
        <v>2.5952714395685694E-2</v>
      </c>
    </row>
    <row r="11" spans="2:47" ht="4" customHeight="1" x14ac:dyDescent="0.15"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4"/>
      <c r="U11" s="24"/>
      <c r="V11" s="24"/>
      <c r="W11" s="24"/>
      <c r="X11" s="24"/>
      <c r="AA11" s="23"/>
      <c r="AB11" s="23"/>
      <c r="AC11" s="23"/>
      <c r="AD11" s="23"/>
      <c r="AE11" s="23"/>
      <c r="AF11" s="23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6"/>
      <c r="AR11" s="26"/>
      <c r="AS11" s="26"/>
      <c r="AT11" s="26"/>
      <c r="AU11" s="26"/>
    </row>
    <row r="12" spans="2:47" x14ac:dyDescent="0.15">
      <c r="B12" s="27" t="s">
        <v>8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4"/>
      <c r="U12" s="24"/>
      <c r="V12" s="24"/>
      <c r="W12" s="24"/>
      <c r="X12" s="24"/>
      <c r="Z12" s="27" t="s">
        <v>8</v>
      </c>
      <c r="AA12" s="23"/>
      <c r="AB12" s="23"/>
      <c r="AC12" s="23"/>
      <c r="AD12" s="23"/>
      <c r="AE12" s="23"/>
      <c r="AF12" s="23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6"/>
      <c r="AR12" s="26"/>
      <c r="AS12" s="26"/>
      <c r="AT12" s="26"/>
      <c r="AU12" s="26"/>
    </row>
    <row r="13" spans="2:47" x14ac:dyDescent="0.15">
      <c r="B13" s="28" t="s">
        <v>9</v>
      </c>
      <c r="C13" s="13">
        <v>182.78200081132067</v>
      </c>
      <c r="D13" s="13">
        <v>199.27600137144111</v>
      </c>
      <c r="E13" s="13">
        <v>208.61500130805601</v>
      </c>
      <c r="F13" s="13">
        <v>215.05599989530771</v>
      </c>
      <c r="G13" s="13">
        <v>227.17208810658533</v>
      </c>
      <c r="H13" s="13">
        <v>234.8489308036597</v>
      </c>
      <c r="I13" s="13">
        <v>246.31063268127218</v>
      </c>
      <c r="J13" s="13">
        <v>251.08474013222073</v>
      </c>
      <c r="K13" s="13">
        <v>256.1064719176739</v>
      </c>
      <c r="L13" s="13">
        <v>263.27740882695838</v>
      </c>
      <c r="M13" s="13">
        <v>268.10646895660057</v>
      </c>
      <c r="N13" s="13">
        <v>136.90455527714431</v>
      </c>
      <c r="O13" s="13">
        <v>208.29111159863896</v>
      </c>
      <c r="P13" s="13">
        <v>247.33498111348121</v>
      </c>
      <c r="Q13" s="13">
        <v>249.12127516224146</v>
      </c>
      <c r="R13" s="13">
        <v>252.98901310126922</v>
      </c>
      <c r="S13" s="13">
        <v>254.99636746355526</v>
      </c>
      <c r="T13" s="14">
        <v>259.54197715507331</v>
      </c>
      <c r="U13" s="14">
        <v>265.20869234067595</v>
      </c>
      <c r="V13" s="14">
        <v>271.58768986738846</v>
      </c>
      <c r="W13" s="14">
        <v>277.72021825385326</v>
      </c>
      <c r="X13" s="14">
        <v>284.91771286285973</v>
      </c>
      <c r="Z13" s="28" t="s">
        <v>9</v>
      </c>
      <c r="AA13" s="15">
        <f t="shared" ref="AA13:AP14" si="4">D13/C13-1</f>
        <v>9.0238647607028932E-2</v>
      </c>
      <c r="AB13" s="15">
        <f t="shared" si="4"/>
        <v>4.686464939251489E-2</v>
      </c>
      <c r="AC13" s="15">
        <f t="shared" si="4"/>
        <v>3.0875049957411527E-2</v>
      </c>
      <c r="AD13" s="15">
        <f t="shared" si="4"/>
        <v>5.6339224281935385E-2</v>
      </c>
      <c r="AE13" s="15">
        <f t="shared" si="4"/>
        <v>3.3793071856048185E-2</v>
      </c>
      <c r="AF13" s="15">
        <f t="shared" si="4"/>
        <v>4.8804573384218619E-2</v>
      </c>
      <c r="AG13" s="16">
        <f t="shared" si="4"/>
        <v>1.9382465949516092E-2</v>
      </c>
      <c r="AH13" s="16">
        <f t="shared" si="4"/>
        <v>2.000014729214028E-2</v>
      </c>
      <c r="AI13" s="16">
        <f t="shared" si="4"/>
        <v>2.7999827007845424E-2</v>
      </c>
      <c r="AJ13" s="16">
        <f t="shared" si="4"/>
        <v>1.8342098363692605E-2</v>
      </c>
      <c r="AK13" s="16">
        <f t="shared" si="4"/>
        <v>-0.48936496829061749</v>
      </c>
      <c r="AL13" s="16">
        <f t="shared" si="4"/>
        <v>0.52143302446717321</v>
      </c>
      <c r="AM13" s="15">
        <f t="shared" si="4"/>
        <v>0.18744856280798383</v>
      </c>
      <c r="AN13" s="15">
        <f t="shared" si="4"/>
        <v>7.2221650197579201E-3</v>
      </c>
      <c r="AO13" s="15">
        <f t="shared" si="4"/>
        <v>1.5525522404735925E-2</v>
      </c>
      <c r="AP13" s="15">
        <f t="shared" si="4"/>
        <v>7.9345515351787466E-3</v>
      </c>
      <c r="AQ13" s="17">
        <f t="shared" ref="AK13:AU16" si="5">T13/S13-1</f>
        <v>1.7826174297042474E-2</v>
      </c>
      <c r="AR13" s="17">
        <f t="shared" si="5"/>
        <v>2.1833520911404891E-2</v>
      </c>
      <c r="AS13" s="17">
        <f t="shared" si="5"/>
        <v>2.4052746802575742E-2</v>
      </c>
      <c r="AT13" s="17">
        <f t="shared" si="5"/>
        <v>2.2580288486047317E-2</v>
      </c>
      <c r="AU13" s="17">
        <f t="shared" si="5"/>
        <v>2.5916350830559765E-2</v>
      </c>
    </row>
    <row r="14" spans="2:47" x14ac:dyDescent="0.15">
      <c r="B14" s="29" t="s">
        <v>6</v>
      </c>
      <c r="C14" s="5">
        <v>44.243000000000009</v>
      </c>
      <c r="D14" s="5">
        <v>43.823000000000008</v>
      </c>
      <c r="E14" s="5">
        <v>44.234000000000009</v>
      </c>
      <c r="F14" s="5">
        <v>42.576000000000008</v>
      </c>
      <c r="G14" s="5">
        <v>42.928060000000009</v>
      </c>
      <c r="H14" s="5">
        <v>43.041270000000004</v>
      </c>
      <c r="I14" s="5">
        <v>44.253200000000007</v>
      </c>
      <c r="J14" s="5">
        <v>44.68189000000001</v>
      </c>
      <c r="K14" s="5">
        <v>45.175520000000006</v>
      </c>
      <c r="L14" s="5">
        <v>47.104600000000005</v>
      </c>
      <c r="M14" s="5">
        <v>47.351020000000005</v>
      </c>
      <c r="N14" s="5">
        <v>16.113137822200187</v>
      </c>
      <c r="O14" s="5">
        <v>25.219339387170749</v>
      </c>
      <c r="P14" s="5">
        <v>38.247657031840788</v>
      </c>
      <c r="Q14" s="5">
        <v>39.11204020047191</v>
      </c>
      <c r="R14" s="5">
        <v>40.73123110930436</v>
      </c>
      <c r="S14" s="5">
        <v>40.840473209330497</v>
      </c>
      <c r="T14" s="19">
        <v>41.786476077685649</v>
      </c>
      <c r="U14" s="19">
        <v>43.366351588032956</v>
      </c>
      <c r="V14" s="19">
        <v>44.182253204126511</v>
      </c>
      <c r="W14" s="19">
        <v>45.412441544465707</v>
      </c>
      <c r="X14" s="19">
        <v>46.827694658155622</v>
      </c>
      <c r="Z14" s="29" t="s">
        <v>6</v>
      </c>
      <c r="AA14" s="20">
        <f t="shared" si="4"/>
        <v>-9.4930271455372361E-3</v>
      </c>
      <c r="AB14" s="20">
        <f t="shared" si="4"/>
        <v>9.3786367889008293E-3</v>
      </c>
      <c r="AC14" s="20">
        <f t="shared" si="4"/>
        <v>-3.7482479540624891E-2</v>
      </c>
      <c r="AD14" s="20">
        <f t="shared" si="4"/>
        <v>8.2689778278843828E-3</v>
      </c>
      <c r="AE14" s="20">
        <f t="shared" si="4"/>
        <v>2.6372027992878078E-3</v>
      </c>
      <c r="AF14" s="20">
        <f t="shared" si="4"/>
        <v>2.8157394054590057E-2</v>
      </c>
      <c r="AG14" s="21">
        <f t="shared" si="4"/>
        <v>9.6872090605877315E-3</v>
      </c>
      <c r="AH14" s="21">
        <f t="shared" si="4"/>
        <v>1.1047652639581518E-2</v>
      </c>
      <c r="AI14" s="21">
        <f t="shared" si="4"/>
        <v>4.2701888102228747E-2</v>
      </c>
      <c r="AJ14" s="21">
        <f t="shared" si="4"/>
        <v>5.2313362176943379E-3</v>
      </c>
      <c r="AK14" s="21">
        <f t="shared" si="5"/>
        <v>-0.65970874920539857</v>
      </c>
      <c r="AL14" s="21">
        <f t="shared" si="5"/>
        <v>0.56514141847805188</v>
      </c>
      <c r="AM14" s="20">
        <f t="shared" si="5"/>
        <v>0.51660027428385513</v>
      </c>
      <c r="AN14" s="20">
        <f t="shared" si="5"/>
        <v>2.2599637094411706E-2</v>
      </c>
      <c r="AO14" s="20">
        <f>R14/Q14-1</f>
        <v>4.1398784122054444E-2</v>
      </c>
      <c r="AP14" s="20">
        <f t="shared" si="5"/>
        <v>2.6820230337005757E-3</v>
      </c>
      <c r="AQ14" s="22">
        <f t="shared" si="5"/>
        <v>2.316336697438226E-2</v>
      </c>
      <c r="AR14" s="22">
        <f t="shared" si="5"/>
        <v>3.7808297292409643E-2</v>
      </c>
      <c r="AS14" s="22">
        <f t="shared" si="5"/>
        <v>1.88141631983334E-2</v>
      </c>
      <c r="AT14" s="22">
        <f t="shared" si="5"/>
        <v>2.7843494867851204E-2</v>
      </c>
      <c r="AU14" s="22">
        <f t="shared" si="5"/>
        <v>3.1164435682326408E-2</v>
      </c>
    </row>
    <row r="15" spans="2:47" x14ac:dyDescent="0.15">
      <c r="B15" s="30" t="s">
        <v>10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31">
        <v>9.1669917634173075</v>
      </c>
      <c r="N15" s="31" t="s">
        <v>11</v>
      </c>
      <c r="O15" s="31" t="s">
        <v>11</v>
      </c>
      <c r="P15" s="31" t="s">
        <v>11</v>
      </c>
      <c r="Q15" s="5">
        <v>6.3322124888253555</v>
      </c>
      <c r="R15" s="5">
        <v>7.083692366835538</v>
      </c>
      <c r="S15" s="5">
        <v>7.2802582677502157</v>
      </c>
      <c r="T15" s="19">
        <v>7.4190979874276968</v>
      </c>
      <c r="U15" s="19">
        <v>7.6611034425289928</v>
      </c>
      <c r="V15" s="19">
        <v>7.8130459336690219</v>
      </c>
      <c r="W15" s="19">
        <v>8.0386190264634454</v>
      </c>
      <c r="X15" s="19">
        <v>8.2974271901404784</v>
      </c>
      <c r="Z15" s="30" t="s">
        <v>10</v>
      </c>
      <c r="AA15" s="20"/>
      <c r="AB15" s="20"/>
      <c r="AC15" s="20"/>
      <c r="AD15" s="20"/>
      <c r="AE15" s="20"/>
      <c r="AF15" s="20"/>
      <c r="AG15" s="21"/>
      <c r="AH15" s="21"/>
      <c r="AI15" s="21"/>
      <c r="AJ15" s="21"/>
      <c r="AK15" s="21"/>
      <c r="AL15" s="21"/>
      <c r="AM15" s="129" t="s">
        <v>11</v>
      </c>
      <c r="AN15" s="129" t="s">
        <v>11</v>
      </c>
      <c r="AO15" s="20">
        <f>R15/Q15-1</f>
        <v>0.11867572026939111</v>
      </c>
      <c r="AP15" s="20">
        <f t="shared" si="5"/>
        <v>2.7749073609543151E-2</v>
      </c>
      <c r="AQ15" s="22">
        <f t="shared" si="5"/>
        <v>1.9070713506484704E-2</v>
      </c>
      <c r="AR15" s="22">
        <f t="shared" si="5"/>
        <v>3.2619255805947711E-2</v>
      </c>
      <c r="AS15" s="22">
        <f t="shared" si="5"/>
        <v>1.9832977361531556E-2</v>
      </c>
      <c r="AT15" s="22">
        <f t="shared" si="5"/>
        <v>2.8871338362718824E-2</v>
      </c>
      <c r="AU15" s="22">
        <f t="shared" si="5"/>
        <v>3.2195600118008594E-2</v>
      </c>
    </row>
    <row r="16" spans="2:47" x14ac:dyDescent="0.15">
      <c r="B16" s="29" t="s">
        <v>7</v>
      </c>
      <c r="C16" s="5">
        <v>138.53900081132073</v>
      </c>
      <c r="D16" s="5">
        <v>155.45300137144116</v>
      </c>
      <c r="E16" s="5">
        <v>164.38100130805606</v>
      </c>
      <c r="F16" s="5">
        <v>172.47999989530777</v>
      </c>
      <c r="G16" s="5">
        <v>184.24402810658538</v>
      </c>
      <c r="H16" s="5">
        <v>191.8076608036597</v>
      </c>
      <c r="I16" s="5">
        <v>202.05743268127216</v>
      </c>
      <c r="J16" s="5">
        <v>206.40285013222069</v>
      </c>
      <c r="K16" s="5">
        <v>210.93095191767392</v>
      </c>
      <c r="L16" s="5">
        <v>216.1728088269584</v>
      </c>
      <c r="M16" s="5">
        <v>220.75544895660056</v>
      </c>
      <c r="N16" s="5">
        <v>120.79141745494412</v>
      </c>
      <c r="O16" s="5">
        <v>183.07177221146821</v>
      </c>
      <c r="P16" s="5">
        <v>209.08732408164042</v>
      </c>
      <c r="Q16" s="5">
        <v>210.00923496176955</v>
      </c>
      <c r="R16" s="5">
        <v>212.25778199196486</v>
      </c>
      <c r="S16" s="5">
        <v>214.15589425422476</v>
      </c>
      <c r="T16" s="19">
        <v>217.75550107738766</v>
      </c>
      <c r="U16" s="19">
        <v>221.842340752643</v>
      </c>
      <c r="V16" s="19">
        <v>227.40543666326195</v>
      </c>
      <c r="W16" s="19">
        <v>232.30777670938755</v>
      </c>
      <c r="X16" s="19">
        <v>238.09001820470411</v>
      </c>
      <c r="Z16" s="29" t="s">
        <v>7</v>
      </c>
      <c r="AA16" s="20">
        <f t="shared" ref="AA16:AN16" si="6">D16/C16-1</f>
        <v>0.12208836833720182</v>
      </c>
      <c r="AB16" s="20">
        <f t="shared" si="6"/>
        <v>5.7432148995838483E-2</v>
      </c>
      <c r="AC16" s="20">
        <f t="shared" si="6"/>
        <v>4.9269675466168339E-2</v>
      </c>
      <c r="AD16" s="20">
        <f t="shared" si="6"/>
        <v>6.8205172880439147E-2</v>
      </c>
      <c r="AE16" s="20">
        <f t="shared" si="6"/>
        <v>4.1052254310781633E-2</v>
      </c>
      <c r="AF16" s="20">
        <f t="shared" si="6"/>
        <v>5.3437760695619119E-2</v>
      </c>
      <c r="AG16" s="21">
        <f t="shared" si="6"/>
        <v>2.1505853030425515E-2</v>
      </c>
      <c r="AH16" s="21">
        <f t="shared" si="6"/>
        <v>2.1938174703268531E-2</v>
      </c>
      <c r="AI16" s="21">
        <f t="shared" si="6"/>
        <v>2.4851056052363374E-2</v>
      </c>
      <c r="AJ16" s="21">
        <f t="shared" si="6"/>
        <v>2.1198966486624338E-2</v>
      </c>
      <c r="AK16" s="21">
        <f t="shared" si="6"/>
        <v>-0.45282701729056241</v>
      </c>
      <c r="AL16" s="21">
        <f t="shared" si="6"/>
        <v>0.51560248293099975</v>
      </c>
      <c r="AM16" s="20">
        <f t="shared" si="6"/>
        <v>0.14210575205510856</v>
      </c>
      <c r="AN16" s="20">
        <f t="shared" si="6"/>
        <v>4.4092145909770952E-3</v>
      </c>
      <c r="AO16" s="20">
        <f t="shared" si="5"/>
        <v>1.0706895963906726E-2</v>
      </c>
      <c r="AP16" s="20">
        <f t="shared" si="5"/>
        <v>8.9424860867139966E-3</v>
      </c>
      <c r="AQ16" s="22">
        <f t="shared" si="5"/>
        <v>1.6808348122745675E-2</v>
      </c>
      <c r="AR16" s="22">
        <f t="shared" si="5"/>
        <v>1.8768020348670422E-2</v>
      </c>
      <c r="AS16" s="22">
        <f t="shared" si="5"/>
        <v>2.5076799549378581E-2</v>
      </c>
      <c r="AT16" s="22">
        <f t="shared" si="5"/>
        <v>2.1557708197561309E-2</v>
      </c>
      <c r="AU16" s="22">
        <f t="shared" si="5"/>
        <v>2.4890434479729162E-2</v>
      </c>
    </row>
    <row r="17" spans="1:47" ht="4" customHeight="1" x14ac:dyDescent="0.15">
      <c r="B17" s="2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4"/>
      <c r="U17" s="24"/>
      <c r="V17" s="24"/>
      <c r="W17" s="24"/>
      <c r="X17" s="24"/>
      <c r="Z17" s="29"/>
      <c r="AA17" s="23"/>
      <c r="AB17" s="23"/>
      <c r="AC17" s="23"/>
      <c r="AD17" s="23"/>
      <c r="AE17" s="23"/>
      <c r="AF17" s="23"/>
      <c r="AG17" s="25"/>
      <c r="AH17" s="25"/>
      <c r="AI17" s="25"/>
      <c r="AJ17" s="25"/>
      <c r="AK17" s="25"/>
      <c r="AL17" s="25"/>
      <c r="AM17" s="32"/>
      <c r="AN17" s="32"/>
      <c r="AO17" s="32"/>
      <c r="AP17" s="32"/>
      <c r="AQ17" s="33"/>
      <c r="AR17" s="33"/>
      <c r="AS17" s="33"/>
      <c r="AT17" s="33"/>
      <c r="AU17" s="33"/>
    </row>
    <row r="18" spans="1:47" x14ac:dyDescent="0.15">
      <c r="A18" s="21"/>
      <c r="B18" s="29" t="s">
        <v>12</v>
      </c>
      <c r="C18" s="5">
        <v>94.868755152424555</v>
      </c>
      <c r="D18" s="5">
        <v>104.12634161069948</v>
      </c>
      <c r="E18" s="5">
        <v>109.56200130805604</v>
      </c>
      <c r="F18" s="5">
        <v>113.258</v>
      </c>
      <c r="G18" s="5">
        <v>120.11860763001491</v>
      </c>
      <c r="H18" s="5">
        <v>124.38664062064865</v>
      </c>
      <c r="I18" s="5">
        <v>131.154241099334</v>
      </c>
      <c r="J18" s="5">
        <v>133.27975154389799</v>
      </c>
      <c r="K18" s="5">
        <v>136.88782346629131</v>
      </c>
      <c r="L18" s="5">
        <v>141.13786348851693</v>
      </c>
      <c r="M18" s="5">
        <v>91.08950826492071</v>
      </c>
      <c r="N18" s="5">
        <v>51.540478922411232</v>
      </c>
      <c r="O18" s="5">
        <v>71.988051866045481</v>
      </c>
      <c r="P18" s="5">
        <v>80.939038063302149</v>
      </c>
      <c r="Q18" s="5">
        <v>82.210020803539663</v>
      </c>
      <c r="R18" s="5">
        <v>86.028913905086597</v>
      </c>
      <c r="S18" s="5">
        <v>87.216369314104668</v>
      </c>
      <c r="T18" s="19">
        <v>88.258790894133085</v>
      </c>
      <c r="U18" s="19">
        <v>90.098279600090478</v>
      </c>
      <c r="V18" s="19">
        <v>92.086068407498431</v>
      </c>
      <c r="W18" s="19">
        <v>94.348953217541805</v>
      </c>
      <c r="X18" s="19">
        <v>96.982257368696935</v>
      </c>
      <c r="Z18" s="29" t="s">
        <v>12</v>
      </c>
      <c r="AA18" s="20">
        <f t="shared" ref="AA18:AP21" si="7">D18/C18-1</f>
        <v>9.7583091961108481E-2</v>
      </c>
      <c r="AB18" s="20">
        <f t="shared" si="7"/>
        <v>5.2202541770640876E-2</v>
      </c>
      <c r="AC18" s="20">
        <f t="shared" si="7"/>
        <v>3.3734311602723333E-2</v>
      </c>
      <c r="AD18" s="20">
        <f t="shared" si="7"/>
        <v>6.0575037789956765E-2</v>
      </c>
      <c r="AE18" s="20">
        <f t="shared" si="7"/>
        <v>3.5531822045256956E-2</v>
      </c>
      <c r="AF18" s="20">
        <f t="shared" si="7"/>
        <v>5.4407775987173945E-2</v>
      </c>
      <c r="AG18" s="21">
        <f t="shared" si="7"/>
        <v>1.6206189191809273E-2</v>
      </c>
      <c r="AH18" s="21">
        <f t="shared" si="7"/>
        <v>2.7071418430765437E-2</v>
      </c>
      <c r="AI18" s="21">
        <f t="shared" si="7"/>
        <v>3.1047611939510444E-2</v>
      </c>
      <c r="AJ18" s="21">
        <f t="shared" si="7"/>
        <v>-0.35460615589995936</v>
      </c>
      <c r="AK18" s="21">
        <f t="shared" si="7"/>
        <v>-0.43417765773295014</v>
      </c>
      <c r="AL18" s="21">
        <f t="shared" si="7"/>
        <v>0.396728423389622</v>
      </c>
      <c r="AM18" s="20">
        <f t="shared" si="7"/>
        <v>0.12433988648439276</v>
      </c>
      <c r="AN18" s="20">
        <f t="shared" si="7"/>
        <v>1.5702963250483482E-2</v>
      </c>
      <c r="AO18" s="20">
        <f t="shared" si="7"/>
        <v>4.6452890587062257E-2</v>
      </c>
      <c r="AP18" s="20">
        <f t="shared" si="7"/>
        <v>1.3802980359930661E-2</v>
      </c>
      <c r="AQ18" s="22">
        <f t="shared" ref="AK18:AU21" si="8">T18/S18-1</f>
        <v>1.1952132245659053E-2</v>
      </c>
      <c r="AR18" s="22">
        <f t="shared" si="8"/>
        <v>2.0841988512666942E-2</v>
      </c>
      <c r="AS18" s="22">
        <f t="shared" si="8"/>
        <v>2.2062450206939976E-2</v>
      </c>
      <c r="AT18" s="22">
        <f t="shared" si="8"/>
        <v>2.4573584790586134E-2</v>
      </c>
      <c r="AU18" s="22">
        <f t="shared" si="8"/>
        <v>2.7910263562580084E-2</v>
      </c>
    </row>
    <row r="19" spans="1:47" x14ac:dyDescent="0.15">
      <c r="A19" s="21"/>
      <c r="B19" s="29" t="s">
        <v>13</v>
      </c>
      <c r="C19" s="5">
        <v>87.913245658896159</v>
      </c>
      <c r="D19" s="5">
        <v>95.149659760741685</v>
      </c>
      <c r="E19" s="5">
        <v>99.053000000000026</v>
      </c>
      <c r="F19" s="5">
        <v>101.79800000000002</v>
      </c>
      <c r="G19" s="5">
        <v>107.05348047657044</v>
      </c>
      <c r="H19" s="5">
        <v>110.46229018301105</v>
      </c>
      <c r="I19" s="5">
        <v>115.15639158193817</v>
      </c>
      <c r="J19" s="5">
        <v>117.80498858832273</v>
      </c>
      <c r="K19" s="5">
        <v>119.21864845138261</v>
      </c>
      <c r="L19" s="5">
        <v>122.13950533844148</v>
      </c>
      <c r="M19" s="5">
        <v>177.01696069167986</v>
      </c>
      <c r="N19" s="5">
        <v>85.364076354733072</v>
      </c>
      <c r="O19" s="5">
        <v>136.30305973259348</v>
      </c>
      <c r="P19" s="5">
        <v>166.39594305017906</v>
      </c>
      <c r="Q19" s="5">
        <v>166.9112543587018</v>
      </c>
      <c r="R19" s="5">
        <v>166.96009919618263</v>
      </c>
      <c r="S19" s="5">
        <v>167.77999814945059</v>
      </c>
      <c r="T19" s="19">
        <v>171.28318626094023</v>
      </c>
      <c r="U19" s="19">
        <v>175.11041274058547</v>
      </c>
      <c r="V19" s="19">
        <v>179.50162145989003</v>
      </c>
      <c r="W19" s="19">
        <v>183.37126503631146</v>
      </c>
      <c r="X19" s="19">
        <v>187.9354554941628</v>
      </c>
      <c r="Z19" s="29" t="s">
        <v>13</v>
      </c>
      <c r="AA19" s="20">
        <f t="shared" si="7"/>
        <v>8.231312639648003E-2</v>
      </c>
      <c r="AB19" s="20">
        <f t="shared" si="7"/>
        <v>4.1023165496056224E-2</v>
      </c>
      <c r="AC19" s="20">
        <f t="shared" si="7"/>
        <v>2.771243677627111E-2</v>
      </c>
      <c r="AD19" s="20">
        <f t="shared" si="7"/>
        <v>5.1626559230735669E-2</v>
      </c>
      <c r="AE19" s="20">
        <f t="shared" si="7"/>
        <v>3.1842119389912327E-2</v>
      </c>
      <c r="AF19" s="20">
        <f t="shared" si="7"/>
        <v>4.2495057735540742E-2</v>
      </c>
      <c r="AG19" s="21">
        <f t="shared" si="7"/>
        <v>2.2999999999999909E-2</v>
      </c>
      <c r="AH19" s="21">
        <f t="shared" si="7"/>
        <v>1.2000000000000011E-2</v>
      </c>
      <c r="AI19" s="21">
        <f t="shared" si="7"/>
        <v>2.4499999999999966E-2</v>
      </c>
      <c r="AJ19" s="21">
        <f t="shared" si="7"/>
        <v>0.44930143773856068</v>
      </c>
      <c r="AK19" s="21">
        <f t="shared" si="8"/>
        <v>-0.51776329216601813</v>
      </c>
      <c r="AL19" s="21">
        <f t="shared" si="8"/>
        <v>0.59672622903083816</v>
      </c>
      <c r="AM19" s="20">
        <f t="shared" si="8"/>
        <v>0.22077922077922074</v>
      </c>
      <c r="AN19" s="20">
        <f t="shared" si="8"/>
        <v>3.0968982721371052E-3</v>
      </c>
      <c r="AO19" s="20">
        <f t="shared" si="8"/>
        <v>2.9263956866487639E-4</v>
      </c>
      <c r="AP19" s="20">
        <f t="shared" si="8"/>
        <v>4.9107478805732185E-3</v>
      </c>
      <c r="AQ19" s="22">
        <f t="shared" si="8"/>
        <v>2.0879652819933536E-2</v>
      </c>
      <c r="AR19" s="22">
        <f t="shared" si="8"/>
        <v>2.2344437671860451E-2</v>
      </c>
      <c r="AS19" s="22">
        <f t="shared" si="8"/>
        <v>2.5076799549378359E-2</v>
      </c>
      <c r="AT19" s="22">
        <f t="shared" si="8"/>
        <v>2.1557708197561309E-2</v>
      </c>
      <c r="AU19" s="22">
        <f t="shared" si="8"/>
        <v>2.489043447972894E-2</v>
      </c>
    </row>
    <row r="20" spans="1:47" x14ac:dyDescent="0.15">
      <c r="B20" s="30" t="s">
        <v>14</v>
      </c>
      <c r="C20" s="5">
        <v>61.639830000000003</v>
      </c>
      <c r="D20" s="5">
        <v>64.995500000000007</v>
      </c>
      <c r="E20" s="5">
        <v>67.584019999999995</v>
      </c>
      <c r="F20" s="5">
        <v>69.350359999999995</v>
      </c>
      <c r="G20" s="5">
        <v>72.359679999999997</v>
      </c>
      <c r="H20" s="5">
        <v>74.56456</v>
      </c>
      <c r="I20" s="5">
        <v>77.148780000000002</v>
      </c>
      <c r="J20" s="5">
        <v>78.833685000000003</v>
      </c>
      <c r="K20" s="5">
        <v>79.858522905000001</v>
      </c>
      <c r="L20" s="5">
        <v>82.310121643206301</v>
      </c>
      <c r="M20" s="5">
        <v>119.46388750021515</v>
      </c>
      <c r="N20" s="5">
        <v>72.753507487631026</v>
      </c>
      <c r="O20" s="5">
        <v>97.853744856370483</v>
      </c>
      <c r="P20" s="5">
        <v>111.10141537520009</v>
      </c>
      <c r="Q20" s="5">
        <v>111.83054042033021</v>
      </c>
      <c r="R20" s="5">
        <v>111.19542606465764</v>
      </c>
      <c r="S20" s="5">
        <v>111.57369876938465</v>
      </c>
      <c r="T20" s="19">
        <v>114.07460204978619</v>
      </c>
      <c r="U20" s="19">
        <v>116.79864529797052</v>
      </c>
      <c r="V20" s="19">
        <v>119.54807989228676</v>
      </c>
      <c r="W20" s="19">
        <v>122.30863377921975</v>
      </c>
      <c r="X20" s="19">
        <v>125.35294881460659</v>
      </c>
      <c r="Z20" s="30" t="s">
        <v>14</v>
      </c>
      <c r="AA20" s="20">
        <f t="shared" si="7"/>
        <v>5.4439961953172133E-2</v>
      </c>
      <c r="AB20" s="20">
        <f t="shared" si="7"/>
        <v>3.9826141809817361E-2</v>
      </c>
      <c r="AC20" s="20">
        <f t="shared" si="7"/>
        <v>2.6135468118055227E-2</v>
      </c>
      <c r="AD20" s="20">
        <f t="shared" si="7"/>
        <v>4.339299752733794E-2</v>
      </c>
      <c r="AE20" s="20">
        <f t="shared" si="7"/>
        <v>3.0471113194530552E-2</v>
      </c>
      <c r="AF20" s="20">
        <f t="shared" si="7"/>
        <v>3.4657483394255895E-2</v>
      </c>
      <c r="AG20" s="21">
        <f t="shared" si="7"/>
        <v>2.183968430868255E-2</v>
      </c>
      <c r="AH20" s="21">
        <f t="shared" si="7"/>
        <v>1.2999999999999901E-2</v>
      </c>
      <c r="AI20" s="21">
        <f t="shared" si="7"/>
        <v>3.0699274780260133E-2</v>
      </c>
      <c r="AJ20" s="21">
        <f t="shared" si="7"/>
        <v>0.451387570754191</v>
      </c>
      <c r="AK20" s="21">
        <f t="shared" si="8"/>
        <v>-0.39100000000000001</v>
      </c>
      <c r="AL20" s="21">
        <f t="shared" si="8"/>
        <v>0.3450038113008751</v>
      </c>
      <c r="AM20" s="20">
        <f t="shared" si="8"/>
        <v>0.13538235596680037</v>
      </c>
      <c r="AN20" s="20">
        <f t="shared" si="8"/>
        <v>6.5626980778579203E-3</v>
      </c>
      <c r="AO20" s="20">
        <f t="shared" si="8"/>
        <v>-5.6792567869690114E-3</v>
      </c>
      <c r="AP20" s="20">
        <f t="shared" si="8"/>
        <v>3.4018728837557077E-3</v>
      </c>
      <c r="AQ20" s="22">
        <f t="shared" si="8"/>
        <v>2.2414810192595169E-2</v>
      </c>
      <c r="AR20" s="22">
        <f t="shared" si="8"/>
        <v>2.3879489380076668E-2</v>
      </c>
      <c r="AS20" s="22">
        <f t="shared" si="8"/>
        <v>2.3539952773442119E-2</v>
      </c>
      <c r="AT20" s="22">
        <f t="shared" si="8"/>
        <v>2.3091578630290321E-2</v>
      </c>
      <c r="AU20" s="22">
        <f t="shared" si="8"/>
        <v>2.4890434479729162E-2</v>
      </c>
    </row>
    <row r="21" spans="1:47" x14ac:dyDescent="0.15">
      <c r="B21" s="30" t="s">
        <v>15</v>
      </c>
      <c r="C21" s="5">
        <v>26.273415658896141</v>
      </c>
      <c r="D21" s="5">
        <v>30.154159760741599</v>
      </c>
      <c r="E21" s="5">
        <v>31.468979999999998</v>
      </c>
      <c r="F21" s="5">
        <v>32.44764</v>
      </c>
      <c r="G21" s="5">
        <v>34.693800476570502</v>
      </c>
      <c r="H21" s="5">
        <v>35.897730183010999</v>
      </c>
      <c r="I21" s="5">
        <v>38.0076115819382</v>
      </c>
      <c r="J21" s="5">
        <v>38.971303588322698</v>
      </c>
      <c r="K21" s="5">
        <v>39.360125546382598</v>
      </c>
      <c r="L21" s="5">
        <v>39.829383695235201</v>
      </c>
      <c r="M21" s="5">
        <v>57.553073191464705</v>
      </c>
      <c r="N21" s="5">
        <v>12.610568867102046</v>
      </c>
      <c r="O21" s="5">
        <v>38.449314876222999</v>
      </c>
      <c r="P21" s="5">
        <v>55.294527674978966</v>
      </c>
      <c r="Q21" s="5">
        <v>55.080713938371588</v>
      </c>
      <c r="R21" s="5">
        <v>55.764673131524987</v>
      </c>
      <c r="S21" s="5">
        <v>56.206299380065943</v>
      </c>
      <c r="T21" s="19">
        <v>57.208584211154033</v>
      </c>
      <c r="U21" s="19">
        <v>58.311767442614951</v>
      </c>
      <c r="V21" s="19">
        <v>59.953541567603267</v>
      </c>
      <c r="W21" s="19">
        <v>61.062631257091709</v>
      </c>
      <c r="X21" s="19">
        <v>62.582506679556204</v>
      </c>
      <c r="Z21" s="30" t="s">
        <v>15</v>
      </c>
      <c r="AA21" s="20">
        <f t="shared" si="7"/>
        <v>0.14770611298616765</v>
      </c>
      <c r="AB21" s="20">
        <f t="shared" si="7"/>
        <v>4.3603278940313794E-2</v>
      </c>
      <c r="AC21" s="20">
        <f t="shared" si="7"/>
        <v>3.1099196732782719E-2</v>
      </c>
      <c r="AD21" s="20">
        <f t="shared" si="7"/>
        <v>6.9224155487748851E-2</v>
      </c>
      <c r="AE21" s="20">
        <f t="shared" si="7"/>
        <v>3.4701580394847165E-2</v>
      </c>
      <c r="AF21" s="20">
        <f t="shared" si="7"/>
        <v>5.8774785708477051E-2</v>
      </c>
      <c r="AG21" s="21">
        <f t="shared" si="7"/>
        <v>2.5355237182082213E-2</v>
      </c>
      <c r="AH21" s="21">
        <f t="shared" si="7"/>
        <v>9.9771350265123182E-3</v>
      </c>
      <c r="AI21" s="21">
        <f t="shared" si="7"/>
        <v>1.1922171038291518E-2</v>
      </c>
      <c r="AJ21" s="21">
        <f t="shared" si="7"/>
        <v>0.4449903024321662</v>
      </c>
      <c r="AK21" s="21">
        <f t="shared" si="8"/>
        <v>-0.78088800184223295</v>
      </c>
      <c r="AL21" s="21">
        <f t="shared" si="8"/>
        <v>2.048975449198652</v>
      </c>
      <c r="AM21" s="20">
        <f t="shared" si="8"/>
        <v>0.43811477143310618</v>
      </c>
      <c r="AN21" s="20">
        <f t="shared" si="8"/>
        <v>-3.8668154987085979E-3</v>
      </c>
      <c r="AO21" s="20">
        <f t="shared" si="8"/>
        <v>1.2417398836163551E-2</v>
      </c>
      <c r="AP21" s="20">
        <f t="shared" si="8"/>
        <v>7.9194626945870983E-3</v>
      </c>
      <c r="AQ21" s="22">
        <f t="shared" si="8"/>
        <v>1.7832250871217425E-2</v>
      </c>
      <c r="AR21" s="22">
        <f t="shared" si="8"/>
        <v>1.9283526181824717E-2</v>
      </c>
      <c r="AS21" s="22">
        <f t="shared" si="8"/>
        <v>2.8155108256733952E-2</v>
      </c>
      <c r="AT21" s="22">
        <f t="shared" si="8"/>
        <v>1.8499152184993761E-2</v>
      </c>
      <c r="AU21" s="22">
        <f t="shared" si="8"/>
        <v>2.489043447972894E-2</v>
      </c>
    </row>
    <row r="22" spans="1:47" ht="4" customHeight="1" x14ac:dyDescent="0.15">
      <c r="B22" s="30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19"/>
      <c r="U22" s="19"/>
      <c r="V22" s="19"/>
      <c r="W22" s="19"/>
      <c r="X22" s="19"/>
      <c r="Z22" s="30"/>
      <c r="AA22" s="20"/>
      <c r="AB22" s="20"/>
      <c r="AC22" s="20"/>
      <c r="AD22" s="20"/>
      <c r="AE22" s="20"/>
      <c r="AF22" s="20"/>
      <c r="AG22" s="21"/>
      <c r="AH22" s="21"/>
      <c r="AI22" s="21"/>
      <c r="AJ22" s="21"/>
      <c r="AK22" s="21"/>
      <c r="AL22" s="21"/>
      <c r="AM22" s="20"/>
      <c r="AN22" s="20"/>
      <c r="AO22" s="20"/>
      <c r="AP22" s="20"/>
      <c r="AQ22" s="22"/>
      <c r="AR22" s="22"/>
      <c r="AS22" s="22"/>
      <c r="AT22" s="22"/>
      <c r="AU22" s="22"/>
    </row>
    <row r="23" spans="1:47" x14ac:dyDescent="0.15">
      <c r="B23" s="29" t="s">
        <v>1</v>
      </c>
      <c r="C23" s="5"/>
      <c r="D23" s="5"/>
      <c r="E23" s="5">
        <v>96.677282131503219</v>
      </c>
      <c r="F23" s="5">
        <v>99.253773912520074</v>
      </c>
      <c r="G23" s="5">
        <v>104.23712614644292</v>
      </c>
      <c r="H23" s="5">
        <v>106.70171316379293</v>
      </c>
      <c r="I23" s="5">
        <v>110.43216833881314</v>
      </c>
      <c r="J23" s="5">
        <v>111.88200278170872</v>
      </c>
      <c r="K23" s="5">
        <v>113.13434122247173</v>
      </c>
      <c r="L23" s="5">
        <v>115.79550535871064</v>
      </c>
      <c r="M23" s="5">
        <v>118.64160632312363</v>
      </c>
      <c r="N23" s="5">
        <v>63.192315847576459</v>
      </c>
      <c r="O23" s="5">
        <v>87.773709572687906</v>
      </c>
      <c r="P23" s="5">
        <v>109.05094367338533</v>
      </c>
      <c r="Q23" s="5">
        <v>111.83452897577276</v>
      </c>
      <c r="R23" s="5">
        <v>114.35103392177369</v>
      </c>
      <c r="S23" s="5">
        <v>115.03943678420536</v>
      </c>
      <c r="T23" s="19">
        <v>117.46188837176963</v>
      </c>
      <c r="U23" s="19">
        <v>119.83154649818191</v>
      </c>
      <c r="V23" s="19">
        <v>122.83254506057328</v>
      </c>
      <c r="W23" s="19">
        <v>125.67012026749002</v>
      </c>
      <c r="X23" s="19">
        <v>128.92703119326092</v>
      </c>
      <c r="Z23" s="29" t="s">
        <v>1</v>
      </c>
      <c r="AA23" s="20"/>
      <c r="AB23" s="20"/>
      <c r="AC23" s="20">
        <f t="shared" ref="AC23:AR24" si="9">F23/E23-1</f>
        <v>2.6650436630109686E-2</v>
      </c>
      <c r="AD23" s="20">
        <f t="shared" si="9"/>
        <v>5.0208188943173582E-2</v>
      </c>
      <c r="AE23" s="20">
        <f t="shared" si="9"/>
        <v>2.3644042276141697E-2</v>
      </c>
      <c r="AF23" s="20">
        <f t="shared" si="9"/>
        <v>3.4961530273593278E-2</v>
      </c>
      <c r="AG23" s="21">
        <f t="shared" si="9"/>
        <v>1.3128732910933971E-2</v>
      </c>
      <c r="AH23" s="21">
        <f t="shared" si="9"/>
        <v>1.119338597474373E-2</v>
      </c>
      <c r="AI23" s="21">
        <f t="shared" si="9"/>
        <v>2.3522160534845016E-2</v>
      </c>
      <c r="AJ23" s="21">
        <f t="shared" si="9"/>
        <v>2.4578682528275664E-2</v>
      </c>
      <c r="AK23" s="21">
        <f t="shared" si="9"/>
        <v>-0.46736800178286131</v>
      </c>
      <c r="AL23" s="21">
        <f t="shared" si="9"/>
        <v>0.38899339888734574</v>
      </c>
      <c r="AM23" s="20">
        <f t="shared" si="9"/>
        <v>0.24241010439552113</v>
      </c>
      <c r="AN23" s="20">
        <f t="shared" si="9"/>
        <v>2.5525549881754817E-2</v>
      </c>
      <c r="AO23" s="20">
        <f t="shared" si="9"/>
        <v>2.2502039120190664E-2</v>
      </c>
      <c r="AP23" s="20">
        <f t="shared" si="9"/>
        <v>6.0200842862740966E-3</v>
      </c>
      <c r="AQ23" s="22">
        <f t="shared" si="9"/>
        <v>2.1057575169707965E-2</v>
      </c>
      <c r="AR23" s="22">
        <f t="shared" si="9"/>
        <v>2.0173846677079332E-2</v>
      </c>
      <c r="AS23" s="22">
        <f t="shared" ref="AM23:AU24" si="10">V23/U23-1</f>
        <v>2.5043476864724523E-2</v>
      </c>
      <c r="AT23" s="22">
        <f t="shared" si="10"/>
        <v>2.3101167573442494E-2</v>
      </c>
      <c r="AU23" s="22">
        <f t="shared" si="10"/>
        <v>2.5916350830559542E-2</v>
      </c>
    </row>
    <row r="24" spans="1:47" x14ac:dyDescent="0.15">
      <c r="B24" s="29" t="s">
        <v>16</v>
      </c>
      <c r="C24" s="5"/>
      <c r="D24" s="5"/>
      <c r="E24" s="5">
        <v>111.93771917655279</v>
      </c>
      <c r="F24" s="5">
        <v>115.80222598278765</v>
      </c>
      <c r="G24" s="5">
        <v>122.93496196014242</v>
      </c>
      <c r="H24" s="5">
        <v>128.14721763986677</v>
      </c>
      <c r="I24" s="5">
        <v>135.87846434245904</v>
      </c>
      <c r="J24" s="5">
        <v>139.20273735051202</v>
      </c>
      <c r="K24" s="5">
        <v>142.97213069520214</v>
      </c>
      <c r="L24" s="5">
        <v>147.48190346824771</v>
      </c>
      <c r="M24" s="5">
        <v>149.46486263347691</v>
      </c>
      <c r="N24" s="5">
        <v>73.712239429567859</v>
      </c>
      <c r="O24" s="5">
        <v>120.51740202595106</v>
      </c>
      <c r="P24" s="5">
        <v>138.28403744009586</v>
      </c>
      <c r="Q24" s="5">
        <v>137.28674618646869</v>
      </c>
      <c r="R24" s="5">
        <v>138.63797917949552</v>
      </c>
      <c r="S24" s="5">
        <v>139.95693067934991</v>
      </c>
      <c r="T24" s="19">
        <v>142.08008878330367</v>
      </c>
      <c r="U24" s="19">
        <v>145.37714584249403</v>
      </c>
      <c r="V24" s="19">
        <v>148.75514480681517</v>
      </c>
      <c r="W24" s="19">
        <v>152.05009798636326</v>
      </c>
      <c r="X24" s="19">
        <v>155.99068166959881</v>
      </c>
      <c r="Z24" s="29" t="s">
        <v>16</v>
      </c>
      <c r="AA24" s="20"/>
      <c r="AB24" s="20"/>
      <c r="AC24" s="20">
        <f t="shared" si="9"/>
        <v>3.4523722965442927E-2</v>
      </c>
      <c r="AD24" s="20">
        <f t="shared" si="9"/>
        <v>6.1594118047566315E-2</v>
      </c>
      <c r="AE24" s="20">
        <f t="shared" si="9"/>
        <v>4.2398481250714104E-2</v>
      </c>
      <c r="AF24" s="20">
        <f t="shared" si="9"/>
        <v>6.0330975927385788E-2</v>
      </c>
      <c r="AG24" s="21">
        <f t="shared" si="9"/>
        <v>2.4465046938378032E-2</v>
      </c>
      <c r="AH24" s="21">
        <f t="shared" si="9"/>
        <v>2.7078442683198034E-2</v>
      </c>
      <c r="AI24" s="21">
        <f t="shared" si="9"/>
        <v>3.1543019965617036E-2</v>
      </c>
      <c r="AJ24" s="21">
        <f t="shared" si="9"/>
        <v>1.3445440549634036E-2</v>
      </c>
      <c r="AK24" s="21">
        <f t="shared" si="9"/>
        <v>-0.5068256302464369</v>
      </c>
      <c r="AL24" s="21">
        <f t="shared" si="9"/>
        <v>0.6349713827525969</v>
      </c>
      <c r="AM24" s="20">
        <f t="shared" si="10"/>
        <v>0.14741966815978258</v>
      </c>
      <c r="AN24" s="20">
        <f t="shared" si="10"/>
        <v>-7.2119043679151895E-3</v>
      </c>
      <c r="AO24" s="20">
        <f t="shared" si="10"/>
        <v>9.8424140025252793E-3</v>
      </c>
      <c r="AP24" s="20">
        <f t="shared" si="10"/>
        <v>9.5136376601878681E-3</v>
      </c>
      <c r="AQ24" s="22">
        <f t="shared" si="10"/>
        <v>1.5170081921973777E-2</v>
      </c>
      <c r="AR24" s="22">
        <f t="shared" si="10"/>
        <v>2.3205623584729995E-2</v>
      </c>
      <c r="AS24" s="22">
        <f t="shared" si="10"/>
        <v>2.32361073313474E-2</v>
      </c>
      <c r="AT24" s="22">
        <f t="shared" si="10"/>
        <v>2.2150179638002809E-2</v>
      </c>
      <c r="AU24" s="22">
        <f t="shared" si="10"/>
        <v>2.5916350830559542E-2</v>
      </c>
    </row>
    <row r="25" spans="1:47" ht="4" customHeight="1" x14ac:dyDescent="0.15">
      <c r="B25" s="30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19"/>
      <c r="U25" s="19"/>
      <c r="V25" s="19"/>
      <c r="W25" s="19"/>
      <c r="X25" s="19"/>
      <c r="Z25" s="30"/>
      <c r="AA25" s="20"/>
      <c r="AB25" s="20"/>
      <c r="AC25" s="20"/>
      <c r="AD25" s="20"/>
      <c r="AE25" s="20"/>
      <c r="AF25" s="20"/>
      <c r="AG25" s="21"/>
      <c r="AH25" s="21"/>
      <c r="AI25" s="21"/>
      <c r="AJ25" s="21"/>
      <c r="AK25" s="21"/>
      <c r="AL25" s="21"/>
      <c r="AM25" s="20"/>
      <c r="AN25" s="20"/>
      <c r="AO25" s="20"/>
      <c r="AP25" s="20"/>
      <c r="AQ25" s="22"/>
      <c r="AR25" s="22"/>
      <c r="AS25" s="22"/>
      <c r="AT25" s="22"/>
      <c r="AU25" s="22"/>
    </row>
    <row r="26" spans="1:47" x14ac:dyDescent="0.15">
      <c r="B26" s="29" t="s">
        <v>17</v>
      </c>
      <c r="C26" s="5">
        <v>28.463066849955808</v>
      </c>
      <c r="D26" s="5">
        <v>27.121430900768601</v>
      </c>
      <c r="E26" s="5">
        <v>23.499251884411699</v>
      </c>
      <c r="F26" s="5">
        <v>30.820601447256099</v>
      </c>
      <c r="G26" s="5">
        <v>28.153241445678901</v>
      </c>
      <c r="H26" s="5">
        <v>29.1357732284063</v>
      </c>
      <c r="I26" s="5">
        <v>30.25135319</v>
      </c>
      <c r="J26" s="5">
        <v>32.234036588757</v>
      </c>
      <c r="K26" s="5">
        <v>33.392967420427297</v>
      </c>
      <c r="L26" s="5">
        <v>35.543862167955098</v>
      </c>
      <c r="M26" s="5">
        <v>54.649560708110563</v>
      </c>
      <c r="N26" s="5">
        <v>17.433209865887271</v>
      </c>
      <c r="O26" s="5">
        <v>41.77041208368329</v>
      </c>
      <c r="P26" s="5">
        <v>49.714331203809728</v>
      </c>
      <c r="Q26" s="5">
        <v>49.572642544534425</v>
      </c>
      <c r="R26" s="5">
        <v>49.587149461266236</v>
      </c>
      <c r="S26" s="5">
        <v>50.130543057911709</v>
      </c>
      <c r="T26" s="19">
        <v>50.692521693503004</v>
      </c>
      <c r="U26" s="19">
        <v>51.85111724387589</v>
      </c>
      <c r="V26" s="19">
        <v>53.257573875488625</v>
      </c>
      <c r="W26" s="19">
        <v>54.514605402921795</v>
      </c>
      <c r="X26" s="19">
        <v>55.983352466975369</v>
      </c>
      <c r="Y26" s="2" t="s">
        <v>18</v>
      </c>
      <c r="Z26" s="29" t="s">
        <v>17</v>
      </c>
      <c r="AA26" s="20">
        <f t="shared" ref="AA26:AP27" si="11">D26/C26-1</f>
        <v>-4.7136029165785076E-2</v>
      </c>
      <c r="AB26" s="20">
        <f t="shared" si="11"/>
        <v>-0.13355412660967869</v>
      </c>
      <c r="AC26" s="20">
        <f t="shared" si="11"/>
        <v>0.31155670822444526</v>
      </c>
      <c r="AD26" s="20">
        <f t="shared" si="11"/>
        <v>-8.6544709587900281E-2</v>
      </c>
      <c r="AE26" s="20">
        <f t="shared" si="11"/>
        <v>3.4899419472644855E-2</v>
      </c>
      <c r="AF26" s="20">
        <f t="shared" si="11"/>
        <v>3.8289011684990992E-2</v>
      </c>
      <c r="AG26" s="21">
        <f t="shared" si="11"/>
        <v>6.5540321000000956E-2</v>
      </c>
      <c r="AH26" s="21">
        <f t="shared" si="11"/>
        <v>3.5953636414079337E-2</v>
      </c>
      <c r="AI26" s="21">
        <f t="shared" si="11"/>
        <v>6.4411608601517845E-2</v>
      </c>
      <c r="AJ26" s="21">
        <f t="shared" si="11"/>
        <v>0.53752455064887084</v>
      </c>
      <c r="AK26" s="21">
        <f t="shared" si="11"/>
        <v>-0.68100000000000005</v>
      </c>
      <c r="AL26" s="21">
        <f t="shared" si="11"/>
        <v>1.396025310600904</v>
      </c>
      <c r="AM26" s="20">
        <f t="shared" si="11"/>
        <v>0.1901805302808961</v>
      </c>
      <c r="AN26" s="20">
        <f t="shared" si="11"/>
        <v>-2.8500566304399122E-3</v>
      </c>
      <c r="AO26" s="20">
        <f t="shared" si="11"/>
        <v>2.9263956866487639E-4</v>
      </c>
      <c r="AP26" s="20">
        <f t="shared" si="11"/>
        <v>1.0958355189784275E-2</v>
      </c>
      <c r="AQ26" s="22">
        <f t="shared" ref="AK26:AU27" si="12">T26/S26-1</f>
        <v>1.1210304164111839E-2</v>
      </c>
      <c r="AR26" s="22">
        <f t="shared" si="12"/>
        <v>2.2855354432316233E-2</v>
      </c>
      <c r="AS26" s="22">
        <f t="shared" si="12"/>
        <v>2.7124905042983372E-2</v>
      </c>
      <c r="AT26" s="22">
        <f t="shared" si="12"/>
        <v>2.3602868774533325E-2</v>
      </c>
      <c r="AU26" s="22">
        <f t="shared" si="12"/>
        <v>2.6942267181390145E-2</v>
      </c>
    </row>
    <row r="27" spans="1:47" x14ac:dyDescent="0.15">
      <c r="B27" s="29" t="s">
        <v>19</v>
      </c>
      <c r="C27" s="5">
        <v>154.31893396136488</v>
      </c>
      <c r="D27" s="5">
        <v>172.15457047067301</v>
      </c>
      <c r="E27" s="5">
        <v>185.11574942364399</v>
      </c>
      <c r="F27" s="5">
        <v>184.235398448052</v>
      </c>
      <c r="G27" s="5">
        <v>199.01884666090601</v>
      </c>
      <c r="H27" s="5">
        <v>205.71315757525301</v>
      </c>
      <c r="I27" s="5">
        <v>216.05927949127201</v>
      </c>
      <c r="J27" s="5">
        <v>218.85070354346399</v>
      </c>
      <c r="K27" s="5">
        <v>222.71350449724699</v>
      </c>
      <c r="L27" s="5">
        <v>227.73350665900301</v>
      </c>
      <c r="M27" s="5">
        <v>213.45690824849001</v>
      </c>
      <c r="N27" s="5">
        <v>119.47134541125703</v>
      </c>
      <c r="O27" s="5">
        <v>166.52069951495568</v>
      </c>
      <c r="P27" s="5">
        <v>197.62064990967147</v>
      </c>
      <c r="Q27" s="5">
        <v>199.54863261770703</v>
      </c>
      <c r="R27" s="5">
        <v>203.401863640003</v>
      </c>
      <c r="S27" s="5">
        <v>204.86582440564354</v>
      </c>
      <c r="T27" s="19">
        <v>208.8494554615703</v>
      </c>
      <c r="U27" s="19">
        <v>213.35757509680008</v>
      </c>
      <c r="V27" s="19">
        <v>218.33011599189985</v>
      </c>
      <c r="W27" s="19">
        <v>223.20561285093146</v>
      </c>
      <c r="X27" s="19">
        <v>228.93436039588437</v>
      </c>
      <c r="Z27" s="29" t="s">
        <v>19</v>
      </c>
      <c r="AA27" s="20">
        <f t="shared" si="11"/>
        <v>0.11557646266383248</v>
      </c>
      <c r="AB27" s="20">
        <f t="shared" si="11"/>
        <v>7.5288032827330431E-2</v>
      </c>
      <c r="AC27" s="20">
        <f t="shared" si="11"/>
        <v>-4.7556784246233219E-3</v>
      </c>
      <c r="AD27" s="20">
        <f t="shared" si="11"/>
        <v>8.0242170274473335E-2</v>
      </c>
      <c r="AE27" s="20">
        <f t="shared" si="11"/>
        <v>3.3636567725432442E-2</v>
      </c>
      <c r="AF27" s="20">
        <f t="shared" si="11"/>
        <v>5.0293924015211378E-2</v>
      </c>
      <c r="AG27" s="21">
        <f t="shared" si="11"/>
        <v>1.2919713787644893E-2</v>
      </c>
      <c r="AH27" s="21">
        <f t="shared" si="11"/>
        <v>1.7650393127549791E-2</v>
      </c>
      <c r="AI27" s="21">
        <f t="shared" si="11"/>
        <v>2.2540178571964775E-2</v>
      </c>
      <c r="AJ27" s="21">
        <f t="shared" si="11"/>
        <v>-6.2689933598089609E-2</v>
      </c>
      <c r="AK27" s="21">
        <f t="shared" si="12"/>
        <v>-0.44030227744057016</v>
      </c>
      <c r="AL27" s="21">
        <f t="shared" si="12"/>
        <v>0.39381287572965995</v>
      </c>
      <c r="AM27" s="20">
        <f t="shared" si="12"/>
        <v>0.18676327018385264</v>
      </c>
      <c r="AN27" s="20">
        <f t="shared" si="12"/>
        <v>9.7559779755647114E-3</v>
      </c>
      <c r="AO27" s="20">
        <f t="shared" si="12"/>
        <v>1.9309734031993875E-2</v>
      </c>
      <c r="AP27" s="20">
        <f t="shared" si="12"/>
        <v>7.1973812798076242E-3</v>
      </c>
      <c r="AQ27" s="22">
        <f t="shared" si="12"/>
        <v>1.9445073708531213E-2</v>
      </c>
      <c r="AR27" s="22">
        <f t="shared" si="12"/>
        <v>2.1585498632335609E-2</v>
      </c>
      <c r="AS27" s="22">
        <f t="shared" si="12"/>
        <v>2.330613709329854E-2</v>
      </c>
      <c r="AT27" s="22">
        <f t="shared" si="12"/>
        <v>2.2330849030522737E-2</v>
      </c>
      <c r="AU27" s="22">
        <f t="shared" si="12"/>
        <v>2.5665786230827825E-2</v>
      </c>
    </row>
    <row r="28" spans="1:47" ht="4" customHeight="1" x14ac:dyDescent="0.15">
      <c r="B28" s="3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6"/>
      <c r="U28" s="36"/>
      <c r="V28" s="36"/>
      <c r="W28" s="36"/>
      <c r="X28" s="36"/>
      <c r="Z28" s="34"/>
      <c r="AA28" s="35"/>
      <c r="AB28" s="35"/>
      <c r="AC28" s="35"/>
      <c r="AD28" s="35"/>
      <c r="AE28" s="35"/>
      <c r="AF28" s="35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8"/>
      <c r="AR28" s="38"/>
      <c r="AS28" s="38"/>
      <c r="AT28" s="38"/>
      <c r="AU28" s="38"/>
    </row>
    <row r="29" spans="1:47" x14ac:dyDescent="0.15">
      <c r="B29" s="27" t="s">
        <v>20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4"/>
      <c r="U29" s="24"/>
      <c r="V29" s="24"/>
      <c r="W29" s="24"/>
      <c r="X29" s="24"/>
      <c r="Z29" s="27" t="s">
        <v>20</v>
      </c>
      <c r="AA29" s="23"/>
      <c r="AB29" s="23"/>
      <c r="AC29" s="23"/>
      <c r="AD29" s="23"/>
      <c r="AE29" s="23"/>
      <c r="AF29" s="23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6"/>
      <c r="AR29" s="26"/>
      <c r="AS29" s="26"/>
      <c r="AT29" s="26"/>
      <c r="AU29" s="26"/>
    </row>
    <row r="30" spans="1:47" x14ac:dyDescent="0.15">
      <c r="B30" s="28" t="s">
        <v>9</v>
      </c>
      <c r="C30" s="13">
        <v>12.156552599999999</v>
      </c>
      <c r="D30" s="13">
        <v>13.295751399999999</v>
      </c>
      <c r="E30" s="13">
        <v>14.202951899999999</v>
      </c>
      <c r="F30" s="13">
        <v>14.6810733</v>
      </c>
      <c r="G30" s="13">
        <v>15.913174399999999</v>
      </c>
      <c r="H30" s="13">
        <v>16.533595800000001</v>
      </c>
      <c r="I30" s="13">
        <v>17.577940099999999</v>
      </c>
      <c r="J30" s="13">
        <v>17.810059399999997</v>
      </c>
      <c r="K30" s="13">
        <v>17.4861349</v>
      </c>
      <c r="L30" s="13">
        <v>18.195846099999997</v>
      </c>
      <c r="M30" s="13">
        <v>17.457188900000002</v>
      </c>
      <c r="N30" s="13">
        <v>3.7436084000000003</v>
      </c>
      <c r="O30" s="13">
        <v>5.1411541298619996</v>
      </c>
      <c r="P30" s="13">
        <v>11.7563672651433</v>
      </c>
      <c r="Q30" s="13">
        <v>14.994439804854755</v>
      </c>
      <c r="R30" s="13">
        <v>16.516406333414267</v>
      </c>
      <c r="S30" s="13">
        <v>16.407088882773927</v>
      </c>
      <c r="T30" s="14">
        <v>16.795060655459093</v>
      </c>
      <c r="U30" s="14">
        <v>17.292424458729773</v>
      </c>
      <c r="V30" s="14">
        <v>17.964969131947935</v>
      </c>
      <c r="W30" s="14">
        <v>18.763757324107669</v>
      </c>
      <c r="X30" s="14">
        <v>19.548257312444346</v>
      </c>
      <c r="Z30" s="28" t="s">
        <v>9</v>
      </c>
      <c r="AA30" s="15">
        <f t="shared" ref="AA30:AP33" si="13">D30/C30-1</f>
        <v>9.3710679127896768E-2</v>
      </c>
      <c r="AB30" s="15">
        <f t="shared" si="13"/>
        <v>6.8232360301201167E-2</v>
      </c>
      <c r="AC30" s="15">
        <f t="shared" si="13"/>
        <v>3.3663523144086716E-2</v>
      </c>
      <c r="AD30" s="15">
        <f t="shared" si="13"/>
        <v>8.3924456667619829E-2</v>
      </c>
      <c r="AE30" s="15">
        <f t="shared" si="13"/>
        <v>3.8987909288545231E-2</v>
      </c>
      <c r="AF30" s="15">
        <f t="shared" si="13"/>
        <v>6.3164983142989239E-2</v>
      </c>
      <c r="AG30" s="16">
        <f t="shared" si="13"/>
        <v>1.3205147968390119E-2</v>
      </c>
      <c r="AH30" s="16">
        <f t="shared" si="13"/>
        <v>-1.818772709988814E-2</v>
      </c>
      <c r="AI30" s="16">
        <f t="shared" si="13"/>
        <v>4.0587082511870376E-2</v>
      </c>
      <c r="AJ30" s="16">
        <f t="shared" si="13"/>
        <v>-4.0594825650893784E-2</v>
      </c>
      <c r="AK30" s="16">
        <f t="shared" si="13"/>
        <v>-0.78555491256670773</v>
      </c>
      <c r="AL30" s="16">
        <f t="shared" si="13"/>
        <v>0.37331514959256928</v>
      </c>
      <c r="AM30" s="15">
        <f t="shared" si="13"/>
        <v>1.2867175284353647</v>
      </c>
      <c r="AN30" s="15">
        <f t="shared" si="13"/>
        <v>0.27543138681215606</v>
      </c>
      <c r="AO30" s="15">
        <f t="shared" si="13"/>
        <v>0.10150205998804607</v>
      </c>
      <c r="AP30" s="15">
        <f t="shared" si="13"/>
        <v>-6.6187188928127361E-3</v>
      </c>
      <c r="AQ30" s="17">
        <f t="shared" ref="AK30:AU33" si="14">T30/S30-1</f>
        <v>2.3646594192130221E-2</v>
      </c>
      <c r="AR30" s="17">
        <f t="shared" si="14"/>
        <v>2.961369497102817E-2</v>
      </c>
      <c r="AS30" s="17">
        <f t="shared" si="14"/>
        <v>3.8892445349306692E-2</v>
      </c>
      <c r="AT30" s="17">
        <f t="shared" si="14"/>
        <v>4.4463655144233449E-2</v>
      </c>
      <c r="AU30" s="17">
        <f t="shared" si="14"/>
        <v>4.1809322876327659E-2</v>
      </c>
    </row>
    <row r="31" spans="1:47" ht="13.25" customHeight="1" x14ac:dyDescent="0.15">
      <c r="B31" s="29" t="s">
        <v>21</v>
      </c>
      <c r="C31" s="5">
        <v>4.6695525999999994</v>
      </c>
      <c r="D31" s="5">
        <v>5.5723215999999995</v>
      </c>
      <c r="E31" s="5">
        <v>6.1449367999999982</v>
      </c>
      <c r="F31" s="5">
        <v>6.069</v>
      </c>
      <c r="G31" s="5">
        <v>6.8849999999999998</v>
      </c>
      <c r="H31" s="5">
        <v>7.2939999999999996</v>
      </c>
      <c r="I31" s="5">
        <v>8.2040000000000006</v>
      </c>
      <c r="J31" s="5">
        <v>8.3499999999999979</v>
      </c>
      <c r="K31" s="5">
        <v>8.1769999999999996</v>
      </c>
      <c r="L31" s="5">
        <v>8.5329999999999995</v>
      </c>
      <c r="M31" s="5">
        <v>8.0490000000000013</v>
      </c>
      <c r="N31" s="5">
        <v>1.335</v>
      </c>
      <c r="O31" s="5">
        <v>1.1120000000000005</v>
      </c>
      <c r="P31" s="5">
        <v>4.455000000000001</v>
      </c>
      <c r="Q31" s="5">
        <v>6.282</v>
      </c>
      <c r="R31" s="5">
        <v>6.9640000000000004</v>
      </c>
      <c r="S31" s="5">
        <v>6.6159999999999997</v>
      </c>
      <c r="T31" s="19">
        <v>6.3678526469901335</v>
      </c>
      <c r="U31" s="19">
        <v>6.5856762308898285</v>
      </c>
      <c r="V31" s="19">
        <v>6.9358246532313936</v>
      </c>
      <c r="W31" s="19">
        <v>7.3967461175891236</v>
      </c>
      <c r="X31" s="19">
        <v>7.8659209905336178</v>
      </c>
      <c r="Z31" s="29" t="s">
        <v>21</v>
      </c>
      <c r="AA31" s="20">
        <f t="shared" si="13"/>
        <v>0.19333094138397766</v>
      </c>
      <c r="AB31" s="20">
        <f t="shared" si="13"/>
        <v>0.10276061597019082</v>
      </c>
      <c r="AC31" s="20">
        <f t="shared" si="13"/>
        <v>-1.2357620992944685E-2</v>
      </c>
      <c r="AD31" s="20">
        <f t="shared" si="13"/>
        <v>0.13445378151260501</v>
      </c>
      <c r="AE31" s="20">
        <f t="shared" si="13"/>
        <v>5.9404502541757331E-2</v>
      </c>
      <c r="AF31" s="20">
        <f t="shared" si="13"/>
        <v>0.12476007677543199</v>
      </c>
      <c r="AG31" s="21">
        <f t="shared" si="13"/>
        <v>1.7796196977084122E-2</v>
      </c>
      <c r="AH31" s="21">
        <f t="shared" si="13"/>
        <v>-2.0718562874251334E-2</v>
      </c>
      <c r="AI31" s="21">
        <f t="shared" si="13"/>
        <v>4.353674941910235E-2</v>
      </c>
      <c r="AJ31" s="21">
        <f t="shared" si="13"/>
        <v>-5.6720965662721001E-2</v>
      </c>
      <c r="AK31" s="21">
        <f t="shared" si="14"/>
        <v>-0.83414088706671641</v>
      </c>
      <c r="AL31" s="21">
        <f t="shared" si="14"/>
        <v>-0.16704119850187227</v>
      </c>
      <c r="AM31" s="20">
        <f t="shared" si="14"/>
        <v>3.0062949640287755</v>
      </c>
      <c r="AN31" s="20">
        <f t="shared" si="14"/>
        <v>0.41010101010100986</v>
      </c>
      <c r="AO31" s="20">
        <f t="shared" si="14"/>
        <v>0.10856415154409427</v>
      </c>
      <c r="AP31" s="20">
        <f t="shared" si="14"/>
        <v>-4.9971280873061574E-2</v>
      </c>
      <c r="AQ31" s="22">
        <f t="shared" si="14"/>
        <v>-3.7507157347319575E-2</v>
      </c>
      <c r="AR31" s="22">
        <f t="shared" si="14"/>
        <v>3.4206756339227207E-2</v>
      </c>
      <c r="AS31" s="22">
        <f t="shared" si="14"/>
        <v>5.3168180467058068E-2</v>
      </c>
      <c r="AT31" s="22">
        <f t="shared" si="14"/>
        <v>6.6455178353303168E-2</v>
      </c>
      <c r="AU31" s="22">
        <f t="shared" si="14"/>
        <v>6.3429900862599364E-2</v>
      </c>
    </row>
    <row r="32" spans="1:47" ht="13.25" customHeight="1" x14ac:dyDescent="0.15">
      <c r="B32" s="29" t="s">
        <v>22</v>
      </c>
      <c r="C32" s="5">
        <v>6.2539999999999996</v>
      </c>
      <c r="D32" s="5">
        <v>6.3674597999999998</v>
      </c>
      <c r="E32" s="5">
        <v>6.5825150999999993</v>
      </c>
      <c r="F32" s="5">
        <v>7.0690733000000003</v>
      </c>
      <c r="G32" s="5">
        <v>7.4608169000000002</v>
      </c>
      <c r="H32" s="5">
        <v>7.6145502999999994</v>
      </c>
      <c r="I32" s="5">
        <v>7.7945064000000004</v>
      </c>
      <c r="J32" s="5">
        <v>7.9182386999999999</v>
      </c>
      <c r="K32" s="5">
        <v>7.6516776000000002</v>
      </c>
      <c r="L32" s="5">
        <v>7.9407479999999993</v>
      </c>
      <c r="M32" s="5">
        <v>7.6765303999999999</v>
      </c>
      <c r="N32" s="5">
        <v>2.0078325000000001</v>
      </c>
      <c r="O32" s="5">
        <v>3.7189135056719991</v>
      </c>
      <c r="P32" s="5">
        <v>5.9996565370595745</v>
      </c>
      <c r="Q32" s="5">
        <v>6.9435303999999993</v>
      </c>
      <c r="R32" s="5">
        <v>7.8261018177054638</v>
      </c>
      <c r="S32" s="5">
        <v>8.4112546996478397</v>
      </c>
      <c r="T32" s="19">
        <v>9.1373260925844981</v>
      </c>
      <c r="U32" s="19">
        <v>9.3928568394904826</v>
      </c>
      <c r="V32" s="19">
        <v>9.6637419338463904</v>
      </c>
      <c r="W32" s="19">
        <v>9.9081521274384468</v>
      </c>
      <c r="X32" s="19">
        <v>10.13729414052937</v>
      </c>
      <c r="Z32" s="29" t="s">
        <v>22</v>
      </c>
      <c r="AA32" s="20">
        <f t="shared" si="13"/>
        <v>1.8141957147425725E-2</v>
      </c>
      <c r="AB32" s="20">
        <f t="shared" si="13"/>
        <v>3.3774111930789052E-2</v>
      </c>
      <c r="AC32" s="20">
        <f t="shared" si="13"/>
        <v>7.3916761694933442E-2</v>
      </c>
      <c r="AD32" s="20">
        <f t="shared" si="13"/>
        <v>5.5416542363480703E-2</v>
      </c>
      <c r="AE32" s="20">
        <f t="shared" si="13"/>
        <v>2.0605437991649378E-2</v>
      </c>
      <c r="AF32" s="20">
        <f t="shared" si="13"/>
        <v>2.3633188160829599E-2</v>
      </c>
      <c r="AG32" s="21">
        <f t="shared" si="13"/>
        <v>1.5874295773238289E-2</v>
      </c>
      <c r="AH32" s="21">
        <f t="shared" si="13"/>
        <v>-3.3664191002476307E-2</v>
      </c>
      <c r="AI32" s="21">
        <f t="shared" si="13"/>
        <v>3.7778695746407243E-2</v>
      </c>
      <c r="AJ32" s="21">
        <f t="shared" si="13"/>
        <v>-3.3273641223723449E-2</v>
      </c>
      <c r="AK32" s="21">
        <f t="shared" si="14"/>
        <v>-0.73844531378394596</v>
      </c>
      <c r="AL32" s="21">
        <f t="shared" si="14"/>
        <v>0.85220306259212308</v>
      </c>
      <c r="AM32" s="20">
        <f t="shared" si="14"/>
        <v>0.61328208572451071</v>
      </c>
      <c r="AN32" s="20">
        <f t="shared" si="14"/>
        <v>0.15732131616371103</v>
      </c>
      <c r="AO32" s="20">
        <f t="shared" si="14"/>
        <v>0.12710701427986315</v>
      </c>
      <c r="AP32" s="20">
        <f t="shared" si="14"/>
        <v>7.4769392933088152E-2</v>
      </c>
      <c r="AQ32" s="22">
        <f t="shared" si="14"/>
        <v>8.6321413256818635E-2</v>
      </c>
      <c r="AR32" s="22">
        <f t="shared" si="14"/>
        <v>2.7965593469774896E-2</v>
      </c>
      <c r="AS32" s="22">
        <f t="shared" si="14"/>
        <v>2.8839478657549877E-2</v>
      </c>
      <c r="AT32" s="22">
        <f t="shared" si="14"/>
        <v>2.5291465279720704E-2</v>
      </c>
      <c r="AU32" s="22">
        <f t="shared" si="14"/>
        <v>2.3126614341776763E-2</v>
      </c>
    </row>
    <row r="33" spans="2:99" x14ac:dyDescent="0.15">
      <c r="B33" s="29" t="s">
        <v>23</v>
      </c>
      <c r="C33" s="5">
        <v>1.2330000000000001</v>
      </c>
      <c r="D33" s="5">
        <v>1.3559700000000001</v>
      </c>
      <c r="E33" s="5">
        <v>1.4755</v>
      </c>
      <c r="F33" s="5">
        <v>1.5429999999999999</v>
      </c>
      <c r="G33" s="5">
        <v>1.5673575000000002</v>
      </c>
      <c r="H33" s="5">
        <v>1.6250454999999999</v>
      </c>
      <c r="I33" s="5">
        <v>1.5794337000000001</v>
      </c>
      <c r="J33" s="5">
        <v>1.5418206999999999</v>
      </c>
      <c r="K33" s="5">
        <v>1.6574573000000001</v>
      </c>
      <c r="L33" s="5">
        <v>1.7220981</v>
      </c>
      <c r="M33" s="5">
        <v>1.7316585</v>
      </c>
      <c r="N33" s="5">
        <v>0.40077589999999996</v>
      </c>
      <c r="O33" s="5">
        <v>0.31024062418999998</v>
      </c>
      <c r="P33" s="5">
        <v>1.3017107280837257</v>
      </c>
      <c r="Q33" s="5">
        <v>1.7689094048547549</v>
      </c>
      <c r="R33" s="5">
        <v>1.7263045157088026</v>
      </c>
      <c r="S33" s="5">
        <v>1.3798341831260867</v>
      </c>
      <c r="T33" s="19">
        <v>1.2898819158844606</v>
      </c>
      <c r="U33" s="19">
        <v>1.3138913883494603</v>
      </c>
      <c r="V33" s="19">
        <v>1.3654025448701514</v>
      </c>
      <c r="W33" s="19">
        <v>1.4588590790800977</v>
      </c>
      <c r="X33" s="19">
        <v>1.5450421813813568</v>
      </c>
      <c r="Z33" s="29" t="s">
        <v>23</v>
      </c>
      <c r="AA33" s="20">
        <f t="shared" si="13"/>
        <v>9.9732360097323669E-2</v>
      </c>
      <c r="AB33" s="20">
        <f t="shared" si="13"/>
        <v>8.8150917793166528E-2</v>
      </c>
      <c r="AC33" s="20">
        <f t="shared" si="13"/>
        <v>4.574720433751267E-2</v>
      </c>
      <c r="AD33" s="20">
        <f t="shared" si="13"/>
        <v>1.578580686973452E-2</v>
      </c>
      <c r="AE33" s="20">
        <f t="shared" si="13"/>
        <v>3.6805897824842004E-2</v>
      </c>
      <c r="AF33" s="20">
        <f t="shared" si="13"/>
        <v>-2.806801409560522E-2</v>
      </c>
      <c r="AG33" s="21">
        <f t="shared" si="13"/>
        <v>-2.3814231645177708E-2</v>
      </c>
      <c r="AH33" s="21">
        <f t="shared" si="13"/>
        <v>7.5000030807732765E-2</v>
      </c>
      <c r="AI33" s="21">
        <f t="shared" si="13"/>
        <v>3.8999979064317181E-2</v>
      </c>
      <c r="AJ33" s="21">
        <f t="shared" si="13"/>
        <v>5.5516001091924227E-3</v>
      </c>
      <c r="AK33" s="21">
        <f t="shared" si="14"/>
        <v>-0.7685595052373202</v>
      </c>
      <c r="AL33" s="21">
        <f t="shared" si="14"/>
        <v>-0.22589999999999999</v>
      </c>
      <c r="AM33" s="20">
        <f t="shared" si="14"/>
        <v>3.1958100473860629</v>
      </c>
      <c r="AN33" s="20">
        <f t="shared" si="14"/>
        <v>0.35891129011343526</v>
      </c>
      <c r="AO33" s="20">
        <f t="shared" si="14"/>
        <v>-2.408539918948005E-2</v>
      </c>
      <c r="AP33" s="20">
        <f t="shared" si="14"/>
        <v>-0.20070058870260143</v>
      </c>
      <c r="AQ33" s="22">
        <f t="shared" si="14"/>
        <v>-6.519063547029591E-2</v>
      </c>
      <c r="AR33" s="22">
        <f t="shared" si="14"/>
        <v>1.8613698020982561E-2</v>
      </c>
      <c r="AS33" s="22">
        <f t="shared" si="14"/>
        <v>3.9205033975753922E-2</v>
      </c>
      <c r="AT33" s="22">
        <f t="shared" si="14"/>
        <v>6.8446140342322215E-2</v>
      </c>
      <c r="AU33" s="22">
        <f t="shared" si="14"/>
        <v>5.9075686978349529E-2</v>
      </c>
    </row>
    <row r="34" spans="2:99" ht="4" customHeight="1" x14ac:dyDescent="0.15">
      <c r="B34" s="29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19"/>
      <c r="U34" s="19"/>
      <c r="V34" s="19"/>
      <c r="W34" s="19"/>
      <c r="X34" s="19"/>
      <c r="Z34" s="29"/>
      <c r="AA34" s="20"/>
      <c r="AB34" s="20"/>
      <c r="AC34" s="20"/>
      <c r="AD34" s="20"/>
      <c r="AE34" s="20"/>
      <c r="AF34" s="20"/>
      <c r="AG34" s="21"/>
      <c r="AH34" s="21"/>
      <c r="AI34" s="21"/>
      <c r="AJ34" s="21"/>
      <c r="AK34" s="21"/>
      <c r="AL34" s="21"/>
      <c r="AM34" s="20"/>
      <c r="AN34" s="20"/>
      <c r="AO34" s="20"/>
      <c r="AP34" s="20"/>
      <c r="AQ34" s="22"/>
      <c r="AR34" s="22"/>
      <c r="AS34" s="22"/>
      <c r="AT34" s="22"/>
      <c r="AU34" s="22"/>
    </row>
    <row r="35" spans="2:99" x14ac:dyDescent="0.15">
      <c r="B35" s="29" t="s">
        <v>6</v>
      </c>
      <c r="C35" s="5">
        <v>3.4039844584659704</v>
      </c>
      <c r="D35" s="5">
        <v>3.5731800767188577</v>
      </c>
      <c r="E35" s="5">
        <v>4.0604789999999999</v>
      </c>
      <c r="F35" s="5">
        <v>3.6409061783999999</v>
      </c>
      <c r="G35" s="5">
        <v>3.7873355071999999</v>
      </c>
      <c r="H35" s="5">
        <v>3.4885887138</v>
      </c>
      <c r="I35" s="5">
        <v>3.7616791813999999</v>
      </c>
      <c r="J35" s="5">
        <v>3.7401124739999996</v>
      </c>
      <c r="K35" s="5">
        <v>3.9168942176000003</v>
      </c>
      <c r="L35" s="5">
        <v>3.8211276809999997</v>
      </c>
      <c r="M35" s="5">
        <v>3.6136381022999999</v>
      </c>
      <c r="N35" s="5">
        <v>0.82733745640000012</v>
      </c>
      <c r="O35" s="5">
        <v>0.62722080384316392</v>
      </c>
      <c r="P35" s="5">
        <v>1.716429620710922</v>
      </c>
      <c r="Q35" s="5">
        <v>2.4631072110266126</v>
      </c>
      <c r="R35" s="5">
        <v>3.468445330016996</v>
      </c>
      <c r="S35" s="5">
        <v>3.4799435520363495</v>
      </c>
      <c r="T35" s="19">
        <v>3.6334770123233309</v>
      </c>
      <c r="U35" s="19">
        <v>3.7036669153280108</v>
      </c>
      <c r="V35" s="19">
        <v>3.8092344626401968</v>
      </c>
      <c r="W35" s="19">
        <v>3.9865641640508609</v>
      </c>
      <c r="X35" s="19">
        <v>4.1407799932158023</v>
      </c>
      <c r="Z35" s="29" t="s">
        <v>6</v>
      </c>
      <c r="AA35" s="20">
        <f t="shared" ref="AA35:AP36" si="15">D35/C35-1</f>
        <v>4.9705167669636285E-2</v>
      </c>
      <c r="AB35" s="20">
        <f t="shared" si="15"/>
        <v>0.13637681639840937</v>
      </c>
      <c r="AC35" s="20">
        <f t="shared" si="15"/>
        <v>-0.10333086850098228</v>
      </c>
      <c r="AD35" s="20">
        <f t="shared" si="15"/>
        <v>4.0217825350377101E-2</v>
      </c>
      <c r="AE35" s="20">
        <f t="shared" si="15"/>
        <v>-7.8880466975281283E-2</v>
      </c>
      <c r="AF35" s="20">
        <f t="shared" si="15"/>
        <v>7.8281072950709518E-2</v>
      </c>
      <c r="AG35" s="21">
        <f t="shared" si="15"/>
        <v>-5.733266012327487E-3</v>
      </c>
      <c r="AH35" s="21">
        <f t="shared" si="15"/>
        <v>4.7266424426785969E-2</v>
      </c>
      <c r="AI35" s="21">
        <f t="shared" si="15"/>
        <v>-2.4449610145121481E-2</v>
      </c>
      <c r="AJ35" s="21">
        <f t="shared" si="15"/>
        <v>-5.4300613855881141E-2</v>
      </c>
      <c r="AK35" s="21">
        <f t="shared" si="15"/>
        <v>-0.77105138008329654</v>
      </c>
      <c r="AL35" s="21">
        <f t="shared" si="15"/>
        <v>-0.24188032465930565</v>
      </c>
      <c r="AM35" s="20">
        <f t="shared" si="15"/>
        <v>1.7365635996029778</v>
      </c>
      <c r="AN35" s="20">
        <f t="shared" si="15"/>
        <v>0.4350178890564862</v>
      </c>
      <c r="AO35" s="20">
        <f t="shared" si="15"/>
        <v>0.40815848960604639</v>
      </c>
      <c r="AP35" s="20">
        <f t="shared" si="15"/>
        <v>3.3150939182591266E-3</v>
      </c>
      <c r="AQ35" s="22">
        <f t="shared" ref="AK35:AU36" si="16">T35/S35-1</f>
        <v>4.4119526075972804E-2</v>
      </c>
      <c r="AR35" s="22">
        <f t="shared" si="16"/>
        <v>1.9317558021317627E-2</v>
      </c>
      <c r="AS35" s="22">
        <f t="shared" si="16"/>
        <v>2.8503520895813761E-2</v>
      </c>
      <c r="AT35" s="22">
        <f t="shared" si="16"/>
        <v>4.6552582454521874E-2</v>
      </c>
      <c r="AU35" s="22">
        <f t="shared" si="16"/>
        <v>3.8683894907698635E-2</v>
      </c>
    </row>
    <row r="36" spans="2:99" x14ac:dyDescent="0.15">
      <c r="B36" s="29" t="s">
        <v>7</v>
      </c>
      <c r="C36" s="5">
        <v>8.7525681351328739</v>
      </c>
      <c r="D36" s="5">
        <v>9.7225715873760787</v>
      </c>
      <c r="E36" s="5">
        <v>10.141999999999999</v>
      </c>
      <c r="F36" s="5">
        <v>11.0401671216</v>
      </c>
      <c r="G36" s="5">
        <v>12.125838892800001</v>
      </c>
      <c r="H36" s="5">
        <v>13.0450070862</v>
      </c>
      <c r="I36" s="5">
        <v>13.816260918600001</v>
      </c>
      <c r="J36" s="5">
        <v>14.069946925999998</v>
      </c>
      <c r="K36" s="5">
        <v>13.5692406824</v>
      </c>
      <c r="L36" s="5">
        <v>14.374718418999999</v>
      </c>
      <c r="M36" s="5">
        <v>13.843550797700001</v>
      </c>
      <c r="N36" s="5">
        <v>2.9162709435999998</v>
      </c>
      <c r="O36" s="5">
        <v>4.5139333260188357</v>
      </c>
      <c r="P36" s="5">
        <v>10.03993764443238</v>
      </c>
      <c r="Q36" s="5">
        <v>12.531332593828143</v>
      </c>
      <c r="R36" s="5">
        <v>13.047961003397271</v>
      </c>
      <c r="S36" s="5">
        <v>12.927145330737575</v>
      </c>
      <c r="T36" s="19">
        <v>13.161583643135762</v>
      </c>
      <c r="U36" s="19">
        <v>13.588757543401762</v>
      </c>
      <c r="V36" s="19">
        <v>14.155734669307737</v>
      </c>
      <c r="W36" s="19">
        <v>14.777193160056806</v>
      </c>
      <c r="X36" s="19">
        <v>15.407477319228542</v>
      </c>
      <c r="Z36" s="29" t="s">
        <v>7</v>
      </c>
      <c r="AA36" s="20">
        <f t="shared" si="15"/>
        <v>0.11082501013041002</v>
      </c>
      <c r="AB36" s="20">
        <f t="shared" si="15"/>
        <v>4.3139657944870402E-2</v>
      </c>
      <c r="AC36" s="20">
        <f t="shared" si="15"/>
        <v>8.8559171918753732E-2</v>
      </c>
      <c r="AD36" s="20">
        <f t="shared" si="15"/>
        <v>9.8338345719050979E-2</v>
      </c>
      <c r="AE36" s="20">
        <f t="shared" si="15"/>
        <v>7.580244150743054E-2</v>
      </c>
      <c r="AF36" s="20">
        <f t="shared" si="15"/>
        <v>5.9122530735601586E-2</v>
      </c>
      <c r="AG36" s="21">
        <f t="shared" si="15"/>
        <v>1.8361408263394496E-2</v>
      </c>
      <c r="AH36" s="21">
        <f t="shared" si="15"/>
        <v>-3.5586931936092636E-2</v>
      </c>
      <c r="AI36" s="21">
        <f t="shared" si="15"/>
        <v>5.9360560804610385E-2</v>
      </c>
      <c r="AJ36" s="21">
        <f t="shared" si="15"/>
        <v>-3.6951514862226364E-2</v>
      </c>
      <c r="AK36" s="21">
        <f t="shared" si="16"/>
        <v>-0.78934082835998143</v>
      </c>
      <c r="AL36" s="21">
        <f t="shared" si="16"/>
        <v>0.54784428927121454</v>
      </c>
      <c r="AM36" s="20">
        <f t="shared" si="16"/>
        <v>1.2242104433756285</v>
      </c>
      <c r="AN36" s="20">
        <f t="shared" si="16"/>
        <v>0.2481484484893548</v>
      </c>
      <c r="AO36" s="20">
        <f t="shared" si="16"/>
        <v>4.1226933025748203E-2</v>
      </c>
      <c r="AP36" s="20">
        <f t="shared" si="16"/>
        <v>-9.2593526780344604E-3</v>
      </c>
      <c r="AQ36" s="22">
        <f t="shared" si="16"/>
        <v>1.8135350566590214E-2</v>
      </c>
      <c r="AR36" s="22">
        <f t="shared" si="16"/>
        <v>3.2456117124536554E-2</v>
      </c>
      <c r="AS36" s="22">
        <f t="shared" si="16"/>
        <v>4.1723985735640623E-2</v>
      </c>
      <c r="AT36" s="22">
        <f t="shared" si="16"/>
        <v>4.3901535686205362E-2</v>
      </c>
      <c r="AU36" s="22">
        <f t="shared" si="16"/>
        <v>4.2652495121699774E-2</v>
      </c>
    </row>
    <row r="37" spans="2:99" ht="4" customHeight="1" x14ac:dyDescent="0.15">
      <c r="B37" s="34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6"/>
      <c r="U37" s="36"/>
      <c r="V37" s="36"/>
      <c r="W37" s="36"/>
      <c r="X37" s="36"/>
      <c r="Z37" s="34"/>
      <c r="AA37" s="35"/>
      <c r="AB37" s="35"/>
      <c r="AC37" s="35"/>
      <c r="AD37" s="35"/>
      <c r="AE37" s="35"/>
      <c r="AF37" s="35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8"/>
      <c r="AR37" s="38"/>
      <c r="AS37" s="38"/>
      <c r="AT37" s="38"/>
      <c r="AU37" s="38"/>
    </row>
    <row r="38" spans="2:99" ht="4" customHeight="1" x14ac:dyDescent="0.15">
      <c r="B38" s="27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/>
      <c r="U38" s="24"/>
      <c r="V38" s="24"/>
      <c r="W38" s="24"/>
      <c r="X38" s="24"/>
      <c r="Z38" s="27"/>
      <c r="AA38" s="23"/>
      <c r="AB38" s="23"/>
      <c r="AC38" s="23"/>
      <c r="AD38" s="23"/>
      <c r="AE38" s="23"/>
      <c r="AF38" s="23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6"/>
      <c r="AR38" s="26"/>
      <c r="AS38" s="26"/>
      <c r="AT38" s="26"/>
      <c r="AU38" s="26"/>
    </row>
    <row r="39" spans="2:99" x14ac:dyDescent="0.15">
      <c r="B39" s="130" t="s">
        <v>24</v>
      </c>
      <c r="C39" s="23"/>
      <c r="D39" s="23"/>
      <c r="T39" s="11"/>
      <c r="U39" s="11"/>
      <c r="V39" s="11"/>
      <c r="W39" s="11"/>
      <c r="X39" s="11"/>
      <c r="Z39" s="130" t="s">
        <v>24</v>
      </c>
      <c r="AA39" s="23"/>
      <c r="AB39" s="20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6"/>
      <c r="AR39" s="26"/>
      <c r="AS39" s="26"/>
      <c r="AT39" s="26"/>
      <c r="AU39" s="26"/>
    </row>
    <row r="40" spans="2:99" x14ac:dyDescent="0.15">
      <c r="B40" s="130"/>
      <c r="C40" s="23"/>
      <c r="D40" s="23"/>
      <c r="E40" s="39">
        <v>86.573463687150834</v>
      </c>
      <c r="F40" s="39">
        <f t="shared" ref="F40:M40" si="17">SUM(F41,F45)</f>
        <v>108.915583887</v>
      </c>
      <c r="G40" s="39">
        <f t="shared" si="17"/>
        <v>111.692288323</v>
      </c>
      <c r="H40" s="39">
        <f t="shared" si="17"/>
        <v>117.37270756799998</v>
      </c>
      <c r="I40" s="39">
        <f t="shared" si="17"/>
        <v>121.933143785</v>
      </c>
      <c r="J40" s="39">
        <f t="shared" si="17"/>
        <v>126.402204337</v>
      </c>
      <c r="K40" s="39">
        <f t="shared" si="17"/>
        <v>133.320068894</v>
      </c>
      <c r="L40" s="39">
        <f t="shared" si="17"/>
        <v>140.349286826</v>
      </c>
      <c r="M40" s="39">
        <f t="shared" si="17"/>
        <v>144.85065166800001</v>
      </c>
      <c r="N40" s="39">
        <f>SUM(N41,N45)</f>
        <v>68.255537027000003</v>
      </c>
      <c r="O40" s="39">
        <v>105.02807364500001</v>
      </c>
      <c r="P40" s="39">
        <v>142.50601855100001</v>
      </c>
      <c r="Q40" s="39">
        <v>151.114811291</v>
      </c>
      <c r="R40" s="39">
        <v>156.18956691599999</v>
      </c>
      <c r="S40" s="39">
        <v>158.864619602</v>
      </c>
      <c r="T40" s="40">
        <v>166.25502387019625</v>
      </c>
      <c r="U40" s="40">
        <v>171.73652286029147</v>
      </c>
      <c r="V40" s="40">
        <v>178.87832226456905</v>
      </c>
      <c r="W40" s="40">
        <v>187.2233045071585</v>
      </c>
      <c r="X40" s="40">
        <v>196.29328823581594</v>
      </c>
      <c r="Z40" s="130"/>
      <c r="AA40" s="23"/>
      <c r="AC40" s="20">
        <f t="shared" ref="AC40:AR42" si="18">F40/E40-1</f>
        <v>0.25807122931556181</v>
      </c>
      <c r="AD40" s="20">
        <f t="shared" si="18"/>
        <v>2.5494096775727115E-2</v>
      </c>
      <c r="AE40" s="20">
        <f t="shared" si="18"/>
        <v>5.0857756880877236E-2</v>
      </c>
      <c r="AF40" s="20">
        <f t="shared" si="18"/>
        <v>3.8854315551662078E-2</v>
      </c>
      <c r="AG40" s="21">
        <f t="shared" si="18"/>
        <v>3.6651729080980022E-2</v>
      </c>
      <c r="AH40" s="21">
        <f t="shared" si="18"/>
        <v>5.4728986676184421E-2</v>
      </c>
      <c r="AI40" s="21">
        <f t="shared" si="18"/>
        <v>5.2724379685017864E-2</v>
      </c>
      <c r="AJ40" s="21">
        <f t="shared" si="18"/>
        <v>3.2072587925442431E-2</v>
      </c>
      <c r="AK40" s="21">
        <f t="shared" si="18"/>
        <v>-0.52878681427376129</v>
      </c>
      <c r="AL40" s="21">
        <f t="shared" si="18"/>
        <v>0.53874803744425614</v>
      </c>
      <c r="AM40" s="20">
        <f t="shared" si="18"/>
        <v>0.35683740170915912</v>
      </c>
      <c r="AN40" s="20">
        <f t="shared" si="18"/>
        <v>6.0410029187076608E-2</v>
      </c>
      <c r="AO40" s="20">
        <f t="shared" si="18"/>
        <v>3.3582119327983051E-2</v>
      </c>
      <c r="AP40" s="20">
        <f t="shared" si="18"/>
        <v>1.7126961415026454E-2</v>
      </c>
      <c r="AQ40" s="22">
        <f t="shared" si="18"/>
        <v>4.6520139516975201E-2</v>
      </c>
      <c r="AR40" s="22">
        <f t="shared" si="18"/>
        <v>3.2970426171150757E-2</v>
      </c>
      <c r="AS40" s="22">
        <f t="shared" ref="AM40:AU42" si="19">V40/U40-1</f>
        <v>4.1585792499639007E-2</v>
      </c>
      <c r="AT40" s="22">
        <f t="shared" si="19"/>
        <v>4.6651724686051388E-2</v>
      </c>
      <c r="AU40" s="22">
        <f t="shared" si="19"/>
        <v>4.8444736901386287E-2</v>
      </c>
    </row>
    <row r="41" spans="2:99" ht="13" customHeight="1" x14ac:dyDescent="0.15">
      <c r="B41" s="41" t="s">
        <v>8</v>
      </c>
      <c r="C41" s="23"/>
      <c r="D41" s="23"/>
      <c r="E41" s="42">
        <v>86.573463687150834</v>
      </c>
      <c r="F41" s="42">
        <v>89.641809731034286</v>
      </c>
      <c r="G41" s="42">
        <v>89.737941194677802</v>
      </c>
      <c r="H41" s="42">
        <v>94.164159695309138</v>
      </c>
      <c r="I41" s="42">
        <v>96.377944944423461</v>
      </c>
      <c r="J41" s="42">
        <v>99.966004387936849</v>
      </c>
      <c r="K41" s="42">
        <v>106.37465784023036</v>
      </c>
      <c r="L41" s="42">
        <v>111.77519759249468</v>
      </c>
      <c r="M41" s="42">
        <v>116.713835668</v>
      </c>
      <c r="N41" s="42">
        <v>62.955578184824752</v>
      </c>
      <c r="O41" s="42">
        <v>99.854221812570231</v>
      </c>
      <c r="P41" s="42">
        <v>124.9200216012249</v>
      </c>
      <c r="Q41" s="42">
        <v>128.56607187202277</v>
      </c>
      <c r="R41" s="42">
        <v>130.15425506643405</v>
      </c>
      <c r="S41" s="42">
        <v>133.449902262633</v>
      </c>
      <c r="T41" s="43">
        <v>140.24955692063185</v>
      </c>
      <c r="U41" s="43">
        <v>144.45231349819346</v>
      </c>
      <c r="V41" s="43">
        <v>150.02782692323149</v>
      </c>
      <c r="W41" s="43">
        <v>156.39701621731038</v>
      </c>
      <c r="X41" s="43">
        <v>163.46185033046899</v>
      </c>
      <c r="Z41" s="41" t="s">
        <v>8</v>
      </c>
      <c r="AA41" s="23"/>
      <c r="AB41" s="20"/>
      <c r="AC41" s="20">
        <f t="shared" si="18"/>
        <v>3.5442107930109934E-2</v>
      </c>
      <c r="AD41" s="20">
        <f t="shared" si="18"/>
        <v>1.0723953915250384E-3</v>
      </c>
      <c r="AE41" s="20">
        <f t="shared" si="18"/>
        <v>4.9323824925168402E-2</v>
      </c>
      <c r="AF41" s="20">
        <f t="shared" si="18"/>
        <v>2.3509849780187775E-2</v>
      </c>
      <c r="AG41" s="21">
        <f t="shared" si="18"/>
        <v>3.7229051164998861E-2</v>
      </c>
      <c r="AH41" s="21">
        <f t="shared" si="18"/>
        <v>6.4108328541606197E-2</v>
      </c>
      <c r="AI41" s="21">
        <f t="shared" si="18"/>
        <v>5.0769044638203864E-2</v>
      </c>
      <c r="AJ41" s="21">
        <f t="shared" si="18"/>
        <v>4.4183666697780399E-2</v>
      </c>
      <c r="AK41" s="21">
        <f t="shared" si="18"/>
        <v>-0.46059884139266971</v>
      </c>
      <c r="AL41" s="21">
        <f t="shared" si="18"/>
        <v>0.58610602414640023</v>
      </c>
      <c r="AM41" s="20">
        <f t="shared" si="19"/>
        <v>0.25102393603050688</v>
      </c>
      <c r="AN41" s="20">
        <f t="shared" si="19"/>
        <v>2.9187076851755256E-2</v>
      </c>
      <c r="AO41" s="20">
        <f t="shared" si="19"/>
        <v>1.2353050624368311E-2</v>
      </c>
      <c r="AP41" s="20">
        <f t="shared" si="19"/>
        <v>2.5321086848192342E-2</v>
      </c>
      <c r="AQ41" s="22">
        <f t="shared" si="19"/>
        <v>5.0952863529393433E-2</v>
      </c>
      <c r="AR41" s="22">
        <f t="shared" si="19"/>
        <v>2.9966273475929617E-2</v>
      </c>
      <c r="AS41" s="22">
        <f t="shared" si="19"/>
        <v>3.8597605604342E-2</v>
      </c>
      <c r="AT41" s="22">
        <f t="shared" si="19"/>
        <v>4.2453386313046959E-2</v>
      </c>
      <c r="AU41" s="22">
        <f t="shared" si="19"/>
        <v>4.5172435408500133E-2</v>
      </c>
      <c r="AW41" s="44"/>
      <c r="AX41" s="44"/>
      <c r="AY41" s="44"/>
      <c r="AZ41" s="44"/>
      <c r="BA41" s="44"/>
      <c r="BP41" s="21"/>
      <c r="BQ41" s="21"/>
      <c r="CE41" s="45"/>
      <c r="CF41" s="45"/>
      <c r="CR41" s="46"/>
      <c r="CT41" s="45"/>
      <c r="CU41" s="45"/>
    </row>
    <row r="42" spans="2:99" ht="13" customHeight="1" x14ac:dyDescent="0.15">
      <c r="B42" s="47" t="s">
        <v>6</v>
      </c>
      <c r="C42" s="23"/>
      <c r="D42" s="23"/>
      <c r="E42" s="42"/>
      <c r="F42" s="42"/>
      <c r="G42" s="42"/>
      <c r="H42" s="42"/>
      <c r="I42" s="42"/>
      <c r="J42" s="42"/>
      <c r="K42" s="42"/>
      <c r="L42" s="42"/>
      <c r="M42" s="42">
        <v>28.47540004004145</v>
      </c>
      <c r="N42" s="42">
        <v>10.245024291812809</v>
      </c>
      <c r="O42" s="42">
        <v>16.73379955585429</v>
      </c>
      <c r="P42" s="42">
        <v>26.386273515297376</v>
      </c>
      <c r="Q42" s="42">
        <v>27.806056364525165</v>
      </c>
      <c r="R42" s="42">
        <v>28.351607222657602</v>
      </c>
      <c r="S42" s="42">
        <v>28.706106123031521</v>
      </c>
      <c r="T42" s="43">
        <v>30.501767232095379</v>
      </c>
      <c r="U42" s="43">
        <v>31.880928175619029</v>
      </c>
      <c r="V42" s="43">
        <v>32.946301848427304</v>
      </c>
      <c r="W42" s="43">
        <v>34.613148810655254</v>
      </c>
      <c r="X42" s="43">
        <v>36.255019471698617</v>
      </c>
      <c r="Z42" s="47" t="s">
        <v>6</v>
      </c>
      <c r="AA42" s="23"/>
      <c r="AB42" s="20"/>
      <c r="AC42" s="20"/>
      <c r="AD42" s="20"/>
      <c r="AE42" s="20"/>
      <c r="AF42" s="20"/>
      <c r="AG42" s="21"/>
      <c r="AH42" s="21"/>
      <c r="AI42" s="21"/>
      <c r="AJ42" s="21"/>
      <c r="AK42" s="21">
        <f t="shared" si="18"/>
        <v>-0.64021491261206187</v>
      </c>
      <c r="AL42" s="21">
        <f t="shared" si="18"/>
        <v>0.63335869971796055</v>
      </c>
      <c r="AM42" s="20">
        <f t="shared" si="18"/>
        <v>0.57682500183087138</v>
      </c>
      <c r="AN42" s="20">
        <f t="shared" si="18"/>
        <v>5.3807630259145034E-2</v>
      </c>
      <c r="AO42" s="20">
        <f>R42/Q42-1</f>
        <v>1.9619857306642396E-2</v>
      </c>
      <c r="AP42" s="20">
        <f t="shared" si="18"/>
        <v>1.2503661524014609E-2</v>
      </c>
      <c r="AQ42" s="22">
        <f t="shared" si="18"/>
        <v>6.2553280523935717E-2</v>
      </c>
      <c r="AR42" s="22">
        <f t="shared" si="18"/>
        <v>4.5215771697071805E-2</v>
      </c>
      <c r="AS42" s="22">
        <f t="shared" si="19"/>
        <v>3.3417272763815564E-2</v>
      </c>
      <c r="AT42" s="22">
        <f t="shared" si="19"/>
        <v>5.0592839521001354E-2</v>
      </c>
      <c r="AU42" s="22">
        <f t="shared" si="19"/>
        <v>4.7434882911835397E-2</v>
      </c>
      <c r="AW42" s="44"/>
      <c r="AX42" s="44"/>
      <c r="AY42" s="44"/>
      <c r="AZ42" s="44"/>
      <c r="BA42" s="44"/>
      <c r="BP42" s="21"/>
      <c r="BQ42" s="21"/>
      <c r="CC42" s="21"/>
      <c r="CE42" s="45"/>
      <c r="CF42" s="45"/>
      <c r="CT42" s="45"/>
      <c r="CU42" s="45"/>
    </row>
    <row r="43" spans="2:99" ht="13" customHeight="1" x14ac:dyDescent="0.15">
      <c r="B43" s="29" t="s">
        <v>10</v>
      </c>
      <c r="C43" s="23"/>
      <c r="D43" s="23"/>
      <c r="E43" s="42"/>
      <c r="F43" s="42"/>
      <c r="G43" s="42"/>
      <c r="H43" s="42"/>
      <c r="I43" s="42"/>
      <c r="J43" s="42"/>
      <c r="K43" s="42"/>
      <c r="L43" s="42"/>
      <c r="M43" s="42">
        <v>5.5729758961189066</v>
      </c>
      <c r="N43" s="48" t="s">
        <v>11</v>
      </c>
      <c r="O43" s="48" t="s">
        <v>11</v>
      </c>
      <c r="P43" s="48" t="s">
        <v>11</v>
      </c>
      <c r="Q43" s="42">
        <v>4.443111004632768</v>
      </c>
      <c r="R43" s="42">
        <v>4.8713201381751983</v>
      </c>
      <c r="S43" s="42">
        <v>5.0605907484802728</v>
      </c>
      <c r="T43" s="43">
        <v>5.3609943506940283</v>
      </c>
      <c r="U43" s="43">
        <v>5.564228110351503</v>
      </c>
      <c r="V43" s="43">
        <v>5.7501636886657694</v>
      </c>
      <c r="W43" s="43">
        <v>6.0531690000614935</v>
      </c>
      <c r="X43" s="43">
        <v>6.3402940225245974</v>
      </c>
      <c r="Z43" s="29" t="s">
        <v>10</v>
      </c>
      <c r="AA43" s="23"/>
      <c r="AB43" s="20"/>
      <c r="AC43" s="20"/>
      <c r="AD43" s="20"/>
      <c r="AE43" s="20"/>
      <c r="AF43" s="20"/>
      <c r="AG43" s="21"/>
      <c r="AH43" s="21"/>
      <c r="AI43" s="21"/>
      <c r="AJ43" s="21"/>
      <c r="AK43" s="21"/>
      <c r="AL43" s="21"/>
      <c r="AM43" s="128" t="s">
        <v>11</v>
      </c>
      <c r="AN43" s="128" t="s">
        <v>11</v>
      </c>
      <c r="AO43" s="20">
        <f>R43/Q43-1</f>
        <v>9.6375970147030587E-2</v>
      </c>
      <c r="AP43" s="20">
        <f t="shared" ref="AP43" si="20">S43/R43-1</f>
        <v>3.8854069315176654E-2</v>
      </c>
      <c r="AQ43" s="22">
        <f t="shared" ref="AQ43" si="21">T43/S43-1</f>
        <v>5.9361370469241947E-2</v>
      </c>
      <c r="AR43" s="22">
        <f t="shared" ref="AR43" si="22">U43/T43-1</f>
        <v>3.7909713452908944E-2</v>
      </c>
      <c r="AS43" s="22">
        <f t="shared" ref="AS43" si="23">V43/U43-1</f>
        <v>3.3416239346542698E-2</v>
      </c>
      <c r="AT43" s="22">
        <f t="shared" ref="AT43" si="24">W43/V43-1</f>
        <v>5.2695075792882573E-2</v>
      </c>
      <c r="AU43" s="22">
        <f t="shared" ref="AU43" si="25">X43/W43-1</f>
        <v>4.7433835476952124E-2</v>
      </c>
      <c r="AW43" s="44"/>
      <c r="AX43" s="44"/>
      <c r="AY43" s="44"/>
      <c r="AZ43" s="44"/>
      <c r="BA43" s="44"/>
      <c r="BP43" s="21"/>
      <c r="BQ43" s="21"/>
      <c r="CC43" s="21"/>
      <c r="CE43" s="45"/>
      <c r="CF43" s="45"/>
      <c r="CT43" s="45"/>
      <c r="CU43" s="45"/>
    </row>
    <row r="44" spans="2:99" ht="13" customHeight="1" x14ac:dyDescent="0.15">
      <c r="B44" s="47" t="s">
        <v>7</v>
      </c>
      <c r="C44" s="23"/>
      <c r="D44" s="23"/>
      <c r="E44" s="42"/>
      <c r="F44" s="42"/>
      <c r="G44" s="42"/>
      <c r="H44" s="42"/>
      <c r="I44" s="42"/>
      <c r="J44" s="42"/>
      <c r="K44" s="42"/>
      <c r="L44" s="42"/>
      <c r="M44" s="42">
        <v>88.238435627958566</v>
      </c>
      <c r="N44" s="42">
        <v>52.710553893011948</v>
      </c>
      <c r="O44" s="42">
        <v>83.120422256715941</v>
      </c>
      <c r="P44" s="42">
        <v>98.533748085927527</v>
      </c>
      <c r="Q44" s="42">
        <v>100.76001550749761</v>
      </c>
      <c r="R44" s="42">
        <v>101.80264784377644</v>
      </c>
      <c r="S44" s="42">
        <v>104.74379613960149</v>
      </c>
      <c r="T44" s="43">
        <v>109.74778968853647</v>
      </c>
      <c r="U44" s="43">
        <v>112.57138532257443</v>
      </c>
      <c r="V44" s="43">
        <v>117.08152507480418</v>
      </c>
      <c r="W44" s="43">
        <v>121.78386740665513</v>
      </c>
      <c r="X44" s="43">
        <v>127.20683085877037</v>
      </c>
      <c r="Z44" s="47" t="s">
        <v>7</v>
      </c>
      <c r="AA44" s="23"/>
      <c r="AB44" s="20"/>
      <c r="AC44" s="20"/>
      <c r="AD44" s="20"/>
      <c r="AE44" s="20"/>
      <c r="AF44" s="20"/>
      <c r="AG44" s="21"/>
      <c r="AH44" s="21"/>
      <c r="AI44" s="21"/>
      <c r="AJ44" s="21"/>
      <c r="AK44" s="21">
        <f t="shared" ref="AK44:AU47" si="26">N44/M44-1</f>
        <v>-0.40263499100033362</v>
      </c>
      <c r="AL44" s="21">
        <f t="shared" si="26"/>
        <v>0.57692181390140074</v>
      </c>
      <c r="AM44" s="20">
        <f t="shared" si="26"/>
        <v>0.18543368056538267</v>
      </c>
      <c r="AN44" s="20">
        <f t="shared" si="26"/>
        <v>2.2593958565634287E-2</v>
      </c>
      <c r="AO44" s="20">
        <f t="shared" si="26"/>
        <v>1.0347679394722364E-2</v>
      </c>
      <c r="AP44" s="20">
        <f t="shared" si="26"/>
        <v>2.889068563657049E-2</v>
      </c>
      <c r="AQ44" s="22">
        <f t="shared" si="26"/>
        <v>4.7773650883014662E-2</v>
      </c>
      <c r="AR44" s="22">
        <f t="shared" si="26"/>
        <v>2.5728041011589431E-2</v>
      </c>
      <c r="AS44" s="22">
        <f t="shared" si="26"/>
        <v>4.006470862294087E-2</v>
      </c>
      <c r="AT44" s="22">
        <f t="shared" si="26"/>
        <v>4.0162974720790556E-2</v>
      </c>
      <c r="AU44" s="22">
        <f t="shared" si="26"/>
        <v>4.4529407446120439E-2</v>
      </c>
      <c r="AW44" s="44"/>
      <c r="AX44" s="44"/>
      <c r="AY44" s="44"/>
      <c r="AZ44" s="44"/>
      <c r="BA44" s="44"/>
      <c r="BP44" s="21"/>
      <c r="BQ44" s="21"/>
      <c r="CC44" s="21"/>
      <c r="CE44" s="45"/>
      <c r="CF44" s="45"/>
      <c r="CT44" s="45"/>
      <c r="CU44" s="45"/>
    </row>
    <row r="45" spans="2:99" x14ac:dyDescent="0.15">
      <c r="B45" s="41" t="s">
        <v>20</v>
      </c>
      <c r="C45" s="49"/>
      <c r="D45" s="49"/>
      <c r="E45" s="42">
        <v>0</v>
      </c>
      <c r="F45" s="42">
        <v>19.273774155965711</v>
      </c>
      <c r="G45" s="42">
        <v>21.954347128322198</v>
      </c>
      <c r="H45" s="42">
        <v>23.208547872690851</v>
      </c>
      <c r="I45" s="42">
        <v>25.555198840576544</v>
      </c>
      <c r="J45" s="42">
        <v>26.436199949063152</v>
      </c>
      <c r="K45" s="42">
        <v>26.945411053769643</v>
      </c>
      <c r="L45" s="42">
        <v>28.574089233505322</v>
      </c>
      <c r="M45" s="42">
        <v>28.136815999999996</v>
      </c>
      <c r="N45" s="42">
        <f t="shared" ref="N45" si="27">N136</f>
        <v>5.299958842175247</v>
      </c>
      <c r="O45" s="42">
        <v>5.1738518324297704</v>
      </c>
      <c r="P45" s="42">
        <v>17.585996949775105</v>
      </c>
      <c r="Q45" s="42">
        <v>22.548739418977213</v>
      </c>
      <c r="R45" s="42">
        <v>26.035311849565957</v>
      </c>
      <c r="S45" s="42">
        <v>25.414717339367012</v>
      </c>
      <c r="T45" s="43">
        <v>26.005466949564415</v>
      </c>
      <c r="U45" s="43">
        <v>27.284209362098025</v>
      </c>
      <c r="V45" s="43">
        <v>28.850495341337567</v>
      </c>
      <c r="W45" s="43">
        <v>30.826288289848133</v>
      </c>
      <c r="X45" s="43">
        <v>32.831437905346952</v>
      </c>
      <c r="Z45" s="41" t="s">
        <v>20</v>
      </c>
      <c r="AA45" s="49"/>
      <c r="AB45" s="20"/>
      <c r="AC45" s="20"/>
      <c r="AD45" s="20">
        <f t="shared" ref="AD45:AJ45" si="28">G45/F45-1</f>
        <v>0.13907877879365849</v>
      </c>
      <c r="AE45" s="20">
        <f t="shared" si="28"/>
        <v>5.7127672120601103E-2</v>
      </c>
      <c r="AF45" s="20">
        <f t="shared" si="28"/>
        <v>0.10111149481467407</v>
      </c>
      <c r="AG45" s="21">
        <f t="shared" si="28"/>
        <v>3.4474437627452614E-2</v>
      </c>
      <c r="AH45" s="21">
        <f t="shared" si="28"/>
        <v>1.9261887324488081E-2</v>
      </c>
      <c r="AI45" s="21">
        <f t="shared" si="28"/>
        <v>6.0443619749783961E-2</v>
      </c>
      <c r="AJ45" s="21">
        <f t="shared" si="28"/>
        <v>-1.5303138095914881E-2</v>
      </c>
      <c r="AK45" s="21">
        <f t="shared" si="26"/>
        <v>-0.8116361552005299</v>
      </c>
      <c r="AL45" s="21">
        <f t="shared" si="26"/>
        <v>-2.3793960198702058E-2</v>
      </c>
      <c r="AM45" s="20">
        <f t="shared" si="26"/>
        <v>2.3990144131198052</v>
      </c>
      <c r="AN45" s="20">
        <f t="shared" si="26"/>
        <v>0.28219852894183362</v>
      </c>
      <c r="AO45" s="20">
        <f t="shared" si="26"/>
        <v>0.15462382911101513</v>
      </c>
      <c r="AP45" s="20">
        <f t="shared" si="26"/>
        <v>-2.3836645928606015E-2</v>
      </c>
      <c r="AQ45" s="22">
        <f t="shared" si="26"/>
        <v>2.3244390339228316E-2</v>
      </c>
      <c r="AR45" s="22">
        <f t="shared" si="26"/>
        <v>4.9172061205962292E-2</v>
      </c>
      <c r="AS45" s="22">
        <f t="shared" si="26"/>
        <v>5.7406317275051855E-2</v>
      </c>
      <c r="AT45" s="22">
        <f t="shared" si="26"/>
        <v>6.8483848375372913E-2</v>
      </c>
      <c r="AU45" s="22">
        <f t="shared" si="26"/>
        <v>6.5046741814815512E-2</v>
      </c>
      <c r="AW45" s="44"/>
      <c r="AX45" s="44"/>
      <c r="AY45" s="44"/>
      <c r="AZ45" s="44"/>
      <c r="BA45" s="44"/>
      <c r="BP45" s="21"/>
      <c r="BQ45" s="21"/>
      <c r="CC45" s="21"/>
      <c r="CF45" s="45"/>
      <c r="CT45" s="45"/>
      <c r="CU45" s="45"/>
    </row>
    <row r="46" spans="2:99" x14ac:dyDescent="0.15">
      <c r="B46" s="47" t="s">
        <v>6</v>
      </c>
      <c r="C46" s="49"/>
      <c r="D46" s="49"/>
      <c r="E46" s="42"/>
      <c r="F46" s="42"/>
      <c r="G46" s="42"/>
      <c r="H46" s="42"/>
      <c r="I46" s="42"/>
      <c r="J46" s="42"/>
      <c r="K46" s="42"/>
      <c r="L46" s="42"/>
      <c r="M46" s="42">
        <f t="shared" ref="M46:N47" si="29">M157</f>
        <v>6.5425467671709967</v>
      </c>
      <c r="N46" s="42">
        <f t="shared" si="29"/>
        <v>1.400225419671943</v>
      </c>
      <c r="O46" s="42">
        <v>0.77229638497572906</v>
      </c>
      <c r="P46" s="42">
        <v>2.9103122732302111</v>
      </c>
      <c r="Q46" s="42">
        <v>4.0809312334060124</v>
      </c>
      <c r="R46" s="42">
        <v>5.8787734156319935</v>
      </c>
      <c r="S46" s="42">
        <v>5.7909466635134912</v>
      </c>
      <c r="T46" s="43">
        <v>6.0336625751778996</v>
      </c>
      <c r="U46" s="43">
        <v>6.4869087019318954</v>
      </c>
      <c r="V46" s="43">
        <v>6.7993604072016041</v>
      </c>
      <c r="W46" s="43">
        <v>7.2776872106292814</v>
      </c>
      <c r="X46" s="43">
        <v>7.7307786498846589</v>
      </c>
      <c r="Z46" s="47" t="s">
        <v>6</v>
      </c>
      <c r="AA46" s="49"/>
      <c r="AB46" s="20"/>
      <c r="AC46" s="20"/>
      <c r="AD46" s="20"/>
      <c r="AE46" s="20"/>
      <c r="AF46" s="20"/>
      <c r="AG46" s="21"/>
      <c r="AH46" s="21"/>
      <c r="AI46" s="21"/>
      <c r="AJ46" s="21"/>
      <c r="AK46" s="21">
        <f t="shared" si="26"/>
        <v>-0.78598159562298364</v>
      </c>
      <c r="AL46" s="21">
        <f t="shared" si="26"/>
        <v>-0.44844853255365891</v>
      </c>
      <c r="AM46" s="20">
        <f t="shared" si="26"/>
        <v>2.768387797544428</v>
      </c>
      <c r="AN46" s="20">
        <f t="shared" si="26"/>
        <v>0.40223139315442213</v>
      </c>
      <c r="AO46" s="20">
        <f t="shared" si="26"/>
        <v>0.44054704169211711</v>
      </c>
      <c r="AP46" s="20">
        <f t="shared" si="26"/>
        <v>-1.4939638919398757E-2</v>
      </c>
      <c r="AQ46" s="22">
        <f t="shared" si="26"/>
        <v>4.1912993810436339E-2</v>
      </c>
      <c r="AR46" s="22">
        <f t="shared" si="26"/>
        <v>7.5119568107540724E-2</v>
      </c>
      <c r="AS46" s="22">
        <f t="shared" si="26"/>
        <v>4.8166502663534727E-2</v>
      </c>
      <c r="AT46" s="22">
        <f t="shared" si="26"/>
        <v>7.0348793824938749E-2</v>
      </c>
      <c r="AU46" s="22">
        <f t="shared" si="26"/>
        <v>6.2257613736631079E-2</v>
      </c>
      <c r="AW46" s="44"/>
      <c r="AX46" s="44"/>
      <c r="AY46" s="44"/>
      <c r="AZ46" s="44"/>
      <c r="BA46" s="44"/>
      <c r="BP46" s="21"/>
      <c r="BQ46" s="21"/>
      <c r="CC46" s="21"/>
      <c r="CF46" s="45"/>
      <c r="CT46" s="45"/>
      <c r="CU46" s="45"/>
    </row>
    <row r="47" spans="2:99" x14ac:dyDescent="0.15">
      <c r="B47" s="47" t="s">
        <v>7</v>
      </c>
      <c r="C47" s="49"/>
      <c r="D47" s="49"/>
      <c r="E47" s="42"/>
      <c r="F47" s="42"/>
      <c r="G47" s="42"/>
      <c r="H47" s="42"/>
      <c r="I47" s="42"/>
      <c r="J47" s="42"/>
      <c r="K47" s="42"/>
      <c r="L47" s="42"/>
      <c r="M47" s="42">
        <f t="shared" si="29"/>
        <v>21.594269232828999</v>
      </c>
      <c r="N47" s="42">
        <f t="shared" si="29"/>
        <v>3.8997334225033038</v>
      </c>
      <c r="O47" s="42">
        <v>4.401555447454041</v>
      </c>
      <c r="P47" s="42">
        <v>14.675684676544893</v>
      </c>
      <c r="Q47" s="42">
        <v>18.467808185571201</v>
      </c>
      <c r="R47" s="42">
        <v>20.156538433933964</v>
      </c>
      <c r="S47" s="42">
        <v>19.623770675853521</v>
      </c>
      <c r="T47" s="43">
        <v>19.971804374386515</v>
      </c>
      <c r="U47" s="43">
        <v>20.79730066016613</v>
      </c>
      <c r="V47" s="43">
        <v>22.051134934135963</v>
      </c>
      <c r="W47" s="43">
        <v>23.548601079218852</v>
      </c>
      <c r="X47" s="43">
        <v>25.100659255462293</v>
      </c>
      <c r="Z47" s="47" t="s">
        <v>7</v>
      </c>
      <c r="AA47" s="49"/>
      <c r="AB47" s="20"/>
      <c r="AC47" s="20"/>
      <c r="AD47" s="20"/>
      <c r="AE47" s="20"/>
      <c r="AF47" s="20"/>
      <c r="AG47" s="21"/>
      <c r="AH47" s="21"/>
      <c r="AI47" s="21"/>
      <c r="AJ47" s="21"/>
      <c r="AK47" s="21">
        <f t="shared" si="26"/>
        <v>-0.81940887276821217</v>
      </c>
      <c r="AL47" s="21">
        <f t="shared" si="26"/>
        <v>0.1286811098561218</v>
      </c>
      <c r="AM47" s="20">
        <f t="shared" si="26"/>
        <v>2.3342042038874329</v>
      </c>
      <c r="AN47" s="20">
        <f t="shared" si="26"/>
        <v>0.25839499775346009</v>
      </c>
      <c r="AO47" s="20">
        <f t="shared" si="26"/>
        <v>9.1441833887042412E-2</v>
      </c>
      <c r="AP47" s="20">
        <f t="shared" si="26"/>
        <v>-2.6431510540694703E-2</v>
      </c>
      <c r="AQ47" s="22">
        <f t="shared" si="26"/>
        <v>1.7735312151871074E-2</v>
      </c>
      <c r="AR47" s="22">
        <f t="shared" si="26"/>
        <v>4.1333084898342864E-2</v>
      </c>
      <c r="AS47" s="22">
        <f t="shared" si="26"/>
        <v>6.0288317914802825E-2</v>
      </c>
      <c r="AT47" s="22">
        <f t="shared" si="26"/>
        <v>6.7908801499588778E-2</v>
      </c>
      <c r="AU47" s="22">
        <f t="shared" si="26"/>
        <v>6.5908720905425655E-2</v>
      </c>
      <c r="AW47" s="44"/>
      <c r="AY47" s="44"/>
      <c r="AZ47" s="44"/>
      <c r="BA47" s="44"/>
      <c r="BP47" s="21"/>
      <c r="BQ47" s="21"/>
      <c r="CC47" s="21"/>
      <c r="CF47" s="45"/>
      <c r="CT47" s="45"/>
      <c r="CU47" s="45"/>
    </row>
    <row r="48" spans="2:99" ht="4" customHeight="1" x14ac:dyDescent="0.15"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1"/>
      <c r="U48" s="51"/>
      <c r="V48" s="51"/>
      <c r="W48" s="51"/>
      <c r="X48" s="51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1"/>
      <c r="AR48" s="51"/>
      <c r="AS48" s="51"/>
      <c r="AT48" s="51"/>
      <c r="AU48" s="51"/>
      <c r="CC48" s="21"/>
      <c r="CF48" s="45"/>
      <c r="CT48" s="45"/>
      <c r="CU48" s="45"/>
    </row>
    <row r="49" spans="2:99" x14ac:dyDescent="0.15">
      <c r="B49" s="52" t="s">
        <v>25</v>
      </c>
      <c r="C49" s="52"/>
      <c r="D49" s="52"/>
      <c r="E49" s="53"/>
      <c r="Z49" s="52" t="s">
        <v>25</v>
      </c>
      <c r="AA49" s="52"/>
      <c r="AB49" s="53"/>
      <c r="CC49" s="21"/>
      <c r="CF49" s="45"/>
      <c r="CT49" s="45"/>
      <c r="CU49" s="45"/>
    </row>
    <row r="50" spans="2:99" x14ac:dyDescent="0.15"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CC50" s="21"/>
      <c r="CF50" s="45"/>
      <c r="CT50" s="45"/>
      <c r="CU50" s="45"/>
    </row>
    <row r="51" spans="2:99" x14ac:dyDescent="0.15"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</row>
    <row r="52" spans="2:99" x14ac:dyDescent="0.15"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</row>
    <row r="53" spans="2:99" ht="16" x14ac:dyDescent="0.2">
      <c r="B53" s="4" t="s">
        <v>26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R53" s="6"/>
      <c r="S53" s="7"/>
      <c r="T53" s="7"/>
      <c r="Z53" s="4" t="s">
        <v>27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P53" s="7"/>
      <c r="AQ53" s="7"/>
    </row>
    <row r="54" spans="2:99" ht="15.5" customHeight="1" x14ac:dyDescent="0.2">
      <c r="B54" s="4"/>
      <c r="T54" s="7" t="s">
        <v>4</v>
      </c>
      <c r="Z54" s="4" t="s">
        <v>18</v>
      </c>
      <c r="AN54" s="7"/>
      <c r="AQ54" s="7" t="s">
        <v>4</v>
      </c>
    </row>
    <row r="55" spans="2:99" x14ac:dyDescent="0.15">
      <c r="B55" s="55"/>
      <c r="C55" s="9">
        <v>2009</v>
      </c>
      <c r="D55" s="9">
        <f>C55+1</f>
        <v>2010</v>
      </c>
      <c r="E55" s="9">
        <f t="shared" ref="E55:W55" si="30">D55+1</f>
        <v>2011</v>
      </c>
      <c r="F55" s="9">
        <f t="shared" si="30"/>
        <v>2012</v>
      </c>
      <c r="G55" s="9">
        <f t="shared" si="30"/>
        <v>2013</v>
      </c>
      <c r="H55" s="9">
        <f t="shared" si="30"/>
        <v>2014</v>
      </c>
      <c r="I55" s="9">
        <f t="shared" si="30"/>
        <v>2015</v>
      </c>
      <c r="J55" s="9">
        <f t="shared" si="30"/>
        <v>2016</v>
      </c>
      <c r="K55" s="9">
        <f t="shared" si="30"/>
        <v>2017</v>
      </c>
      <c r="L55" s="9">
        <f t="shared" si="30"/>
        <v>2018</v>
      </c>
      <c r="M55" s="9">
        <f t="shared" si="30"/>
        <v>2019</v>
      </c>
      <c r="N55" s="9">
        <f t="shared" si="30"/>
        <v>2020</v>
      </c>
      <c r="O55" s="9">
        <f t="shared" si="30"/>
        <v>2021</v>
      </c>
      <c r="P55" s="9">
        <f t="shared" si="30"/>
        <v>2022</v>
      </c>
      <c r="Q55" s="9">
        <f t="shared" si="30"/>
        <v>2023</v>
      </c>
      <c r="R55" s="9">
        <f t="shared" si="30"/>
        <v>2024</v>
      </c>
      <c r="S55" s="9">
        <f t="shared" si="30"/>
        <v>2025</v>
      </c>
      <c r="T55" s="10">
        <f t="shared" si="30"/>
        <v>2026</v>
      </c>
      <c r="U55" s="10">
        <f t="shared" si="30"/>
        <v>2027</v>
      </c>
      <c r="V55" s="10">
        <f t="shared" si="30"/>
        <v>2028</v>
      </c>
      <c r="W55" s="10">
        <f t="shared" si="30"/>
        <v>2029</v>
      </c>
      <c r="X55" s="10">
        <v>2030</v>
      </c>
      <c r="Z55" s="55"/>
      <c r="AA55" s="9">
        <v>2010</v>
      </c>
      <c r="AB55" s="9">
        <f t="shared" ref="AB55:AT55" si="31">AA55+1</f>
        <v>2011</v>
      </c>
      <c r="AC55" s="9">
        <f t="shared" si="31"/>
        <v>2012</v>
      </c>
      <c r="AD55" s="9">
        <f t="shared" si="31"/>
        <v>2013</v>
      </c>
      <c r="AE55" s="9">
        <f t="shared" si="31"/>
        <v>2014</v>
      </c>
      <c r="AF55" s="9">
        <f t="shared" si="31"/>
        <v>2015</v>
      </c>
      <c r="AG55" s="9">
        <f t="shared" si="31"/>
        <v>2016</v>
      </c>
      <c r="AH55" s="9">
        <f t="shared" si="31"/>
        <v>2017</v>
      </c>
      <c r="AI55" s="9">
        <f t="shared" si="31"/>
        <v>2018</v>
      </c>
      <c r="AJ55" s="9">
        <f t="shared" si="31"/>
        <v>2019</v>
      </c>
      <c r="AK55" s="9">
        <f t="shared" si="31"/>
        <v>2020</v>
      </c>
      <c r="AL55" s="9">
        <f t="shared" si="31"/>
        <v>2021</v>
      </c>
      <c r="AM55" s="9">
        <f t="shared" si="31"/>
        <v>2022</v>
      </c>
      <c r="AN55" s="9">
        <f t="shared" si="31"/>
        <v>2023</v>
      </c>
      <c r="AO55" s="9">
        <f t="shared" si="31"/>
        <v>2024</v>
      </c>
      <c r="AP55" s="9">
        <f t="shared" si="31"/>
        <v>2025</v>
      </c>
      <c r="AQ55" s="10">
        <f t="shared" si="31"/>
        <v>2026</v>
      </c>
      <c r="AR55" s="10">
        <f t="shared" si="31"/>
        <v>2027</v>
      </c>
      <c r="AS55" s="10">
        <f t="shared" si="31"/>
        <v>2028</v>
      </c>
      <c r="AT55" s="10">
        <f t="shared" si="31"/>
        <v>2029</v>
      </c>
      <c r="AU55" s="10">
        <v>2030</v>
      </c>
    </row>
    <row r="56" spans="2:99" x14ac:dyDescent="0.15">
      <c r="B56" s="55"/>
      <c r="C56" s="55"/>
      <c r="T56" s="11"/>
      <c r="U56" s="11"/>
      <c r="V56" s="11"/>
      <c r="W56" s="11"/>
      <c r="X56" s="11"/>
      <c r="Z56" s="55"/>
      <c r="AQ56" s="11"/>
      <c r="AR56" s="11"/>
      <c r="AS56" s="11"/>
      <c r="AT56" s="11"/>
      <c r="AU56" s="11"/>
    </row>
    <row r="57" spans="2:99" x14ac:dyDescent="0.15">
      <c r="B57" s="55" t="s">
        <v>9</v>
      </c>
      <c r="C57" s="56">
        <v>138.5390008113207</v>
      </c>
      <c r="D57" s="56">
        <v>155.45300137144113</v>
      </c>
      <c r="E57" s="56">
        <v>164.38100130805603</v>
      </c>
      <c r="F57" s="56">
        <v>172.47999989530774</v>
      </c>
      <c r="G57" s="56">
        <v>184.24402810658535</v>
      </c>
      <c r="H57" s="56">
        <v>191.8076608036597</v>
      </c>
      <c r="I57" s="56">
        <v>202.05743268127219</v>
      </c>
      <c r="J57" s="56">
        <v>206.40285013222072</v>
      </c>
      <c r="K57" s="56">
        <v>210.93095191767392</v>
      </c>
      <c r="L57" s="56">
        <v>216.1728088269584</v>
      </c>
      <c r="M57" s="57">
        <v>220.75544895660056</v>
      </c>
      <c r="N57" s="57">
        <v>120.79141745494412</v>
      </c>
      <c r="O57" s="57">
        <v>183.07177221146821</v>
      </c>
      <c r="P57" s="57">
        <v>209.08732408164042</v>
      </c>
      <c r="Q57" s="57">
        <v>210.00923496176955</v>
      </c>
      <c r="R57" s="57">
        <v>212.25778199196486</v>
      </c>
      <c r="S57" s="58">
        <v>214.15589425422476</v>
      </c>
      <c r="T57" s="59">
        <v>217.75550107738766</v>
      </c>
      <c r="U57" s="59">
        <v>221.842340752643</v>
      </c>
      <c r="V57" s="59">
        <v>227.40543666326195</v>
      </c>
      <c r="W57" s="59">
        <v>232.30777670938755</v>
      </c>
      <c r="X57" s="59">
        <v>238.09001820470411</v>
      </c>
      <c r="Z57" s="55" t="s">
        <v>9</v>
      </c>
      <c r="AA57" s="15">
        <f t="shared" ref="AA57:AU57" si="32">D57/C57-1</f>
        <v>0.12208836833720182</v>
      </c>
      <c r="AB57" s="15">
        <f t="shared" si="32"/>
        <v>5.7432148995838483E-2</v>
      </c>
      <c r="AC57" s="15">
        <f t="shared" si="32"/>
        <v>4.9269675466168339E-2</v>
      </c>
      <c r="AD57" s="15">
        <f t="shared" si="32"/>
        <v>6.8205172880439147E-2</v>
      </c>
      <c r="AE57" s="15">
        <f t="shared" si="32"/>
        <v>4.1052254310781633E-2</v>
      </c>
      <c r="AF57" s="15">
        <f t="shared" si="32"/>
        <v>5.3437760695619341E-2</v>
      </c>
      <c r="AG57" s="15">
        <f t="shared" si="32"/>
        <v>2.1505853030425515E-2</v>
      </c>
      <c r="AH57" s="15">
        <f t="shared" si="32"/>
        <v>2.1938174703268531E-2</v>
      </c>
      <c r="AI57" s="15">
        <f t="shared" si="32"/>
        <v>2.4851056052363374E-2</v>
      </c>
      <c r="AJ57" s="15">
        <f t="shared" si="32"/>
        <v>2.1198966486624338E-2</v>
      </c>
      <c r="AK57" s="16">
        <f t="shared" si="32"/>
        <v>-0.45282701729056241</v>
      </c>
      <c r="AL57" s="16">
        <f t="shared" si="32"/>
        <v>0.51560248293099975</v>
      </c>
      <c r="AM57" s="15">
        <f t="shared" si="32"/>
        <v>0.14210575205510856</v>
      </c>
      <c r="AN57" s="15">
        <f t="shared" si="32"/>
        <v>4.4092145909770952E-3</v>
      </c>
      <c r="AO57" s="15">
        <f t="shared" si="32"/>
        <v>1.0706895963906726E-2</v>
      </c>
      <c r="AP57" s="15">
        <f t="shared" si="32"/>
        <v>8.9424860867139966E-3</v>
      </c>
      <c r="AQ57" s="17">
        <f t="shared" si="32"/>
        <v>1.6808348122745675E-2</v>
      </c>
      <c r="AR57" s="17">
        <f t="shared" si="32"/>
        <v>1.8768020348670422E-2</v>
      </c>
      <c r="AS57" s="17">
        <f t="shared" si="32"/>
        <v>2.5076799549378581E-2</v>
      </c>
      <c r="AT57" s="17">
        <f t="shared" si="32"/>
        <v>2.1557708197561309E-2</v>
      </c>
      <c r="AU57" s="17">
        <f t="shared" si="32"/>
        <v>2.4890434479729162E-2</v>
      </c>
    </row>
    <row r="58" spans="2:99" ht="4" customHeight="1" x14ac:dyDescent="0.15">
      <c r="B58" s="55"/>
      <c r="C58" s="55"/>
      <c r="T58" s="11"/>
      <c r="U58" s="11"/>
      <c r="V58" s="11"/>
      <c r="W58" s="11"/>
      <c r="X58" s="11"/>
      <c r="Z58" s="55"/>
      <c r="AK58" s="25"/>
      <c r="AL58" s="25"/>
      <c r="AM58" s="32"/>
      <c r="AN58" s="32"/>
      <c r="AO58" s="32"/>
      <c r="AP58" s="32"/>
      <c r="AQ58" s="33"/>
      <c r="AR58" s="33"/>
      <c r="AS58" s="33"/>
      <c r="AT58" s="33"/>
      <c r="AU58" s="33"/>
    </row>
    <row r="59" spans="2:99" x14ac:dyDescent="0.15">
      <c r="B59" s="41" t="s">
        <v>28</v>
      </c>
      <c r="C59" s="60"/>
      <c r="M59" s="58">
        <v>126.37304793406194</v>
      </c>
      <c r="N59" s="58">
        <v>84.902830514454521</v>
      </c>
      <c r="O59" s="58">
        <v>101.63178631639249</v>
      </c>
      <c r="P59" s="58">
        <v>117.39064787965428</v>
      </c>
      <c r="Q59" s="58">
        <v>117.43657194530515</v>
      </c>
      <c r="R59" s="58">
        <v>118.33219660239592</v>
      </c>
      <c r="S59" s="58">
        <v>118.90906094392432</v>
      </c>
      <c r="T59" s="59">
        <v>120.8258198526979</v>
      </c>
      <c r="U59" s="59">
        <v>123.17390452122444</v>
      </c>
      <c r="V59" s="59">
        <v>126.29091038684115</v>
      </c>
      <c r="W59" s="59">
        <v>128.84739658454552</v>
      </c>
      <c r="X59" s="59">
        <v>131.86058778532666</v>
      </c>
      <c r="Z59" s="41" t="s">
        <v>28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>
        <f t="shared" ref="AK59:AU59" si="33">N59/M59-1</f>
        <v>-0.32815713554084303</v>
      </c>
      <c r="AL59" s="16">
        <f t="shared" si="33"/>
        <v>0.19703649101651455</v>
      </c>
      <c r="AM59" s="15">
        <f t="shared" si="33"/>
        <v>0.15505839397727872</v>
      </c>
      <c r="AN59" s="15">
        <f t="shared" si="33"/>
        <v>3.9120719137653026E-4</v>
      </c>
      <c r="AO59" s="15">
        <f t="shared" si="33"/>
        <v>7.6264543681325847E-3</v>
      </c>
      <c r="AP59" s="15">
        <f t="shared" si="33"/>
        <v>4.8749567581061193E-3</v>
      </c>
      <c r="AQ59" s="17">
        <f t="shared" si="33"/>
        <v>1.6119536169556525E-2</v>
      </c>
      <c r="AR59" s="17">
        <f t="shared" si="33"/>
        <v>1.9433633236580983E-2</v>
      </c>
      <c r="AS59" s="17">
        <f t="shared" si="33"/>
        <v>2.530573239301348E-2</v>
      </c>
      <c r="AT59" s="17">
        <f t="shared" si="33"/>
        <v>2.0242836082768001E-2</v>
      </c>
      <c r="AU59" s="17">
        <f t="shared" si="33"/>
        <v>2.3385735999748913E-2</v>
      </c>
    </row>
    <row r="60" spans="2:99" ht="4" customHeight="1" x14ac:dyDescent="0.15">
      <c r="B60" s="41"/>
      <c r="C60" s="60"/>
      <c r="M60" s="61"/>
      <c r="T60" s="11"/>
      <c r="U60" s="11"/>
      <c r="V60" s="11"/>
      <c r="W60" s="11"/>
      <c r="X60" s="11"/>
      <c r="Z60" s="41"/>
      <c r="AK60" s="25"/>
      <c r="AL60" s="25"/>
      <c r="AM60" s="32"/>
      <c r="AN60" s="32"/>
      <c r="AO60" s="32"/>
      <c r="AP60" s="32"/>
      <c r="AQ60" s="33"/>
      <c r="AR60" s="33"/>
      <c r="AS60" s="33"/>
      <c r="AT60" s="33"/>
      <c r="AU60" s="33"/>
    </row>
    <row r="61" spans="2:99" x14ac:dyDescent="0.15">
      <c r="B61" s="41" t="s">
        <v>29</v>
      </c>
      <c r="C61" s="55"/>
      <c r="M61" s="58">
        <v>41.106538462092608</v>
      </c>
      <c r="N61" s="58">
        <v>13.995912046045948</v>
      </c>
      <c r="O61" s="58">
        <v>35.554586404704551</v>
      </c>
      <c r="P61" s="58">
        <v>40.257056236129579</v>
      </c>
      <c r="Q61" s="58">
        <v>40.658114296207337</v>
      </c>
      <c r="R61" s="58">
        <v>41.082532506350283</v>
      </c>
      <c r="S61" s="58">
        <v>41.647534961814131</v>
      </c>
      <c r="T61" s="59">
        <v>42.293708714627115</v>
      </c>
      <c r="U61" s="59">
        <v>43.051254045663853</v>
      </c>
      <c r="V61" s="59">
        <v>44.045798311853659</v>
      </c>
      <c r="W61" s="59">
        <v>44.978184362500187</v>
      </c>
      <c r="X61" s="59">
        <v>46.025532344036215</v>
      </c>
      <c r="Z61" s="41" t="s">
        <v>29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>
        <f t="shared" ref="AK61:AU67" si="34">N61/M61-1</f>
        <v>-0.65952102585936256</v>
      </c>
      <c r="AL61" s="16">
        <f t="shared" si="34"/>
        <v>1.5403550899528016</v>
      </c>
      <c r="AM61" s="15">
        <f t="shared" si="34"/>
        <v>0.13226056908379058</v>
      </c>
      <c r="AN61" s="15">
        <f t="shared" si="34"/>
        <v>9.9624288901138947E-3</v>
      </c>
      <c r="AO61" s="15">
        <f t="shared" si="34"/>
        <v>1.0438708668358831E-2</v>
      </c>
      <c r="AP61" s="15">
        <f t="shared" si="34"/>
        <v>1.3752863345912525E-2</v>
      </c>
      <c r="AQ61" s="17">
        <f t="shared" si="34"/>
        <v>1.5515294084162523E-2</v>
      </c>
      <c r="AR61" s="17">
        <f t="shared" si="34"/>
        <v>1.7911537059760008E-2</v>
      </c>
      <c r="AS61" s="17">
        <f t="shared" si="34"/>
        <v>2.3101400603450672E-2</v>
      </c>
      <c r="AT61" s="17">
        <f t="shared" si="34"/>
        <v>2.1168558327517184E-2</v>
      </c>
      <c r="AU61" s="17">
        <f t="shared" si="34"/>
        <v>2.3285688303799956E-2</v>
      </c>
    </row>
    <row r="62" spans="2:99" x14ac:dyDescent="0.15">
      <c r="B62" s="47" t="s">
        <v>30</v>
      </c>
      <c r="C62" s="55"/>
      <c r="M62" s="61">
        <v>12.319846041117485</v>
      </c>
      <c r="N62" s="61">
        <v>3.8948974888331156</v>
      </c>
      <c r="O62" s="61">
        <v>11.37115912789799</v>
      </c>
      <c r="P62" s="61">
        <v>13.127959279458302</v>
      </c>
      <c r="Q62" s="61">
        <v>13.265035242832592</v>
      </c>
      <c r="R62" s="61">
        <v>13.311336462528818</v>
      </c>
      <c r="S62" s="61">
        <v>13.489193195786324</v>
      </c>
      <c r="T62" s="62">
        <v>13.773697255428754</v>
      </c>
      <c r="U62" s="62">
        <v>14.011833196529501</v>
      </c>
      <c r="V62" s="62">
        <v>14.304316884977665</v>
      </c>
      <c r="W62" s="62">
        <v>14.602256301181848</v>
      </c>
      <c r="X62" s="62">
        <v>14.898589955117984</v>
      </c>
      <c r="Z62" s="47" t="s">
        <v>30</v>
      </c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1">
        <f t="shared" si="34"/>
        <v>-0.68385177251128826</v>
      </c>
      <c r="AL62" s="21">
        <f t="shared" si="34"/>
        <v>1.9195015171772107</v>
      </c>
      <c r="AM62" s="20">
        <f t="shared" si="34"/>
        <v>0.15449613639212756</v>
      </c>
      <c r="AN62" s="20">
        <f t="shared" si="34"/>
        <v>1.0441528683652779E-2</v>
      </c>
      <c r="AO62" s="20">
        <f t="shared" si="34"/>
        <v>3.4904709145979762E-3</v>
      </c>
      <c r="AP62" s="20">
        <f t="shared" si="34"/>
        <v>1.3361298000254873E-2</v>
      </c>
      <c r="AQ62" s="22">
        <f t="shared" si="34"/>
        <v>2.1091258425396608E-2</v>
      </c>
      <c r="AR62" s="22">
        <f t="shared" si="34"/>
        <v>1.7289180725014841E-2</v>
      </c>
      <c r="AS62" s="22">
        <f t="shared" si="34"/>
        <v>2.0874048694828007E-2</v>
      </c>
      <c r="AT62" s="22">
        <f t="shared" si="34"/>
        <v>2.0828636459884198E-2</v>
      </c>
      <c r="AU62" s="22">
        <f t="shared" si="34"/>
        <v>2.0293689401421622E-2</v>
      </c>
      <c r="AW62" s="44"/>
      <c r="AX62" s="44"/>
      <c r="AY62" s="44"/>
      <c r="AZ62" s="44"/>
      <c r="BA62" s="44"/>
      <c r="BB62" s="44"/>
      <c r="BC62" s="44"/>
      <c r="BD62" s="44"/>
      <c r="BE62" s="44"/>
      <c r="BK62" s="44"/>
      <c r="BL62" s="44"/>
      <c r="BM62" s="44"/>
      <c r="BN62" s="44"/>
      <c r="BO62" s="44"/>
      <c r="BP62" s="44"/>
      <c r="BQ62" s="44"/>
      <c r="BR62" s="44"/>
    </row>
    <row r="63" spans="2:99" x14ac:dyDescent="0.15">
      <c r="B63" s="47" t="s">
        <v>31</v>
      </c>
      <c r="C63" s="55"/>
      <c r="M63" s="61">
        <v>4.0578004217356876</v>
      </c>
      <c r="N63" s="61">
        <v>1.3008608783003475</v>
      </c>
      <c r="O63" s="61">
        <v>3.3752100481970744</v>
      </c>
      <c r="P63" s="61">
        <v>3.7744311488132358</v>
      </c>
      <c r="Q63" s="61">
        <v>3.8288747701506827</v>
      </c>
      <c r="R63" s="61">
        <v>3.8579110081331147</v>
      </c>
      <c r="S63" s="61">
        <v>3.8906221288581668</v>
      </c>
      <c r="T63" s="62">
        <v>3.9535678865853239</v>
      </c>
      <c r="U63" s="62">
        <v>4.0106732011797419</v>
      </c>
      <c r="V63" s="62">
        <v>4.0695800060342791</v>
      </c>
      <c r="W63" s="62">
        <v>4.1327105077632194</v>
      </c>
      <c r="X63" s="62">
        <v>4.207520296090193</v>
      </c>
      <c r="Z63" s="47" t="s">
        <v>31</v>
      </c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1">
        <f t="shared" si="34"/>
        <v>-0.679417235176905</v>
      </c>
      <c r="AL63" s="21">
        <f t="shared" si="34"/>
        <v>1.5945972428711888</v>
      </c>
      <c r="AM63" s="20">
        <f t="shared" si="34"/>
        <v>0.1182803721591823</v>
      </c>
      <c r="AN63" s="20">
        <f t="shared" si="34"/>
        <v>1.4424324935577326E-2</v>
      </c>
      <c r="AO63" s="20">
        <f t="shared" si="34"/>
        <v>7.5834911626764256E-3</v>
      </c>
      <c r="AP63" s="20">
        <f t="shared" si="34"/>
        <v>8.4789723391989202E-3</v>
      </c>
      <c r="AQ63" s="22">
        <f t="shared" si="34"/>
        <v>1.6178841234738561E-2</v>
      </c>
      <c r="AR63" s="22">
        <f t="shared" si="34"/>
        <v>1.4443994951542249E-2</v>
      </c>
      <c r="AS63" s="22">
        <f t="shared" si="34"/>
        <v>1.4687510524968639E-2</v>
      </c>
      <c r="AT63" s="22">
        <f t="shared" si="34"/>
        <v>1.5512780590461794E-2</v>
      </c>
      <c r="AU63" s="22">
        <f t="shared" si="34"/>
        <v>1.8101869992210862E-2</v>
      </c>
      <c r="AX63" s="44"/>
      <c r="AY63" s="44"/>
      <c r="AZ63" s="44"/>
      <c r="BA63" s="44"/>
      <c r="BB63" s="44"/>
      <c r="BC63" s="44"/>
      <c r="BD63" s="44"/>
      <c r="BE63" s="44"/>
      <c r="BF63" s="44"/>
      <c r="BK63" s="44"/>
      <c r="BL63" s="44"/>
      <c r="BM63" s="44"/>
      <c r="BN63" s="44"/>
      <c r="BO63" s="44"/>
      <c r="BP63" s="44"/>
      <c r="BQ63" s="44"/>
      <c r="BR63" s="44"/>
      <c r="BS63" s="44"/>
    </row>
    <row r="64" spans="2:99" x14ac:dyDescent="0.15">
      <c r="B64" s="47" t="s">
        <v>32</v>
      </c>
      <c r="C64" s="55"/>
      <c r="M64" s="61">
        <v>10.028678540802387</v>
      </c>
      <c r="N64" s="61">
        <v>3.0784771530229094</v>
      </c>
      <c r="O64" s="61">
        <v>7.9074531483701422</v>
      </c>
      <c r="P64" s="61">
        <v>9.0225387652993216</v>
      </c>
      <c r="Q64" s="61">
        <v>9.1110753270368185</v>
      </c>
      <c r="R64" s="61">
        <v>9.2563825560954331</v>
      </c>
      <c r="S64" s="61">
        <v>9.4049683580446715</v>
      </c>
      <c r="T64" s="62">
        <v>9.4690031298342827</v>
      </c>
      <c r="U64" s="62">
        <v>9.7328521837467612</v>
      </c>
      <c r="V64" s="62">
        <v>9.9875205119670536</v>
      </c>
      <c r="W64" s="62">
        <v>10.213371973000378</v>
      </c>
      <c r="X64" s="62">
        <v>10.432002793116913</v>
      </c>
      <c r="Z64" s="47" t="s">
        <v>32</v>
      </c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1">
        <f t="shared" si="34"/>
        <v>-0.69303262234421936</v>
      </c>
      <c r="AL64" s="21">
        <f t="shared" si="34"/>
        <v>1.568624925673209</v>
      </c>
      <c r="AM64" s="20">
        <f t="shared" si="34"/>
        <v>0.14101703747166905</v>
      </c>
      <c r="AN64" s="20">
        <f t="shared" si="34"/>
        <v>9.8128214287100946E-3</v>
      </c>
      <c r="AO64" s="20">
        <f t="shared" si="34"/>
        <v>1.5948417046604879E-2</v>
      </c>
      <c r="AP64" s="20">
        <f t="shared" si="34"/>
        <v>1.6052253787997683E-2</v>
      </c>
      <c r="AQ64" s="22">
        <f t="shared" si="34"/>
        <v>6.8086110821243828E-3</v>
      </c>
      <c r="AR64" s="22">
        <f t="shared" si="34"/>
        <v>2.7864501710973322E-2</v>
      </c>
      <c r="AS64" s="22">
        <f t="shared" si="34"/>
        <v>2.616584773018249E-2</v>
      </c>
      <c r="AT64" s="22">
        <f t="shared" si="34"/>
        <v>2.2613366426903259E-2</v>
      </c>
      <c r="AU64" s="22">
        <f t="shared" si="34"/>
        <v>2.1406330905649806E-2</v>
      </c>
    </row>
    <row r="65" spans="2:47" x14ac:dyDescent="0.15">
      <c r="B65" s="47" t="s">
        <v>33</v>
      </c>
      <c r="C65" s="55"/>
      <c r="M65" s="61">
        <v>5.1999789111769807</v>
      </c>
      <c r="N65" s="61">
        <v>2.1292246797558114</v>
      </c>
      <c r="O65" s="61">
        <v>4.4957868636630742</v>
      </c>
      <c r="P65" s="61">
        <v>5.0110298439347707</v>
      </c>
      <c r="Q65" s="61">
        <v>5.0043885446437528</v>
      </c>
      <c r="R65" s="61">
        <v>5.0483557899269229</v>
      </c>
      <c r="S65" s="61">
        <v>5.0783050549783404</v>
      </c>
      <c r="T65" s="62">
        <v>5.1294259031569878</v>
      </c>
      <c r="U65" s="62">
        <v>5.1946338580660107</v>
      </c>
      <c r="V65" s="62">
        <v>5.3257180826224992</v>
      </c>
      <c r="W65" s="62">
        <v>5.442035448717057</v>
      </c>
      <c r="X65" s="62">
        <v>5.5971325442620925</v>
      </c>
      <c r="Z65" s="47" t="s">
        <v>33</v>
      </c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1">
        <f t="shared" si="34"/>
        <v>-0.59053205481676163</v>
      </c>
      <c r="AL65" s="21">
        <f t="shared" si="34"/>
        <v>1.1114666321539493</v>
      </c>
      <c r="AM65" s="20">
        <f t="shared" si="34"/>
        <v>0.11460573997315504</v>
      </c>
      <c r="AN65" s="20">
        <f t="shared" si="34"/>
        <v>-1.3253362078967657E-3</v>
      </c>
      <c r="AO65" s="20">
        <f t="shared" si="34"/>
        <v>8.7857377361773015E-3</v>
      </c>
      <c r="AP65" s="20">
        <f t="shared" si="34"/>
        <v>5.9324790679722295E-3</v>
      </c>
      <c r="AQ65" s="22">
        <f t="shared" si="34"/>
        <v>1.0066517789933283E-2</v>
      </c>
      <c r="AR65" s="22">
        <f t="shared" si="34"/>
        <v>1.2712524976506545E-2</v>
      </c>
      <c r="AS65" s="22">
        <f t="shared" si="34"/>
        <v>2.5234545521037433E-2</v>
      </c>
      <c r="AT65" s="22">
        <f t="shared" si="34"/>
        <v>2.1840691581872296E-2</v>
      </c>
      <c r="AU65" s="22">
        <f t="shared" si="34"/>
        <v>2.8499831911532159E-2</v>
      </c>
    </row>
    <row r="66" spans="2:47" x14ac:dyDescent="0.15">
      <c r="B66" s="47" t="s">
        <v>34</v>
      </c>
      <c r="C66" s="60"/>
      <c r="M66" s="61">
        <v>3.4042087582944642</v>
      </c>
      <c r="N66" s="61">
        <v>1.1147733556289565</v>
      </c>
      <c r="O66" s="61">
        <v>3.0588834527834181</v>
      </c>
      <c r="P66" s="61">
        <v>3.4234178406977578</v>
      </c>
      <c r="Q66" s="61">
        <v>3.4588075497185606</v>
      </c>
      <c r="R66" s="61">
        <v>3.5141315693666773</v>
      </c>
      <c r="S66" s="61">
        <v>3.5785652246994282</v>
      </c>
      <c r="T66" s="62">
        <v>3.6602643368731034</v>
      </c>
      <c r="U66" s="62">
        <v>3.693664265455936</v>
      </c>
      <c r="V66" s="62">
        <v>3.7748291149998754</v>
      </c>
      <c r="W66" s="62">
        <v>3.8507253668027919</v>
      </c>
      <c r="X66" s="62">
        <v>3.9543048767403786</v>
      </c>
      <c r="Z66" s="47" t="s">
        <v>34</v>
      </c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1">
        <f t="shared" si="34"/>
        <v>-0.67253084790620576</v>
      </c>
      <c r="AL66" s="21">
        <f t="shared" si="34"/>
        <v>1.7439509899818089</v>
      </c>
      <c r="AM66" s="20">
        <f t="shared" si="34"/>
        <v>0.11917236911482632</v>
      </c>
      <c r="AN66" s="20">
        <f t="shared" si="34"/>
        <v>1.0337537124474938E-2</v>
      </c>
      <c r="AO66" s="20">
        <f t="shared" si="34"/>
        <v>1.5995113591277477E-2</v>
      </c>
      <c r="AP66" s="20">
        <f t="shared" si="34"/>
        <v>1.8335584215010803E-2</v>
      </c>
      <c r="AQ66" s="22">
        <f t="shared" si="34"/>
        <v>2.2830130804877946E-2</v>
      </c>
      <c r="AR66" s="22">
        <f t="shared" si="34"/>
        <v>9.1250045102932997E-3</v>
      </c>
      <c r="AS66" s="22">
        <f t="shared" si="34"/>
        <v>2.19740733620577E-2</v>
      </c>
      <c r="AT66" s="22">
        <f t="shared" si="34"/>
        <v>2.0105877508820313E-2</v>
      </c>
      <c r="AU66" s="22">
        <f t="shared" si="34"/>
        <v>2.6898700912443285E-2</v>
      </c>
    </row>
    <row r="67" spans="2:47" x14ac:dyDescent="0.15">
      <c r="B67" s="47" t="s">
        <v>35</v>
      </c>
      <c r="C67" s="55"/>
      <c r="M67" s="61">
        <v>6.0960257889656049</v>
      </c>
      <c r="N67" s="61">
        <v>2.4776784905048075</v>
      </c>
      <c r="O67" s="61">
        <v>5.3460937637928518</v>
      </c>
      <c r="P67" s="61">
        <v>5.8976793579261848</v>
      </c>
      <c r="Q67" s="61">
        <v>5.989932861824931</v>
      </c>
      <c r="R67" s="61">
        <v>6.0944151202993186</v>
      </c>
      <c r="S67" s="61">
        <v>6.2058809994472028</v>
      </c>
      <c r="T67" s="62">
        <v>6.3077502027486672</v>
      </c>
      <c r="U67" s="62">
        <v>6.4075973406859017</v>
      </c>
      <c r="V67" s="62">
        <v>6.5838337112522787</v>
      </c>
      <c r="W67" s="62">
        <v>6.7370847650348953</v>
      </c>
      <c r="X67" s="62">
        <v>6.9359818787086471</v>
      </c>
      <c r="Z67" s="47" t="s">
        <v>35</v>
      </c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1">
        <f t="shared" si="34"/>
        <v>-0.59355839750716854</v>
      </c>
      <c r="AL67" s="21">
        <f t="shared" si="34"/>
        <v>1.1577027787425429</v>
      </c>
      <c r="AM67" s="20">
        <f t="shared" si="34"/>
        <v>0.10317544332443651</v>
      </c>
      <c r="AN67" s="20">
        <f t="shared" si="34"/>
        <v>1.5642339689892149E-2</v>
      </c>
      <c r="AO67" s="20">
        <f t="shared" si="34"/>
        <v>1.7442976554925105E-2</v>
      </c>
      <c r="AP67" s="20">
        <f t="shared" si="34"/>
        <v>1.8289840279605007E-2</v>
      </c>
      <c r="AQ67" s="22">
        <f t="shared" si="34"/>
        <v>1.6414946292160337E-2</v>
      </c>
      <c r="AR67" s="22">
        <f t="shared" si="34"/>
        <v>1.5829279018329645E-2</v>
      </c>
      <c r="AS67" s="22">
        <f t="shared" si="34"/>
        <v>2.7504282993461526E-2</v>
      </c>
      <c r="AT67" s="22">
        <f t="shared" si="34"/>
        <v>2.3276871880998362E-2</v>
      </c>
      <c r="AU67" s="22">
        <f t="shared" si="34"/>
        <v>2.9522726907937447E-2</v>
      </c>
    </row>
    <row r="68" spans="2:47" ht="4" customHeight="1" x14ac:dyDescent="0.15">
      <c r="B68" s="47"/>
      <c r="C68" s="55"/>
      <c r="M68" s="61"/>
      <c r="T68" s="11"/>
      <c r="U68" s="11"/>
      <c r="V68" s="11"/>
      <c r="W68" s="11"/>
      <c r="X68" s="11"/>
      <c r="Z68" s="47"/>
      <c r="AK68" s="25"/>
      <c r="AL68" s="25"/>
      <c r="AM68" s="32"/>
      <c r="AN68" s="32"/>
      <c r="AO68" s="32"/>
      <c r="AP68" s="32"/>
      <c r="AQ68" s="33"/>
      <c r="AR68" s="33"/>
      <c r="AS68" s="33"/>
      <c r="AT68" s="33"/>
      <c r="AU68" s="33"/>
    </row>
    <row r="69" spans="2:47" x14ac:dyDescent="0.15">
      <c r="B69" s="41" t="s">
        <v>36</v>
      </c>
      <c r="C69" s="55"/>
      <c r="M69" s="58">
        <v>4.5841081760336255</v>
      </c>
      <c r="N69" s="58">
        <v>1.7456203120217715</v>
      </c>
      <c r="O69" s="58">
        <v>4.1527561317277231</v>
      </c>
      <c r="P69" s="58">
        <v>4.6774408860142325</v>
      </c>
      <c r="Q69" s="58">
        <v>4.7259034129640778</v>
      </c>
      <c r="R69" s="58">
        <v>4.8044141072517359</v>
      </c>
      <c r="S69" s="58">
        <v>4.8939135711593096</v>
      </c>
      <c r="T69" s="59">
        <v>5.0018562021151283</v>
      </c>
      <c r="U69" s="59">
        <v>5.1001126970863293</v>
      </c>
      <c r="V69" s="59">
        <v>5.2210290004997519</v>
      </c>
      <c r="W69" s="59">
        <v>5.3422816867421874</v>
      </c>
      <c r="X69" s="59">
        <v>5.4858102398064812</v>
      </c>
      <c r="Z69" s="41" t="s">
        <v>36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6">
        <f t="shared" ref="AK69:AU73" si="35">N69/M69-1</f>
        <v>-0.61920176291909412</v>
      </c>
      <c r="AL69" s="16">
        <f t="shared" si="35"/>
        <v>1.3789572698761825</v>
      </c>
      <c r="AM69" s="15">
        <f t="shared" si="35"/>
        <v>0.12634615124105975</v>
      </c>
      <c r="AN69" s="15">
        <f t="shared" si="35"/>
        <v>1.0360906344054621E-2</v>
      </c>
      <c r="AO69" s="15">
        <f t="shared" si="35"/>
        <v>1.6612843604100647E-2</v>
      </c>
      <c r="AP69" s="15">
        <f t="shared" si="35"/>
        <v>1.8628590689650171E-2</v>
      </c>
      <c r="AQ69" s="17">
        <f t="shared" si="35"/>
        <v>2.2056505368616142E-2</v>
      </c>
      <c r="AR69" s="17">
        <f t="shared" si="35"/>
        <v>1.9644006345014731E-2</v>
      </c>
      <c r="AS69" s="17">
        <f t="shared" si="35"/>
        <v>2.3708555201633397E-2</v>
      </c>
      <c r="AT69" s="17">
        <f t="shared" si="35"/>
        <v>2.322390590644674E-2</v>
      </c>
      <c r="AU69" s="17">
        <f t="shared" si="35"/>
        <v>2.6866526604256924E-2</v>
      </c>
    </row>
    <row r="70" spans="2:47" x14ac:dyDescent="0.15">
      <c r="B70" s="47" t="s">
        <v>37</v>
      </c>
      <c r="C70" s="55"/>
      <c r="M70" s="61">
        <v>1.8405804427255599</v>
      </c>
      <c r="N70" s="61">
        <v>0.69918258736801142</v>
      </c>
      <c r="O70" s="61">
        <v>1.6587186615692167</v>
      </c>
      <c r="P70" s="61">
        <v>1.8769191275247339</v>
      </c>
      <c r="Q70" s="61">
        <v>1.8818979460341716</v>
      </c>
      <c r="R70" s="61">
        <v>1.9248964412082248</v>
      </c>
      <c r="S70" s="61">
        <v>1.9503012336609866</v>
      </c>
      <c r="T70" s="62">
        <v>1.993648905956046</v>
      </c>
      <c r="U70" s="62">
        <v>2.03233599407905</v>
      </c>
      <c r="V70" s="62">
        <v>2.079316432308401</v>
      </c>
      <c r="W70" s="62">
        <v>2.1283311250161838</v>
      </c>
      <c r="X70" s="62">
        <v>2.182601655195429</v>
      </c>
      <c r="Z70" s="47" t="s">
        <v>37</v>
      </c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1">
        <f t="shared" si="35"/>
        <v>-0.62012929664043859</v>
      </c>
      <c r="AL70" s="21">
        <f t="shared" si="35"/>
        <v>1.3723683792144525</v>
      </c>
      <c r="AM70" s="20">
        <f t="shared" si="35"/>
        <v>0.13154760419050837</v>
      </c>
      <c r="AN70" s="20">
        <f t="shared" si="35"/>
        <v>2.6526547875314055E-3</v>
      </c>
      <c r="AO70" s="20">
        <f t="shared" si="35"/>
        <v>2.2848473406682945E-2</v>
      </c>
      <c r="AP70" s="20">
        <f t="shared" si="35"/>
        <v>1.3198004790748952E-2</v>
      </c>
      <c r="AQ70" s="22">
        <f t="shared" si="35"/>
        <v>2.2226142068161314E-2</v>
      </c>
      <c r="AR70" s="22">
        <f t="shared" si="35"/>
        <v>1.9405166078854563E-2</v>
      </c>
      <c r="AS70" s="22">
        <f t="shared" si="35"/>
        <v>2.3116472062799875E-2</v>
      </c>
      <c r="AT70" s="22">
        <f t="shared" si="35"/>
        <v>2.3572502937115658E-2</v>
      </c>
      <c r="AU70" s="22">
        <f t="shared" si="35"/>
        <v>2.5499100934697205E-2</v>
      </c>
    </row>
    <row r="71" spans="2:47" x14ac:dyDescent="0.15">
      <c r="B71" s="47" t="s">
        <v>38</v>
      </c>
      <c r="C71" s="55"/>
      <c r="M71" s="61">
        <v>1.3482338492890438</v>
      </c>
      <c r="N71" s="61">
        <v>0.50147086760118587</v>
      </c>
      <c r="O71" s="61">
        <v>1.2348020749189714</v>
      </c>
      <c r="P71" s="61">
        <v>1.4061534722283435</v>
      </c>
      <c r="Q71" s="61">
        <v>1.4348995619953062</v>
      </c>
      <c r="R71" s="61">
        <v>1.4510715131150569</v>
      </c>
      <c r="S71" s="61">
        <v>1.4872499518300604</v>
      </c>
      <c r="T71" s="62">
        <v>1.5055623642445135</v>
      </c>
      <c r="U71" s="62">
        <v>1.5370594086235529</v>
      </c>
      <c r="V71" s="62">
        <v>1.5749347503557705</v>
      </c>
      <c r="W71" s="62">
        <v>1.6103994982765195</v>
      </c>
      <c r="X71" s="62">
        <v>1.6560939794556355</v>
      </c>
      <c r="Z71" s="47" t="s">
        <v>38</v>
      </c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1">
        <f t="shared" si="35"/>
        <v>-0.62805349541874833</v>
      </c>
      <c r="AL71" s="21">
        <f t="shared" si="35"/>
        <v>1.4623605371648343</v>
      </c>
      <c r="AM71" s="20">
        <f t="shared" si="35"/>
        <v>0.1387683101525532</v>
      </c>
      <c r="AN71" s="20">
        <f t="shared" si="35"/>
        <v>2.0443067086701738E-2</v>
      </c>
      <c r="AO71" s="20">
        <f t="shared" si="35"/>
        <v>1.127044118493048E-2</v>
      </c>
      <c r="AP71" s="20">
        <f t="shared" si="35"/>
        <v>2.4932223111001628E-2</v>
      </c>
      <c r="AQ71" s="22">
        <f t="shared" si="35"/>
        <v>1.2312935288328442E-2</v>
      </c>
      <c r="AR71" s="22">
        <f t="shared" si="35"/>
        <v>2.0920451471862167E-2</v>
      </c>
      <c r="AS71" s="22">
        <f t="shared" si="35"/>
        <v>2.4641429940652104E-2</v>
      </c>
      <c r="AT71" s="22">
        <f t="shared" si="35"/>
        <v>2.2518233160286671E-2</v>
      </c>
      <c r="AU71" s="22">
        <f t="shared" si="35"/>
        <v>2.8374624574845742E-2</v>
      </c>
    </row>
    <row r="72" spans="2:47" x14ac:dyDescent="0.15">
      <c r="B72" s="47" t="s">
        <v>39</v>
      </c>
      <c r="C72" s="55"/>
      <c r="M72" s="61">
        <v>1.022351271254204</v>
      </c>
      <c r="N72" s="61">
        <v>0.37764499545818253</v>
      </c>
      <c r="O72" s="61">
        <v>0.92504638299658093</v>
      </c>
      <c r="P72" s="61">
        <v>1.0209946121459681</v>
      </c>
      <c r="Q72" s="61">
        <v>1.0325936832921863</v>
      </c>
      <c r="R72" s="61">
        <v>1.0499469198277489</v>
      </c>
      <c r="S72" s="61">
        <v>1.0727820446033776</v>
      </c>
      <c r="T72" s="62">
        <v>1.1104169460879518</v>
      </c>
      <c r="U72" s="62">
        <v>1.1337463360121955</v>
      </c>
      <c r="V72" s="62">
        <v>1.1595342659308088</v>
      </c>
      <c r="W72" s="62">
        <v>1.1880277684220784</v>
      </c>
      <c r="X72" s="62">
        <v>1.2206616216707817</v>
      </c>
      <c r="Z72" s="47" t="s">
        <v>39</v>
      </c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1">
        <f t="shared" si="35"/>
        <v>-0.63061131132072279</v>
      </c>
      <c r="AL72" s="21">
        <f t="shared" si="35"/>
        <v>1.4495131515625062</v>
      </c>
      <c r="AM72" s="20">
        <f t="shared" si="35"/>
        <v>0.10372261425267548</v>
      </c>
      <c r="AN72" s="20">
        <f t="shared" si="35"/>
        <v>1.1360560583016932E-2</v>
      </c>
      <c r="AO72" s="20">
        <f t="shared" si="35"/>
        <v>1.6805483915256936E-2</v>
      </c>
      <c r="AP72" s="20">
        <f t="shared" si="35"/>
        <v>2.1748837340629379E-2</v>
      </c>
      <c r="AQ72" s="22">
        <f t="shared" si="35"/>
        <v>3.5081591525414124E-2</v>
      </c>
      <c r="AR72" s="22">
        <f t="shared" si="35"/>
        <v>2.1009576633744809E-2</v>
      </c>
      <c r="AS72" s="22">
        <f t="shared" si="35"/>
        <v>2.274576693170971E-2</v>
      </c>
      <c r="AT72" s="22">
        <f t="shared" si="35"/>
        <v>2.4573230242917132E-2</v>
      </c>
      <c r="AU72" s="22">
        <f t="shared" si="35"/>
        <v>2.7468931380322248E-2</v>
      </c>
    </row>
    <row r="73" spans="2:47" x14ac:dyDescent="0.15">
      <c r="B73" s="47" t="s">
        <v>40</v>
      </c>
      <c r="C73" s="55"/>
      <c r="M73" s="61">
        <v>0.37294261276481894</v>
      </c>
      <c r="N73" s="61">
        <v>0.16732186159439144</v>
      </c>
      <c r="O73" s="61">
        <v>0.33418901224295344</v>
      </c>
      <c r="P73" s="61">
        <v>0.37337367411518679</v>
      </c>
      <c r="Q73" s="61">
        <v>0.37651222164241349</v>
      </c>
      <c r="R73" s="61">
        <v>0.37849923310070421</v>
      </c>
      <c r="S73" s="61">
        <v>0.38358034106488481</v>
      </c>
      <c r="T73" s="62">
        <v>0.39222798582661705</v>
      </c>
      <c r="U73" s="62">
        <v>0.39697095837153074</v>
      </c>
      <c r="V73" s="62">
        <v>0.40724355190477202</v>
      </c>
      <c r="W73" s="62">
        <v>0.41552329502740665</v>
      </c>
      <c r="X73" s="62">
        <v>0.42645298348463556</v>
      </c>
      <c r="Z73" s="47" t="s">
        <v>40</v>
      </c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1">
        <f t="shared" si="35"/>
        <v>-0.55134689395253922</v>
      </c>
      <c r="AL73" s="21">
        <f t="shared" si="35"/>
        <v>0.99728241760223946</v>
      </c>
      <c r="AM73" s="20">
        <f t="shared" si="35"/>
        <v>0.11725299287741486</v>
      </c>
      <c r="AN73" s="20">
        <f t="shared" si="35"/>
        <v>8.40591542685587E-3</v>
      </c>
      <c r="AO73" s="20">
        <f t="shared" si="35"/>
        <v>5.2774155633594777E-3</v>
      </c>
      <c r="AP73" s="20">
        <f t="shared" si="35"/>
        <v>1.3424354714157927E-2</v>
      </c>
      <c r="AQ73" s="22">
        <f t="shared" si="35"/>
        <v>2.2544546307365243E-2</v>
      </c>
      <c r="AR73" s="22">
        <f t="shared" si="35"/>
        <v>1.2092386867596616E-2</v>
      </c>
      <c r="AS73" s="22">
        <f t="shared" si="35"/>
        <v>2.5877443466851835E-2</v>
      </c>
      <c r="AT73" s="22">
        <f t="shared" si="35"/>
        <v>2.0331182860743535E-2</v>
      </c>
      <c r="AU73" s="22">
        <f t="shared" si="35"/>
        <v>2.6303431331107463E-2</v>
      </c>
    </row>
    <row r="74" spans="2:47" ht="4" customHeight="1" x14ac:dyDescent="0.15">
      <c r="B74" s="47"/>
      <c r="C74" s="55"/>
      <c r="M74" s="61"/>
      <c r="T74" s="11"/>
      <c r="U74" s="11"/>
      <c r="V74" s="11"/>
      <c r="W74" s="11"/>
      <c r="X74" s="11"/>
      <c r="Z74" s="47"/>
      <c r="AK74" s="25"/>
      <c r="AL74" s="25"/>
      <c r="AM74" s="32"/>
      <c r="AN74" s="32"/>
      <c r="AO74" s="32"/>
      <c r="AP74" s="32"/>
      <c r="AQ74" s="33"/>
      <c r="AR74" s="33"/>
      <c r="AS74" s="33"/>
      <c r="AT74" s="33"/>
      <c r="AU74" s="33"/>
    </row>
    <row r="75" spans="2:47" x14ac:dyDescent="0.15">
      <c r="B75" s="41" t="s">
        <v>41</v>
      </c>
      <c r="C75" s="55"/>
      <c r="M75" s="58">
        <v>48.691754384412334</v>
      </c>
      <c r="N75" s="58">
        <v>20.147054582421884</v>
      </c>
      <c r="O75" s="58">
        <v>41.732643358643465</v>
      </c>
      <c r="P75" s="58">
        <v>46.76217907984234</v>
      </c>
      <c r="Q75" s="58">
        <v>47.188645307293015</v>
      </c>
      <c r="R75" s="58">
        <v>48.038638775966916</v>
      </c>
      <c r="S75" s="58">
        <v>48.705384777326998</v>
      </c>
      <c r="T75" s="59">
        <v>49.634116307947515</v>
      </c>
      <c r="U75" s="59">
        <v>50.517069488668369</v>
      </c>
      <c r="V75" s="59">
        <v>51.847698964067405</v>
      </c>
      <c r="W75" s="59">
        <v>53.139914075599691</v>
      </c>
      <c r="X75" s="59">
        <v>54.71808783553476</v>
      </c>
      <c r="Z75" s="41" t="s">
        <v>41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6">
        <f t="shared" ref="AK75:AU79" si="36">N75/M75-1</f>
        <v>-0.58623272385372194</v>
      </c>
      <c r="AL75" s="16">
        <f t="shared" si="36"/>
        <v>1.0714017122410939</v>
      </c>
      <c r="AM75" s="15">
        <f t="shared" si="36"/>
        <v>0.12051802417536495</v>
      </c>
      <c r="AN75" s="15">
        <f t="shared" si="36"/>
        <v>9.1198963744294481E-3</v>
      </c>
      <c r="AO75" s="15">
        <f t="shared" si="36"/>
        <v>1.8012669427967865E-2</v>
      </c>
      <c r="AP75" s="15">
        <f t="shared" si="36"/>
        <v>1.3879369156764021E-2</v>
      </c>
      <c r="AQ75" s="17">
        <f t="shared" si="36"/>
        <v>1.9068354245973529E-2</v>
      </c>
      <c r="AR75" s="17">
        <f t="shared" si="36"/>
        <v>1.7789239466714735E-2</v>
      </c>
      <c r="AS75" s="17">
        <f t="shared" si="36"/>
        <v>2.6340195281864265E-2</v>
      </c>
      <c r="AT75" s="17">
        <f t="shared" si="36"/>
        <v>2.492328757786999E-2</v>
      </c>
      <c r="AU75" s="17">
        <f t="shared" si="36"/>
        <v>2.9698462773008583E-2</v>
      </c>
    </row>
    <row r="76" spans="2:47" x14ac:dyDescent="0.15">
      <c r="B76" s="47" t="s">
        <v>42</v>
      </c>
      <c r="C76" s="55"/>
      <c r="M76" s="61">
        <v>3.8100110846423365</v>
      </c>
      <c r="N76" s="61">
        <v>1.0665162253030525</v>
      </c>
      <c r="O76" s="61">
        <v>3.1974433848049553</v>
      </c>
      <c r="P76" s="61">
        <v>3.5106442881460911</v>
      </c>
      <c r="Q76" s="61">
        <v>3.5332841189855162</v>
      </c>
      <c r="R76" s="61">
        <v>3.5842916421232824</v>
      </c>
      <c r="S76" s="61">
        <v>3.6568108474418013</v>
      </c>
      <c r="T76" s="62">
        <v>3.6744486108038394</v>
      </c>
      <c r="U76" s="62">
        <v>3.8347396811476102</v>
      </c>
      <c r="V76" s="62">
        <v>3.9348472802746466</v>
      </c>
      <c r="W76" s="62">
        <v>4.0184247962872579</v>
      </c>
      <c r="X76" s="62">
        <v>4.1111444827373163</v>
      </c>
      <c r="Z76" s="47" t="s">
        <v>42</v>
      </c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1">
        <f t="shared" si="36"/>
        <v>-0.72007529594807695</v>
      </c>
      <c r="AL76" s="21">
        <f t="shared" si="36"/>
        <v>1.9980260111808388</v>
      </c>
      <c r="AM76" s="20">
        <f t="shared" si="36"/>
        <v>9.795354151680824E-2</v>
      </c>
      <c r="AN76" s="20">
        <f t="shared" si="36"/>
        <v>6.448910507928618E-3</v>
      </c>
      <c r="AO76" s="20">
        <f t="shared" si="36"/>
        <v>1.4436292531270212E-2</v>
      </c>
      <c r="AP76" s="20">
        <f t="shared" si="36"/>
        <v>2.0232506882603918E-2</v>
      </c>
      <c r="AQ76" s="22">
        <f t="shared" si="36"/>
        <v>4.8232637940179846E-3</v>
      </c>
      <c r="AR76" s="22">
        <f t="shared" si="36"/>
        <v>4.3623162907346913E-2</v>
      </c>
      <c r="AS76" s="22">
        <f t="shared" si="36"/>
        <v>2.6105448466081427E-2</v>
      </c>
      <c r="AT76" s="22">
        <f t="shared" si="36"/>
        <v>2.1240345573660502E-2</v>
      </c>
      <c r="AU76" s="22">
        <f t="shared" si="36"/>
        <v>2.3073639834127357E-2</v>
      </c>
    </row>
    <row r="77" spans="2:47" x14ac:dyDescent="0.15">
      <c r="B77" s="47" t="s">
        <v>43</v>
      </c>
      <c r="C77" s="55"/>
      <c r="M77" s="61">
        <v>4.7594941502552022</v>
      </c>
      <c r="N77" s="61">
        <v>1.1120475567328698</v>
      </c>
      <c r="O77" s="61">
        <v>3.9102107092304594</v>
      </c>
      <c r="P77" s="61">
        <v>4.4961172875134254</v>
      </c>
      <c r="Q77" s="61">
        <v>4.5098147662149755</v>
      </c>
      <c r="R77" s="61">
        <v>4.5892863642493751</v>
      </c>
      <c r="S77" s="61">
        <v>4.6450838507811643</v>
      </c>
      <c r="T77" s="62">
        <v>4.7794769084542237</v>
      </c>
      <c r="U77" s="62">
        <v>4.8622233284039105</v>
      </c>
      <c r="V77" s="62">
        <v>5.0255458628873955</v>
      </c>
      <c r="W77" s="62">
        <v>5.1555452012902769</v>
      </c>
      <c r="X77" s="62">
        <v>5.3141055036235354</v>
      </c>
      <c r="Z77" s="47" t="s">
        <v>43</v>
      </c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1">
        <f t="shared" si="36"/>
        <v>-0.76635173368723608</v>
      </c>
      <c r="AL77" s="21">
        <f t="shared" si="36"/>
        <v>2.5162261591747281</v>
      </c>
      <c r="AM77" s="20">
        <f t="shared" si="36"/>
        <v>0.1498401548796009</v>
      </c>
      <c r="AN77" s="20">
        <f t="shared" si="36"/>
        <v>3.0465127632659517E-3</v>
      </c>
      <c r="AO77" s="20">
        <f t="shared" si="36"/>
        <v>1.7621920667286961E-2</v>
      </c>
      <c r="AP77" s="20">
        <f t="shared" si="36"/>
        <v>1.2158205460102156E-2</v>
      </c>
      <c r="AQ77" s="22">
        <f t="shared" si="36"/>
        <v>2.89323211357011E-2</v>
      </c>
      <c r="AR77" s="22">
        <f t="shared" si="36"/>
        <v>1.7312861121542289E-2</v>
      </c>
      <c r="AS77" s="22">
        <f t="shared" si="36"/>
        <v>3.3590093143067934E-2</v>
      </c>
      <c r="AT77" s="22">
        <f t="shared" si="36"/>
        <v>2.5867705110981021E-2</v>
      </c>
      <c r="AU77" s="22">
        <f t="shared" si="36"/>
        <v>3.0755292824040437E-2</v>
      </c>
    </row>
    <row r="78" spans="2:47" x14ac:dyDescent="0.15">
      <c r="B78" s="47" t="s">
        <v>44</v>
      </c>
      <c r="C78" s="55"/>
      <c r="M78" s="61">
        <v>9.898134255391934</v>
      </c>
      <c r="N78" s="61">
        <v>5.63748143536416</v>
      </c>
      <c r="O78" s="61">
        <v>8.4577491109616787</v>
      </c>
      <c r="P78" s="61">
        <v>9.35122423387301</v>
      </c>
      <c r="Q78" s="61">
        <v>9.5419361484011898</v>
      </c>
      <c r="R78" s="61">
        <v>9.6793094359688059</v>
      </c>
      <c r="S78" s="61">
        <v>9.8424285456918916</v>
      </c>
      <c r="T78" s="62">
        <v>9.9408804819877812</v>
      </c>
      <c r="U78" s="62">
        <v>10.194924906008781</v>
      </c>
      <c r="V78" s="62">
        <v>10.432796982794347</v>
      </c>
      <c r="W78" s="62">
        <v>10.684681045467391</v>
      </c>
      <c r="X78" s="62">
        <v>11.013416203250971</v>
      </c>
      <c r="Z78" s="47" t="s">
        <v>44</v>
      </c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1">
        <f t="shared" si="36"/>
        <v>-0.43045009393632094</v>
      </c>
      <c r="AL78" s="21">
        <f t="shared" si="36"/>
        <v>0.50027085817185313</v>
      </c>
      <c r="AM78" s="20">
        <f t="shared" si="36"/>
        <v>0.10563982345531397</v>
      </c>
      <c r="AN78" s="20">
        <f t="shared" si="36"/>
        <v>2.0394325893433596E-2</v>
      </c>
      <c r="AO78" s="20">
        <f t="shared" si="36"/>
        <v>1.4396793840486311E-2</v>
      </c>
      <c r="AP78" s="20">
        <f t="shared" si="36"/>
        <v>1.6852349932829691E-2</v>
      </c>
      <c r="AQ78" s="22">
        <f t="shared" si="36"/>
        <v>1.0002809351253417E-2</v>
      </c>
      <c r="AR78" s="22">
        <f t="shared" si="36"/>
        <v>2.5555525436736781E-2</v>
      </c>
      <c r="AS78" s="22">
        <f t="shared" si="36"/>
        <v>2.3332401070003561E-2</v>
      </c>
      <c r="AT78" s="22">
        <f t="shared" si="36"/>
        <v>2.4143483582441894E-2</v>
      </c>
      <c r="AU78" s="22">
        <f t="shared" si="36"/>
        <v>3.0766960322417436E-2</v>
      </c>
    </row>
    <row r="79" spans="2:47" x14ac:dyDescent="0.15">
      <c r="B79" s="47" t="s">
        <v>41</v>
      </c>
      <c r="C79" s="55"/>
      <c r="M79" s="61">
        <v>30.224114894122863</v>
      </c>
      <c r="N79" s="61">
        <v>12.331009365021805</v>
      </c>
      <c r="O79" s="61">
        <v>26.167240153646372</v>
      </c>
      <c r="P79" s="61">
        <v>29.404193270309815</v>
      </c>
      <c r="Q79" s="61">
        <v>29.603610273691338</v>
      </c>
      <c r="R79" s="61">
        <v>30.185751333625454</v>
      </c>
      <c r="S79" s="61">
        <v>30.561061533412136</v>
      </c>
      <c r="T79" s="62">
        <v>31.239310306701668</v>
      </c>
      <c r="U79" s="62">
        <v>31.625181573108065</v>
      </c>
      <c r="V79" s="62">
        <v>32.454508838111018</v>
      </c>
      <c r="W79" s="62">
        <v>33.281263032554769</v>
      </c>
      <c r="X79" s="62">
        <v>34.279421645922938</v>
      </c>
      <c r="Z79" s="47" t="s">
        <v>41</v>
      </c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1">
        <f t="shared" si="36"/>
        <v>-0.5920142108968891</v>
      </c>
      <c r="AL79" s="21">
        <f t="shared" si="36"/>
        <v>1.1220679815451668</v>
      </c>
      <c r="AM79" s="20">
        <f t="shared" si="36"/>
        <v>0.12370250349891698</v>
      </c>
      <c r="AN79" s="20">
        <f t="shared" si="36"/>
        <v>6.7819239775872564E-3</v>
      </c>
      <c r="AO79" s="20">
        <f t="shared" si="36"/>
        <v>1.9664529243295092E-2</v>
      </c>
      <c r="AP79" s="20">
        <f t="shared" si="36"/>
        <v>1.2433356242771643E-2</v>
      </c>
      <c r="AQ79" s="22">
        <f t="shared" si="36"/>
        <v>2.2193233456501815E-2</v>
      </c>
      <c r="AR79" s="22">
        <f t="shared" si="36"/>
        <v>1.2352105812131864E-2</v>
      </c>
      <c r="AS79" s="22">
        <f t="shared" si="36"/>
        <v>2.6223636474174583E-2</v>
      </c>
      <c r="AT79" s="22">
        <f t="shared" si="36"/>
        <v>2.547424761741901E-2</v>
      </c>
      <c r="AU79" s="22">
        <f t="shared" si="36"/>
        <v>2.999160856340688E-2</v>
      </c>
    </row>
    <row r="80" spans="2:47" ht="4" customHeight="1" x14ac:dyDescent="0.15">
      <c r="B80" s="63"/>
      <c r="C80" s="64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1"/>
      <c r="U80" s="51"/>
      <c r="V80" s="51"/>
      <c r="W80" s="51"/>
      <c r="X80" s="51"/>
      <c r="Z80" s="63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1"/>
      <c r="AR80" s="51"/>
      <c r="AS80" s="51"/>
      <c r="AT80" s="51"/>
      <c r="AU80" s="51"/>
    </row>
    <row r="81" spans="2:47" x14ac:dyDescent="0.15">
      <c r="B81" s="52" t="s">
        <v>45</v>
      </c>
      <c r="C81" s="55"/>
      <c r="Z81" s="52" t="s">
        <v>45</v>
      </c>
    </row>
    <row r="82" spans="2:47" x14ac:dyDescent="0.15">
      <c r="C82" s="60"/>
      <c r="P82" s="54"/>
      <c r="Q82" s="54"/>
      <c r="R82" s="54"/>
      <c r="S82" s="54"/>
      <c r="T82" s="54"/>
      <c r="U82" s="54"/>
      <c r="V82" s="54"/>
      <c r="W82" s="54"/>
      <c r="X82" s="54"/>
    </row>
    <row r="83" spans="2:47" x14ac:dyDescent="0.15">
      <c r="B83" s="55"/>
      <c r="C83" s="55"/>
    </row>
    <row r="84" spans="2:47" x14ac:dyDescent="0.15">
      <c r="B84" s="55"/>
      <c r="C84" s="55"/>
    </row>
    <row r="85" spans="2:47" ht="16" x14ac:dyDescent="0.2">
      <c r="B85" s="4" t="s">
        <v>46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R85" s="6"/>
      <c r="Z85" s="4" t="s">
        <v>47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O85" s="6"/>
    </row>
    <row r="86" spans="2:47" ht="16" x14ac:dyDescent="0.2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R86" s="6"/>
      <c r="S86" s="7"/>
      <c r="T86" s="7" t="s">
        <v>4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O86" s="6"/>
      <c r="AP86" s="7"/>
      <c r="AQ86" s="7" t="s">
        <v>4</v>
      </c>
    </row>
    <row r="87" spans="2:47" ht="4" customHeight="1" x14ac:dyDescent="0.15">
      <c r="B87" s="55"/>
      <c r="Z87" s="55"/>
    </row>
    <row r="88" spans="2:47" x14ac:dyDescent="0.15">
      <c r="C88" s="9">
        <v>2009</v>
      </c>
      <c r="D88" s="9">
        <f>C88+1</f>
        <v>2010</v>
      </c>
      <c r="E88" s="9">
        <f t="shared" ref="E88:W88" si="37">D88+1</f>
        <v>2011</v>
      </c>
      <c r="F88" s="9">
        <f t="shared" si="37"/>
        <v>2012</v>
      </c>
      <c r="G88" s="9">
        <f t="shared" si="37"/>
        <v>2013</v>
      </c>
      <c r="H88" s="9">
        <f t="shared" si="37"/>
        <v>2014</v>
      </c>
      <c r="I88" s="9">
        <f t="shared" si="37"/>
        <v>2015</v>
      </c>
      <c r="J88" s="9">
        <f t="shared" si="37"/>
        <v>2016</v>
      </c>
      <c r="K88" s="9">
        <f t="shared" si="37"/>
        <v>2017</v>
      </c>
      <c r="L88" s="9">
        <f t="shared" si="37"/>
        <v>2018</v>
      </c>
      <c r="M88" s="9">
        <f t="shared" si="37"/>
        <v>2019</v>
      </c>
      <c r="N88" s="9">
        <f t="shared" si="37"/>
        <v>2020</v>
      </c>
      <c r="O88" s="9">
        <f t="shared" si="37"/>
        <v>2021</v>
      </c>
      <c r="P88" s="9">
        <f t="shared" si="37"/>
        <v>2022</v>
      </c>
      <c r="Q88" s="9">
        <f t="shared" si="37"/>
        <v>2023</v>
      </c>
      <c r="R88" s="9">
        <f t="shared" si="37"/>
        <v>2024</v>
      </c>
      <c r="S88" s="9">
        <f t="shared" si="37"/>
        <v>2025</v>
      </c>
      <c r="T88" s="10">
        <f t="shared" si="37"/>
        <v>2026</v>
      </c>
      <c r="U88" s="10">
        <f t="shared" si="37"/>
        <v>2027</v>
      </c>
      <c r="V88" s="10">
        <f t="shared" si="37"/>
        <v>2028</v>
      </c>
      <c r="W88" s="10">
        <f t="shared" si="37"/>
        <v>2029</v>
      </c>
      <c r="X88" s="10">
        <v>2030</v>
      </c>
      <c r="AA88" s="9">
        <v>2010</v>
      </c>
      <c r="AB88" s="9">
        <f t="shared" ref="AB88:AT88" si="38">AA88+1</f>
        <v>2011</v>
      </c>
      <c r="AC88" s="9">
        <f t="shared" si="38"/>
        <v>2012</v>
      </c>
      <c r="AD88" s="9">
        <f t="shared" si="38"/>
        <v>2013</v>
      </c>
      <c r="AE88" s="9">
        <f t="shared" si="38"/>
        <v>2014</v>
      </c>
      <c r="AF88" s="9">
        <f t="shared" si="38"/>
        <v>2015</v>
      </c>
      <c r="AG88" s="9">
        <f t="shared" si="38"/>
        <v>2016</v>
      </c>
      <c r="AH88" s="9">
        <f t="shared" si="38"/>
        <v>2017</v>
      </c>
      <c r="AI88" s="9">
        <f t="shared" si="38"/>
        <v>2018</v>
      </c>
      <c r="AJ88" s="9">
        <f t="shared" si="38"/>
        <v>2019</v>
      </c>
      <c r="AK88" s="9">
        <f t="shared" si="38"/>
        <v>2020</v>
      </c>
      <c r="AL88" s="9">
        <f t="shared" si="38"/>
        <v>2021</v>
      </c>
      <c r="AM88" s="9">
        <f t="shared" si="38"/>
        <v>2022</v>
      </c>
      <c r="AN88" s="9">
        <f t="shared" si="38"/>
        <v>2023</v>
      </c>
      <c r="AO88" s="9">
        <f t="shared" si="38"/>
        <v>2024</v>
      </c>
      <c r="AP88" s="9">
        <f t="shared" si="38"/>
        <v>2025</v>
      </c>
      <c r="AQ88" s="10">
        <f t="shared" si="38"/>
        <v>2026</v>
      </c>
      <c r="AR88" s="10">
        <f t="shared" si="38"/>
        <v>2027</v>
      </c>
      <c r="AS88" s="10">
        <f t="shared" si="38"/>
        <v>2028</v>
      </c>
      <c r="AT88" s="10">
        <f t="shared" si="38"/>
        <v>2029</v>
      </c>
      <c r="AU88" s="10">
        <v>2030</v>
      </c>
    </row>
    <row r="89" spans="2:47" ht="4" customHeight="1" x14ac:dyDescent="0.15">
      <c r="C89" s="55"/>
      <c r="T89" s="65"/>
      <c r="U89" s="65"/>
      <c r="V89" s="65"/>
      <c r="W89" s="65"/>
      <c r="X89" s="65"/>
      <c r="AQ89" s="11"/>
      <c r="AR89" s="11"/>
      <c r="AS89" s="11"/>
      <c r="AT89" s="11"/>
      <c r="AU89" s="11"/>
    </row>
    <row r="90" spans="2:47" x14ac:dyDescent="0.15">
      <c r="B90" s="55" t="s">
        <v>28</v>
      </c>
      <c r="C90" s="55"/>
      <c r="M90" s="45">
        <v>25.293731054585447</v>
      </c>
      <c r="N90" s="45">
        <v>16.041014067841679</v>
      </c>
      <c r="O90" s="45">
        <v>23.850627218422044</v>
      </c>
      <c r="P90" s="45">
        <v>28.164779280537015</v>
      </c>
      <c r="Q90" s="45">
        <v>28.696958589331665</v>
      </c>
      <c r="R90" s="45">
        <v>28.906196303693328</v>
      </c>
      <c r="S90" s="45">
        <v>29.489941947696295</v>
      </c>
      <c r="T90" s="66">
        <v>30.967084430865224</v>
      </c>
      <c r="U90" s="66">
        <v>31.915891209360197</v>
      </c>
      <c r="V90" s="66">
        <v>33.155171160806553</v>
      </c>
      <c r="W90" s="66">
        <v>34.518233920665999</v>
      </c>
      <c r="X90" s="66">
        <v>36.024539224803</v>
      </c>
      <c r="Z90" s="55" t="s">
        <v>28</v>
      </c>
      <c r="AK90" s="21">
        <f t="shared" ref="AK90:AU93" si="39">N90/M90-1</f>
        <v>-0.36581068118324767</v>
      </c>
      <c r="AL90" s="21">
        <f t="shared" si="39"/>
        <v>0.48685283346498243</v>
      </c>
      <c r="AM90" s="20">
        <f t="shared" si="39"/>
        <v>0.18088212199227827</v>
      </c>
      <c r="AN90" s="20">
        <f t="shared" si="39"/>
        <v>1.8895206083237692E-2</v>
      </c>
      <c r="AO90" s="20">
        <f t="shared" si="39"/>
        <v>7.2912853712465697E-3</v>
      </c>
      <c r="AP90" s="20">
        <f t="shared" si="39"/>
        <v>2.0194481413951415E-2</v>
      </c>
      <c r="AQ90" s="22">
        <f t="shared" si="39"/>
        <v>5.0089704679270097E-2</v>
      </c>
      <c r="AR90" s="22">
        <f t="shared" si="39"/>
        <v>3.0639202751334471E-2</v>
      </c>
      <c r="AS90" s="22">
        <f t="shared" si="39"/>
        <v>3.8829558081802995E-2</v>
      </c>
      <c r="AT90" s="22">
        <f t="shared" si="39"/>
        <v>4.111161885572634E-2</v>
      </c>
      <c r="AU90" s="22">
        <f t="shared" si="39"/>
        <v>4.3637959798261239E-2</v>
      </c>
    </row>
    <row r="91" spans="2:47" x14ac:dyDescent="0.15">
      <c r="B91" s="55" t="s">
        <v>29</v>
      </c>
      <c r="C91" s="55"/>
      <c r="M91" s="45">
        <v>29.348696885204401</v>
      </c>
      <c r="N91" s="45">
        <v>16.572229602256233</v>
      </c>
      <c r="O91" s="45">
        <v>26.791459293052842</v>
      </c>
      <c r="P91" s="45">
        <v>32.17569325790231</v>
      </c>
      <c r="Q91" s="45">
        <v>32.783659612881415</v>
      </c>
      <c r="R91" s="45">
        <v>33.188637819731397</v>
      </c>
      <c r="S91" s="45">
        <v>34.063039210538349</v>
      </c>
      <c r="T91" s="66">
        <v>35.747976370026898</v>
      </c>
      <c r="U91" s="66">
        <v>36.788255915072128</v>
      </c>
      <c r="V91" s="66">
        <v>38.134564485896192</v>
      </c>
      <c r="W91" s="66">
        <v>39.738362273775259</v>
      </c>
      <c r="X91" s="66">
        <v>41.468408920065542</v>
      </c>
      <c r="Z91" s="55" t="s">
        <v>29</v>
      </c>
      <c r="AK91" s="21">
        <f t="shared" si="39"/>
        <v>-0.43533337554721852</v>
      </c>
      <c r="AL91" s="21">
        <f t="shared" si="39"/>
        <v>0.61664784618994828</v>
      </c>
      <c r="AM91" s="20">
        <f t="shared" si="39"/>
        <v>0.20096829761884694</v>
      </c>
      <c r="AN91" s="20">
        <f t="shared" si="39"/>
        <v>1.8895206083237692E-2</v>
      </c>
      <c r="AO91" s="20">
        <f t="shared" si="39"/>
        <v>1.2353050624368311E-2</v>
      </c>
      <c r="AP91" s="20">
        <f t="shared" si="39"/>
        <v>2.6346407935040395E-2</v>
      </c>
      <c r="AQ91" s="22">
        <f t="shared" si="39"/>
        <v>4.9465262012418076E-2</v>
      </c>
      <c r="AR91" s="22">
        <f t="shared" si="39"/>
        <v>2.9100375760499286E-2</v>
      </c>
      <c r="AS91" s="22">
        <f t="shared" si="39"/>
        <v>3.6596151063320148E-2</v>
      </c>
      <c r="AT91" s="22">
        <f t="shared" si="39"/>
        <v>4.2056276490904265E-2</v>
      </c>
      <c r="AU91" s="22">
        <f t="shared" si="39"/>
        <v>4.353593221510299E-2</v>
      </c>
    </row>
    <row r="92" spans="2:47" x14ac:dyDescent="0.15">
      <c r="B92" s="55" t="s">
        <v>36</v>
      </c>
      <c r="C92" s="55"/>
      <c r="M92" s="45">
        <v>4.6480228548960838</v>
      </c>
      <c r="N92" s="45">
        <v>2.6824345205149709</v>
      </c>
      <c r="O92" s="45">
        <v>4.274293430999367</v>
      </c>
      <c r="P92" s="45">
        <v>5.0283557486796644</v>
      </c>
      <c r="Q92" s="45">
        <v>5.1426428748809112</v>
      </c>
      <c r="R92" s="45">
        <v>5.2061702026573622</v>
      </c>
      <c r="S92" s="45">
        <v>5.3540100787768354</v>
      </c>
      <c r="T92" s="66">
        <v>5.6550401216331556</v>
      </c>
      <c r="U92" s="66">
        <v>5.8295087876377263</v>
      </c>
      <c r="V92" s="66">
        <v>6.0464324699276739</v>
      </c>
      <c r="W92" s="66">
        <v>6.3134046274685423</v>
      </c>
      <c r="X92" s="66">
        <v>6.6113192497549917</v>
      </c>
      <c r="Z92" s="55" t="s">
        <v>36</v>
      </c>
      <c r="AK92" s="21">
        <f t="shared" si="39"/>
        <v>-0.42288697705318357</v>
      </c>
      <c r="AL92" s="21">
        <f t="shared" si="39"/>
        <v>0.59343812432699861</v>
      </c>
      <c r="AM92" s="20">
        <f t="shared" si="39"/>
        <v>0.17641800448501055</v>
      </c>
      <c r="AN92" s="20">
        <f t="shared" si="39"/>
        <v>2.2728528352683908E-2</v>
      </c>
      <c r="AO92" s="20">
        <f t="shared" si="39"/>
        <v>1.2353050624368311E-2</v>
      </c>
      <c r="AP92" s="20">
        <f t="shared" si="39"/>
        <v>2.8397050108736721E-2</v>
      </c>
      <c r="AQ92" s="22">
        <f t="shared" si="39"/>
        <v>5.6225154309962111E-2</v>
      </c>
      <c r="AR92" s="22">
        <f t="shared" si="39"/>
        <v>3.0851888271693495E-2</v>
      </c>
      <c r="AS92" s="22">
        <f t="shared" si="39"/>
        <v>3.7211314056162736E-2</v>
      </c>
      <c r="AT92" s="22">
        <f t="shared" si="39"/>
        <v>4.4153665631539329E-2</v>
      </c>
      <c r="AU92" s="22">
        <f t="shared" si="39"/>
        <v>4.7187633276390084E-2</v>
      </c>
    </row>
    <row r="93" spans="2:47" x14ac:dyDescent="0.15">
      <c r="B93" s="55" t="s">
        <v>41</v>
      </c>
      <c r="M93" s="45">
        <v>57.423384873314077</v>
      </c>
      <c r="N93" s="45">
        <v>27.659899994211877</v>
      </c>
      <c r="O93" s="45">
        <v>44.937841870095973</v>
      </c>
      <c r="P93" s="45">
        <v>59.551193314105916</v>
      </c>
      <c r="Q93" s="45">
        <v>61.942810794928789</v>
      </c>
      <c r="R93" s="45">
        <v>62.853250740351953</v>
      </c>
      <c r="S93" s="45">
        <v>64.542911025621521</v>
      </c>
      <c r="T93" s="66">
        <v>67.879455998106579</v>
      </c>
      <c r="U93" s="66">
        <v>69.918657586123416</v>
      </c>
      <c r="V93" s="66">
        <v>72.691658806601055</v>
      </c>
      <c r="W93" s="66">
        <v>75.827015395400579</v>
      </c>
      <c r="X93" s="66">
        <v>79.357582935845471</v>
      </c>
      <c r="Z93" s="55" t="s">
        <v>41</v>
      </c>
      <c r="AK93" s="21">
        <f t="shared" si="39"/>
        <v>-0.51831644799005838</v>
      </c>
      <c r="AL93" s="21">
        <f t="shared" si="39"/>
        <v>0.62465670083766334</v>
      </c>
      <c r="AM93" s="20">
        <f t="shared" si="39"/>
        <v>0.32519032592293762</v>
      </c>
      <c r="AN93" s="20">
        <f t="shared" si="39"/>
        <v>4.0160697842076098E-2</v>
      </c>
      <c r="AO93" s="20">
        <f t="shared" si="39"/>
        <v>1.4698072847183496E-2</v>
      </c>
      <c r="AP93" s="20">
        <f t="shared" si="39"/>
        <v>2.6882623656962368E-2</v>
      </c>
      <c r="AQ93" s="22">
        <f t="shared" si="39"/>
        <v>5.169498740397005E-2</v>
      </c>
      <c r="AR93" s="22">
        <f t="shared" si="39"/>
        <v>3.0041513415689725E-2</v>
      </c>
      <c r="AS93" s="22">
        <f t="shared" si="39"/>
        <v>3.9660389890380232E-2</v>
      </c>
      <c r="AT93" s="22">
        <f t="shared" si="39"/>
        <v>4.3132274600325982E-2</v>
      </c>
      <c r="AU93" s="22">
        <f t="shared" si="39"/>
        <v>4.6560813742103857E-2</v>
      </c>
    </row>
    <row r="94" spans="2:47" ht="4" customHeight="1" x14ac:dyDescent="0.15"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67"/>
      <c r="U94" s="67"/>
      <c r="V94" s="67"/>
      <c r="W94" s="67"/>
      <c r="X94" s="67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1"/>
      <c r="AR94" s="51"/>
      <c r="AS94" s="51"/>
      <c r="AT94" s="51"/>
      <c r="AU94" s="51"/>
    </row>
    <row r="96" spans="2:47" x14ac:dyDescent="0.15">
      <c r="L96" s="3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</row>
    <row r="97" spans="2:55" x14ac:dyDescent="0.15"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2:55" x14ac:dyDescent="0.15"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2:55" x14ac:dyDescent="0.15"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2:55" ht="15.5" customHeight="1" x14ac:dyDescent="0.2">
      <c r="B100" s="132" t="s">
        <v>48</v>
      </c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8"/>
      <c r="U100" s="8"/>
      <c r="V100" s="8"/>
      <c r="W100" s="8"/>
      <c r="X100" s="8"/>
      <c r="Z100" s="4" t="s">
        <v>49</v>
      </c>
    </row>
    <row r="101" spans="2:55" ht="15.5" customHeight="1" x14ac:dyDescent="0.2">
      <c r="B101" s="4"/>
      <c r="R101" s="6"/>
      <c r="S101" s="7"/>
      <c r="T101" s="7" t="s">
        <v>4</v>
      </c>
      <c r="Z101" s="4"/>
      <c r="AL101" s="7"/>
      <c r="AO101" s="6"/>
      <c r="AP101" s="7"/>
      <c r="AQ101" s="7" t="s">
        <v>4</v>
      </c>
    </row>
    <row r="102" spans="2:55" x14ac:dyDescent="0.15">
      <c r="C102" s="9">
        <v>2009</v>
      </c>
      <c r="D102" s="9">
        <f>C102+1</f>
        <v>2010</v>
      </c>
      <c r="E102" s="9">
        <f t="shared" ref="E102:W102" si="40">D102+1</f>
        <v>2011</v>
      </c>
      <c r="F102" s="9">
        <f t="shared" si="40"/>
        <v>2012</v>
      </c>
      <c r="G102" s="9">
        <f t="shared" si="40"/>
        <v>2013</v>
      </c>
      <c r="H102" s="9">
        <f t="shared" si="40"/>
        <v>2014</v>
      </c>
      <c r="I102" s="9">
        <f t="shared" si="40"/>
        <v>2015</v>
      </c>
      <c r="J102" s="9">
        <f t="shared" si="40"/>
        <v>2016</v>
      </c>
      <c r="K102" s="9">
        <f t="shared" si="40"/>
        <v>2017</v>
      </c>
      <c r="L102" s="9">
        <f t="shared" si="40"/>
        <v>2018</v>
      </c>
      <c r="M102" s="9">
        <f t="shared" si="40"/>
        <v>2019</v>
      </c>
      <c r="N102" s="9">
        <f t="shared" si="40"/>
        <v>2020</v>
      </c>
      <c r="O102" s="9">
        <f t="shared" si="40"/>
        <v>2021</v>
      </c>
      <c r="P102" s="9">
        <f t="shared" si="40"/>
        <v>2022</v>
      </c>
      <c r="Q102" s="9">
        <f t="shared" si="40"/>
        <v>2023</v>
      </c>
      <c r="R102" s="9">
        <f>Q102+1</f>
        <v>2024</v>
      </c>
      <c r="S102" s="9">
        <f t="shared" si="40"/>
        <v>2025</v>
      </c>
      <c r="T102" s="10">
        <f t="shared" si="40"/>
        <v>2026</v>
      </c>
      <c r="U102" s="10">
        <f t="shared" si="40"/>
        <v>2027</v>
      </c>
      <c r="V102" s="10">
        <f t="shared" si="40"/>
        <v>2028</v>
      </c>
      <c r="W102" s="10">
        <f t="shared" si="40"/>
        <v>2029</v>
      </c>
      <c r="X102" s="10">
        <v>2030</v>
      </c>
      <c r="AA102" s="9">
        <v>2010</v>
      </c>
      <c r="AB102" s="9">
        <f t="shared" ref="AB102:AT102" si="41">AA102+1</f>
        <v>2011</v>
      </c>
      <c r="AC102" s="9">
        <f t="shared" si="41"/>
        <v>2012</v>
      </c>
      <c r="AD102" s="9">
        <f t="shared" si="41"/>
        <v>2013</v>
      </c>
      <c r="AE102" s="9">
        <f t="shared" si="41"/>
        <v>2014</v>
      </c>
      <c r="AF102" s="9">
        <f t="shared" si="41"/>
        <v>2015</v>
      </c>
      <c r="AG102" s="9">
        <f t="shared" si="41"/>
        <v>2016</v>
      </c>
      <c r="AH102" s="9">
        <f t="shared" si="41"/>
        <v>2017</v>
      </c>
      <c r="AI102" s="9">
        <f t="shared" si="41"/>
        <v>2018</v>
      </c>
      <c r="AJ102" s="9">
        <f t="shared" si="41"/>
        <v>2019</v>
      </c>
      <c r="AK102" s="9">
        <f t="shared" si="41"/>
        <v>2020</v>
      </c>
      <c r="AL102" s="9">
        <f t="shared" si="41"/>
        <v>2021</v>
      </c>
      <c r="AM102" s="9">
        <f t="shared" si="41"/>
        <v>2022</v>
      </c>
      <c r="AN102" s="9">
        <f t="shared" si="41"/>
        <v>2023</v>
      </c>
      <c r="AO102" s="9">
        <f t="shared" si="41"/>
        <v>2024</v>
      </c>
      <c r="AP102" s="9">
        <f t="shared" si="41"/>
        <v>2025</v>
      </c>
      <c r="AQ102" s="10">
        <f t="shared" si="41"/>
        <v>2026</v>
      </c>
      <c r="AR102" s="10">
        <f t="shared" si="41"/>
        <v>2027</v>
      </c>
      <c r="AS102" s="10">
        <f t="shared" si="41"/>
        <v>2028</v>
      </c>
      <c r="AT102" s="10">
        <f t="shared" si="41"/>
        <v>2029</v>
      </c>
      <c r="AU102" s="10">
        <v>2030</v>
      </c>
    </row>
    <row r="103" spans="2:55" ht="4" customHeight="1" x14ac:dyDescent="0.15">
      <c r="T103" s="11"/>
      <c r="U103" s="11"/>
      <c r="V103" s="11"/>
      <c r="W103" s="11"/>
      <c r="X103" s="11"/>
      <c r="AQ103" s="11"/>
      <c r="AR103" s="11"/>
      <c r="AS103" s="11"/>
      <c r="AT103" s="11"/>
      <c r="AU103" s="11"/>
    </row>
    <row r="104" spans="2:55" x14ac:dyDescent="0.15">
      <c r="B104" s="12" t="s">
        <v>9</v>
      </c>
      <c r="C104" s="69">
        <v>12156.552599999999</v>
      </c>
      <c r="D104" s="69">
        <v>13295.751399999999</v>
      </c>
      <c r="E104" s="69">
        <v>14202.951899999998</v>
      </c>
      <c r="F104" s="69">
        <v>14681.0733</v>
      </c>
      <c r="G104" s="69">
        <v>15913.1744</v>
      </c>
      <c r="H104" s="69">
        <v>16533.595799999999</v>
      </c>
      <c r="I104" s="69">
        <v>17577.9401</v>
      </c>
      <c r="J104" s="69">
        <v>17810.059399999998</v>
      </c>
      <c r="K104" s="69">
        <v>17486.134900000001</v>
      </c>
      <c r="L104" s="69">
        <v>18195.846099999999</v>
      </c>
      <c r="M104" s="69">
        <v>17457.188900000001</v>
      </c>
      <c r="N104" s="69">
        <v>3743.6084000000001</v>
      </c>
      <c r="O104" s="69">
        <v>5141.1541298619995</v>
      </c>
      <c r="P104" s="69">
        <v>11756.367265143301</v>
      </c>
      <c r="Q104" s="69">
        <v>14994.439804854755</v>
      </c>
      <c r="R104" s="69">
        <v>16516.406333414267</v>
      </c>
      <c r="S104" s="69">
        <v>16407.088882773925</v>
      </c>
      <c r="T104" s="70">
        <v>16795.060655459092</v>
      </c>
      <c r="U104" s="70">
        <v>17292.424458729773</v>
      </c>
      <c r="V104" s="70">
        <v>17964.969131947935</v>
      </c>
      <c r="W104" s="70">
        <v>18763.757324107668</v>
      </c>
      <c r="X104" s="70">
        <v>19548.257312444344</v>
      </c>
      <c r="Z104" s="12" t="s">
        <v>9</v>
      </c>
      <c r="AA104" s="15">
        <f t="shared" ref="AA104:AU104" si="42">D104/C104-1</f>
        <v>9.3710679127896768E-2</v>
      </c>
      <c r="AB104" s="15">
        <f t="shared" si="42"/>
        <v>6.8232360301201167E-2</v>
      </c>
      <c r="AC104" s="15">
        <f t="shared" si="42"/>
        <v>3.3663523144086716E-2</v>
      </c>
      <c r="AD104" s="15">
        <f t="shared" si="42"/>
        <v>8.3924456667619829E-2</v>
      </c>
      <c r="AE104" s="15">
        <f t="shared" si="42"/>
        <v>3.8987909288545231E-2</v>
      </c>
      <c r="AF104" s="15">
        <f t="shared" si="42"/>
        <v>6.3164983142989461E-2</v>
      </c>
      <c r="AG104" s="15">
        <f t="shared" si="42"/>
        <v>1.3205147968390119E-2</v>
      </c>
      <c r="AH104" s="16">
        <f t="shared" si="42"/>
        <v>-1.818772709988814E-2</v>
      </c>
      <c r="AI104" s="16">
        <f t="shared" si="42"/>
        <v>4.0587082511870376E-2</v>
      </c>
      <c r="AJ104" s="16">
        <f t="shared" si="42"/>
        <v>-4.0594825650893895E-2</v>
      </c>
      <c r="AK104" s="16">
        <f t="shared" si="42"/>
        <v>-0.78555491256670773</v>
      </c>
      <c r="AL104" s="16">
        <f t="shared" si="42"/>
        <v>0.37331514959256951</v>
      </c>
      <c r="AM104" s="15">
        <f t="shared" si="42"/>
        <v>1.2867175284353651</v>
      </c>
      <c r="AN104" s="15">
        <f t="shared" si="42"/>
        <v>0.27543138681215606</v>
      </c>
      <c r="AO104" s="15">
        <f t="shared" si="42"/>
        <v>0.10150205998804585</v>
      </c>
      <c r="AP104" s="15">
        <f t="shared" si="42"/>
        <v>-6.6187188928127361E-3</v>
      </c>
      <c r="AQ104" s="17">
        <f t="shared" si="42"/>
        <v>2.3646594192130221E-2</v>
      </c>
      <c r="AR104" s="17">
        <f t="shared" si="42"/>
        <v>2.961369497102817E-2</v>
      </c>
      <c r="AS104" s="17">
        <f t="shared" si="42"/>
        <v>3.8892445349306692E-2</v>
      </c>
      <c r="AT104" s="17">
        <f t="shared" si="42"/>
        <v>4.4463655144233449E-2</v>
      </c>
      <c r="AU104" s="17">
        <f t="shared" si="42"/>
        <v>4.1809322876327659E-2</v>
      </c>
    </row>
    <row r="105" spans="2:55" ht="4" customHeight="1" x14ac:dyDescent="0.15"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4"/>
      <c r="U105" s="24"/>
      <c r="V105" s="24"/>
      <c r="W105" s="24"/>
      <c r="X105" s="24"/>
      <c r="AA105" s="23"/>
      <c r="AB105" s="23"/>
      <c r="AC105" s="23"/>
      <c r="AD105" s="23"/>
      <c r="AE105" s="23"/>
      <c r="AF105" s="23"/>
      <c r="AG105" s="23"/>
      <c r="AH105" s="25"/>
      <c r="AI105" s="25"/>
      <c r="AJ105" s="25"/>
      <c r="AK105" s="25"/>
      <c r="AL105" s="21"/>
      <c r="AM105" s="20"/>
      <c r="AN105" s="20"/>
      <c r="AO105" s="20"/>
      <c r="AP105" s="20"/>
      <c r="AQ105" s="22"/>
      <c r="AR105" s="22"/>
      <c r="AS105" s="22"/>
      <c r="AT105" s="22"/>
      <c r="AU105" s="22"/>
    </row>
    <row r="106" spans="2:55" x14ac:dyDescent="0.15">
      <c r="B106" s="27" t="s">
        <v>50</v>
      </c>
      <c r="C106" s="23">
        <v>243.34229999999999</v>
      </c>
      <c r="D106" s="23">
        <v>382.26519999999999</v>
      </c>
      <c r="E106" s="23">
        <v>469.71640000000002</v>
      </c>
      <c r="F106" s="23">
        <v>672</v>
      </c>
      <c r="G106" s="23">
        <v>866</v>
      </c>
      <c r="H106" s="23">
        <v>1025</v>
      </c>
      <c r="I106" s="23">
        <v>1088</v>
      </c>
      <c r="J106" s="23">
        <v>1308</v>
      </c>
      <c r="K106" s="23">
        <v>1159</v>
      </c>
      <c r="L106" s="23">
        <v>1140</v>
      </c>
      <c r="M106" s="23">
        <v>1032</v>
      </c>
      <c r="N106" s="23">
        <v>147</v>
      </c>
      <c r="O106" s="23">
        <v>71</v>
      </c>
      <c r="P106" s="23">
        <v>154</v>
      </c>
      <c r="Q106" s="23">
        <v>492</v>
      </c>
      <c r="R106" s="23">
        <v>647</v>
      </c>
      <c r="S106" s="23">
        <v>599</v>
      </c>
      <c r="T106" s="24">
        <v>610.26371183902302</v>
      </c>
      <c r="U106" s="24">
        <v>677.1236290349832</v>
      </c>
      <c r="V106" s="24">
        <v>757.67778296955748</v>
      </c>
      <c r="W106" s="24">
        <v>845.14511343956633</v>
      </c>
      <c r="X106" s="24">
        <v>934.59784022060387</v>
      </c>
      <c r="Z106" s="27" t="s">
        <v>50</v>
      </c>
      <c r="AA106" s="20">
        <f t="shared" ref="AA106:AP121" si="43">D106/C106-1</f>
        <v>0.57089499030789148</v>
      </c>
      <c r="AB106" s="20">
        <f t="shared" si="43"/>
        <v>0.2287710207468534</v>
      </c>
      <c r="AC106" s="20">
        <f t="shared" si="43"/>
        <v>0.43065049463889271</v>
      </c>
      <c r="AD106" s="20">
        <f t="shared" si="43"/>
        <v>0.28869047619047628</v>
      </c>
      <c r="AE106" s="20">
        <f t="shared" si="43"/>
        <v>0.18360277136258651</v>
      </c>
      <c r="AF106" s="20">
        <f t="shared" si="43"/>
        <v>6.1463414634146396E-2</v>
      </c>
      <c r="AG106" s="20">
        <f t="shared" si="43"/>
        <v>0.20220588235294112</v>
      </c>
      <c r="AH106" s="21">
        <f t="shared" si="43"/>
        <v>-0.11391437308868502</v>
      </c>
      <c r="AI106" s="21">
        <f t="shared" si="43"/>
        <v>-1.6393442622950838E-2</v>
      </c>
      <c r="AJ106" s="21">
        <f t="shared" si="43"/>
        <v>-9.4736842105263119E-2</v>
      </c>
      <c r="AK106" s="21">
        <f t="shared" si="43"/>
        <v>-0.85755813953488369</v>
      </c>
      <c r="AL106" s="21">
        <f t="shared" si="43"/>
        <v>-0.51700680272108845</v>
      </c>
      <c r="AM106" s="20">
        <f t="shared" si="43"/>
        <v>1.1690140845070425</v>
      </c>
      <c r="AN106" s="20">
        <f t="shared" si="43"/>
        <v>2.1948051948051948</v>
      </c>
      <c r="AO106" s="20">
        <f t="shared" si="43"/>
        <v>0.31504065040650397</v>
      </c>
      <c r="AP106" s="20">
        <f t="shared" si="43"/>
        <v>-7.4188562596599672E-2</v>
      </c>
      <c r="AQ106" s="22">
        <f t="shared" ref="AM106:AU121" si="44">T106/S106-1</f>
        <v>1.8804193387350621E-2</v>
      </c>
      <c r="AR106" s="22">
        <f t="shared" si="44"/>
        <v>0.10955905766456042</v>
      </c>
      <c r="AS106" s="22">
        <f t="shared" si="44"/>
        <v>0.11896520883398765</v>
      </c>
      <c r="AT106" s="22">
        <f t="shared" si="44"/>
        <v>0.11544132933025852</v>
      </c>
      <c r="AU106" s="22">
        <f t="shared" si="44"/>
        <v>0.10584303850138044</v>
      </c>
      <c r="AW106" s="23"/>
      <c r="AX106" s="23"/>
      <c r="AY106" s="23"/>
      <c r="AZ106" s="23"/>
      <c r="BA106" s="23"/>
      <c r="BB106" s="23"/>
      <c r="BC106" s="23"/>
    </row>
    <row r="107" spans="2:55" x14ac:dyDescent="0.15">
      <c r="B107" s="27" t="s">
        <v>51</v>
      </c>
      <c r="C107" s="23">
        <v>152.74100000000001</v>
      </c>
      <c r="D107" s="23">
        <v>182.0668</v>
      </c>
      <c r="E107" s="23">
        <v>184.18180000000001</v>
      </c>
      <c r="F107" s="23">
        <v>187</v>
      </c>
      <c r="G107" s="23">
        <v>244</v>
      </c>
      <c r="H107" s="23">
        <v>247</v>
      </c>
      <c r="I107" s="23">
        <v>324</v>
      </c>
      <c r="J107" s="23">
        <v>311</v>
      </c>
      <c r="K107" s="23">
        <v>332</v>
      </c>
      <c r="L107" s="23">
        <v>413</v>
      </c>
      <c r="M107" s="23">
        <v>420</v>
      </c>
      <c r="N107" s="23">
        <v>90</v>
      </c>
      <c r="O107" s="23">
        <v>83</v>
      </c>
      <c r="P107" s="23">
        <v>323</v>
      </c>
      <c r="Q107" s="23">
        <v>480</v>
      </c>
      <c r="R107" s="23">
        <v>602</v>
      </c>
      <c r="S107" s="23">
        <v>666</v>
      </c>
      <c r="T107" s="24">
        <v>608.86141241210635</v>
      </c>
      <c r="U107" s="24">
        <v>631.68046053194735</v>
      </c>
      <c r="V107" s="24">
        <v>659.48598758911635</v>
      </c>
      <c r="W107" s="24">
        <v>688.37126321914991</v>
      </c>
      <c r="X107" s="24">
        <v>715.41630544523196</v>
      </c>
      <c r="Z107" s="27" t="s">
        <v>51</v>
      </c>
      <c r="AA107" s="20">
        <f t="shared" si="43"/>
        <v>0.19199690980155948</v>
      </c>
      <c r="AB107" s="20">
        <f t="shared" si="43"/>
        <v>1.161661544004744E-2</v>
      </c>
      <c r="AC107" s="20">
        <f t="shared" si="43"/>
        <v>1.5301186110679765E-2</v>
      </c>
      <c r="AD107" s="20">
        <f t="shared" si="43"/>
        <v>0.30481283422459904</v>
      </c>
      <c r="AE107" s="20">
        <f t="shared" si="43"/>
        <v>1.2295081967213184E-2</v>
      </c>
      <c r="AF107" s="20">
        <f t="shared" si="43"/>
        <v>0.31174089068825905</v>
      </c>
      <c r="AG107" s="20">
        <f t="shared" si="43"/>
        <v>-4.0123456790123413E-2</v>
      </c>
      <c r="AH107" s="21">
        <f t="shared" si="43"/>
        <v>6.7524115755627001E-2</v>
      </c>
      <c r="AI107" s="21">
        <f t="shared" si="43"/>
        <v>0.24397590361445776</v>
      </c>
      <c r="AJ107" s="21">
        <f t="shared" si="43"/>
        <v>1.6949152542372836E-2</v>
      </c>
      <c r="AK107" s="21">
        <f t="shared" si="43"/>
        <v>-0.7857142857142857</v>
      </c>
      <c r="AL107" s="21">
        <f t="shared" si="43"/>
        <v>-7.7777777777777724E-2</v>
      </c>
      <c r="AM107" s="20">
        <f t="shared" si="43"/>
        <v>2.8915662650602409</v>
      </c>
      <c r="AN107" s="20">
        <f t="shared" si="43"/>
        <v>0.48606811145510842</v>
      </c>
      <c r="AO107" s="20">
        <f t="shared" si="43"/>
        <v>0.25416666666666665</v>
      </c>
      <c r="AP107" s="20">
        <f t="shared" si="43"/>
        <v>0.10631229235880402</v>
      </c>
      <c r="AQ107" s="22">
        <f t="shared" si="44"/>
        <v>-8.5793675056897389E-2</v>
      </c>
      <c r="AR107" s="22">
        <f t="shared" si="44"/>
        <v>3.7478230110592037E-2</v>
      </c>
      <c r="AS107" s="22">
        <f t="shared" si="44"/>
        <v>4.4018342808567423E-2</v>
      </c>
      <c r="AT107" s="22">
        <f t="shared" si="44"/>
        <v>4.3799680620401737E-2</v>
      </c>
      <c r="AU107" s="22">
        <f t="shared" si="44"/>
        <v>3.9288453297144699E-2</v>
      </c>
      <c r="AW107" s="23"/>
      <c r="AX107" s="23"/>
      <c r="AY107" s="23"/>
      <c r="AZ107" s="23"/>
      <c r="BA107" s="23"/>
      <c r="BB107" s="23"/>
      <c r="BC107" s="23"/>
    </row>
    <row r="108" spans="2:55" x14ac:dyDescent="0.15">
      <c r="B108" s="27" t="s">
        <v>52</v>
      </c>
      <c r="C108" s="23">
        <v>438.88080000000002</v>
      </c>
      <c r="D108" s="23">
        <v>523.49839999999995</v>
      </c>
      <c r="E108" s="23">
        <v>548.49220000000003</v>
      </c>
      <c r="F108" s="23">
        <v>523</v>
      </c>
      <c r="G108" s="23">
        <v>529</v>
      </c>
      <c r="H108" s="23">
        <v>541</v>
      </c>
      <c r="I108" s="23">
        <v>596</v>
      </c>
      <c r="J108" s="23">
        <v>546</v>
      </c>
      <c r="K108" s="23">
        <v>527</v>
      </c>
      <c r="L108" s="23">
        <v>548</v>
      </c>
      <c r="M108" s="23">
        <v>559</v>
      </c>
      <c r="N108" s="23">
        <v>104</v>
      </c>
      <c r="O108" s="23">
        <v>30</v>
      </c>
      <c r="P108" s="23">
        <v>129</v>
      </c>
      <c r="Q108" s="23">
        <v>344</v>
      </c>
      <c r="R108" s="23">
        <v>377</v>
      </c>
      <c r="S108" s="23">
        <v>410</v>
      </c>
      <c r="T108" s="24">
        <v>448.09605042443968</v>
      </c>
      <c r="U108" s="24">
        <v>477.0193781934633</v>
      </c>
      <c r="V108" s="24">
        <v>512.15009792629508</v>
      </c>
      <c r="W108" s="24">
        <v>557.89985375813364</v>
      </c>
      <c r="X108" s="24">
        <v>610.41823321291429</v>
      </c>
      <c r="Z108" s="27" t="s">
        <v>52</v>
      </c>
      <c r="AA108" s="20">
        <f t="shared" si="43"/>
        <v>0.19280314837194945</v>
      </c>
      <c r="AB108" s="20">
        <f t="shared" si="43"/>
        <v>4.7743794441396759E-2</v>
      </c>
      <c r="AC108" s="20">
        <f t="shared" si="43"/>
        <v>-4.64768687685988E-2</v>
      </c>
      <c r="AD108" s="20">
        <f t="shared" si="43"/>
        <v>1.1472275334607929E-2</v>
      </c>
      <c r="AE108" s="20">
        <f t="shared" si="43"/>
        <v>2.2684310018903586E-2</v>
      </c>
      <c r="AF108" s="20">
        <f t="shared" si="43"/>
        <v>0.1016635859519408</v>
      </c>
      <c r="AG108" s="20">
        <f t="shared" si="43"/>
        <v>-8.3892617449664475E-2</v>
      </c>
      <c r="AH108" s="21">
        <f t="shared" si="43"/>
        <v>-3.4798534798534786E-2</v>
      </c>
      <c r="AI108" s="21">
        <f t="shared" si="43"/>
        <v>3.9848197343453462E-2</v>
      </c>
      <c r="AJ108" s="21">
        <f t="shared" si="43"/>
        <v>2.007299270072993E-2</v>
      </c>
      <c r="AK108" s="21">
        <f t="shared" si="43"/>
        <v>-0.81395348837209303</v>
      </c>
      <c r="AL108" s="21">
        <f t="shared" si="43"/>
        <v>-0.71153846153846156</v>
      </c>
      <c r="AM108" s="20">
        <f t="shared" si="43"/>
        <v>3.3</v>
      </c>
      <c r="AN108" s="20">
        <f t="shared" si="43"/>
        <v>1.6666666666666665</v>
      </c>
      <c r="AO108" s="20">
        <f t="shared" si="43"/>
        <v>9.5930232558139483E-2</v>
      </c>
      <c r="AP108" s="20">
        <f t="shared" si="43"/>
        <v>8.7533156498673659E-2</v>
      </c>
      <c r="AQ108" s="22">
        <f t="shared" si="44"/>
        <v>9.2917196157169979E-2</v>
      </c>
      <c r="AR108" s="22">
        <f t="shared" si="44"/>
        <v>6.4547160684918392E-2</v>
      </c>
      <c r="AS108" s="22">
        <f t="shared" si="44"/>
        <v>7.364631572385294E-2</v>
      </c>
      <c r="AT108" s="22">
        <f t="shared" si="44"/>
        <v>8.9328804225714542E-2</v>
      </c>
      <c r="AU108" s="22">
        <f t="shared" si="44"/>
        <v>9.4135854492532145E-2</v>
      </c>
      <c r="AW108" s="23"/>
      <c r="AX108" s="23"/>
      <c r="AY108" s="23"/>
      <c r="AZ108" s="23"/>
      <c r="BA108" s="23"/>
      <c r="BB108" s="23"/>
      <c r="BC108" s="23"/>
    </row>
    <row r="109" spans="2:55" x14ac:dyDescent="0.15">
      <c r="B109" s="27" t="s">
        <v>53</v>
      </c>
      <c r="C109" s="23">
        <v>282.1748</v>
      </c>
      <c r="D109" s="23">
        <v>416.7824</v>
      </c>
      <c r="E109" s="23">
        <v>394.42180000000002</v>
      </c>
      <c r="F109" s="23">
        <v>401</v>
      </c>
      <c r="G109" s="23">
        <v>420</v>
      </c>
      <c r="H109" s="23">
        <v>386</v>
      </c>
      <c r="I109" s="23">
        <v>440</v>
      </c>
      <c r="J109" s="23">
        <v>497</v>
      </c>
      <c r="K109" s="23">
        <v>559</v>
      </c>
      <c r="L109" s="23">
        <v>538</v>
      </c>
      <c r="M109" s="23">
        <v>485</v>
      </c>
      <c r="N109" s="23">
        <v>94</v>
      </c>
      <c r="O109" s="23">
        <v>55</v>
      </c>
      <c r="P109" s="23">
        <v>219</v>
      </c>
      <c r="Q109" s="23">
        <v>392</v>
      </c>
      <c r="R109" s="23">
        <v>435</v>
      </c>
      <c r="S109" s="23">
        <v>368</v>
      </c>
      <c r="T109" s="24">
        <v>324.02829631968137</v>
      </c>
      <c r="U109" s="24">
        <v>352.134753096883</v>
      </c>
      <c r="V109" s="24">
        <v>389.57537239598327</v>
      </c>
      <c r="W109" s="24">
        <v>439.68102872522684</v>
      </c>
      <c r="X109" s="24">
        <v>487.9951397819159</v>
      </c>
      <c r="Z109" s="27" t="s">
        <v>53</v>
      </c>
      <c r="AA109" s="20">
        <f t="shared" si="43"/>
        <v>0.47703622010186586</v>
      </c>
      <c r="AB109" s="20">
        <f t="shared" si="43"/>
        <v>-5.3650538026557726E-2</v>
      </c>
      <c r="AC109" s="20">
        <f t="shared" si="43"/>
        <v>1.6678084223539225E-2</v>
      </c>
      <c r="AD109" s="20">
        <f t="shared" si="43"/>
        <v>4.7381546134663388E-2</v>
      </c>
      <c r="AE109" s="20">
        <f t="shared" si="43"/>
        <v>-8.0952380952380998E-2</v>
      </c>
      <c r="AF109" s="20">
        <f t="shared" si="43"/>
        <v>0.13989637305699487</v>
      </c>
      <c r="AG109" s="20">
        <f t="shared" si="43"/>
        <v>0.12954545454545463</v>
      </c>
      <c r="AH109" s="21">
        <f t="shared" si="43"/>
        <v>0.12474849094567397</v>
      </c>
      <c r="AI109" s="21">
        <f t="shared" si="43"/>
        <v>-3.756708407871201E-2</v>
      </c>
      <c r="AJ109" s="21">
        <f t="shared" si="43"/>
        <v>-9.8513011152416396E-2</v>
      </c>
      <c r="AK109" s="21">
        <f t="shared" si="43"/>
        <v>-0.8061855670103093</v>
      </c>
      <c r="AL109" s="21">
        <f t="shared" si="43"/>
        <v>-0.41489361702127658</v>
      </c>
      <c r="AM109" s="20">
        <f t="shared" si="43"/>
        <v>2.9818181818181819</v>
      </c>
      <c r="AN109" s="20">
        <f t="shared" si="43"/>
        <v>0.78995433789954328</v>
      </c>
      <c r="AO109" s="20">
        <f t="shared" si="43"/>
        <v>0.10969387755102034</v>
      </c>
      <c r="AP109" s="20">
        <f t="shared" si="43"/>
        <v>-0.15402298850574714</v>
      </c>
      <c r="AQ109" s="22">
        <f t="shared" si="44"/>
        <v>-0.11948832521825714</v>
      </c>
      <c r="AR109" s="22">
        <f t="shared" si="44"/>
        <v>8.6740747942186669E-2</v>
      </c>
      <c r="AS109" s="22">
        <f t="shared" si="44"/>
        <v>0.10632469237933817</v>
      </c>
      <c r="AT109" s="22">
        <f t="shared" si="44"/>
        <v>0.12861607760542348</v>
      </c>
      <c r="AU109" s="22">
        <f t="shared" si="44"/>
        <v>0.10988445691361037</v>
      </c>
      <c r="AW109" s="23"/>
      <c r="AX109" s="23"/>
      <c r="AY109" s="23"/>
      <c r="AZ109" s="23"/>
      <c r="BA109" s="23"/>
      <c r="BB109" s="23"/>
      <c r="BC109" s="23"/>
    </row>
    <row r="110" spans="2:55" x14ac:dyDescent="0.15">
      <c r="B110" s="27" t="s">
        <v>54</v>
      </c>
      <c r="C110" s="23">
        <v>361.82229999999998</v>
      </c>
      <c r="D110" s="23">
        <v>494.32369999999997</v>
      </c>
      <c r="E110" s="23">
        <v>550.29759999999999</v>
      </c>
      <c r="F110" s="23">
        <v>530</v>
      </c>
      <c r="G110" s="23">
        <v>630</v>
      </c>
      <c r="H110" s="23">
        <v>644</v>
      </c>
      <c r="I110" s="23">
        <v>717</v>
      </c>
      <c r="J110" s="23">
        <v>666</v>
      </c>
      <c r="K110" s="23">
        <v>611</v>
      </c>
      <c r="L110" s="23">
        <v>607</v>
      </c>
      <c r="M110" s="23">
        <v>598</v>
      </c>
      <c r="N110" s="23">
        <v>86</v>
      </c>
      <c r="O110" s="23">
        <v>21</v>
      </c>
      <c r="P110" s="23">
        <v>253</v>
      </c>
      <c r="Q110" s="23">
        <v>411</v>
      </c>
      <c r="R110" s="23">
        <v>432</v>
      </c>
      <c r="S110" s="23">
        <v>410</v>
      </c>
      <c r="T110" s="24">
        <v>385.73260826022084</v>
      </c>
      <c r="U110" s="24">
        <v>402.45000050199758</v>
      </c>
      <c r="V110" s="24">
        <v>425.68227957853867</v>
      </c>
      <c r="W110" s="24">
        <v>464.17295035370887</v>
      </c>
      <c r="X110" s="24">
        <v>501.0932350445741</v>
      </c>
      <c r="Z110" s="27" t="s">
        <v>54</v>
      </c>
      <c r="AA110" s="20">
        <f t="shared" si="43"/>
        <v>0.36620573137697709</v>
      </c>
      <c r="AB110" s="20">
        <f t="shared" si="43"/>
        <v>0.11323329227386836</v>
      </c>
      <c r="AC110" s="20">
        <f t="shared" si="43"/>
        <v>-3.6884769259397099E-2</v>
      </c>
      <c r="AD110" s="20">
        <f t="shared" si="43"/>
        <v>0.18867924528301883</v>
      </c>
      <c r="AE110" s="20">
        <f t="shared" si="43"/>
        <v>2.2222222222222143E-2</v>
      </c>
      <c r="AF110" s="20">
        <f t="shared" si="43"/>
        <v>0.11335403726708071</v>
      </c>
      <c r="AG110" s="20">
        <f t="shared" si="43"/>
        <v>-7.112970711297073E-2</v>
      </c>
      <c r="AH110" s="21">
        <f t="shared" si="43"/>
        <v>-8.2582582582582553E-2</v>
      </c>
      <c r="AI110" s="21">
        <f t="shared" si="43"/>
        <v>-6.5466448445171688E-3</v>
      </c>
      <c r="AJ110" s="21">
        <f t="shared" si="43"/>
        <v>-1.4827018121911006E-2</v>
      </c>
      <c r="AK110" s="21">
        <f t="shared" si="43"/>
        <v>-0.85618729096989965</v>
      </c>
      <c r="AL110" s="21">
        <f t="shared" si="43"/>
        <v>-0.7558139534883721</v>
      </c>
      <c r="AM110" s="20">
        <f t="shared" si="43"/>
        <v>11.047619047619047</v>
      </c>
      <c r="AN110" s="20">
        <f t="shared" si="43"/>
        <v>0.62450592885375489</v>
      </c>
      <c r="AO110" s="20">
        <f t="shared" si="43"/>
        <v>5.1094890510948954E-2</v>
      </c>
      <c r="AP110" s="20">
        <f t="shared" si="43"/>
        <v>-5.092592592592593E-2</v>
      </c>
      <c r="AQ110" s="22">
        <f t="shared" si="44"/>
        <v>-5.9188760340924795E-2</v>
      </c>
      <c r="AR110" s="22">
        <f t="shared" si="44"/>
        <v>4.3339328549840683E-2</v>
      </c>
      <c r="AS110" s="22">
        <f t="shared" si="44"/>
        <v>5.7727119014939099E-2</v>
      </c>
      <c r="AT110" s="22">
        <f t="shared" si="44"/>
        <v>9.0421125383183032E-2</v>
      </c>
      <c r="AU110" s="22">
        <f t="shared" si="44"/>
        <v>7.9539931533561425E-2</v>
      </c>
      <c r="AW110" s="23"/>
      <c r="AX110" s="23"/>
      <c r="AY110" s="23"/>
      <c r="AZ110" s="23"/>
      <c r="BA110" s="23"/>
      <c r="BB110" s="23"/>
      <c r="BC110" s="23"/>
    </row>
    <row r="111" spans="2:55" x14ac:dyDescent="0.15">
      <c r="B111" s="27" t="s">
        <v>55</v>
      </c>
      <c r="C111" s="23">
        <v>591.30619999999999</v>
      </c>
      <c r="D111" s="23">
        <v>610.21050000000002</v>
      </c>
      <c r="E111" s="23">
        <v>655.65830000000005</v>
      </c>
      <c r="F111" s="23">
        <v>656</v>
      </c>
      <c r="G111" s="23">
        <v>695</v>
      </c>
      <c r="H111" s="23">
        <v>653</v>
      </c>
      <c r="I111" s="23">
        <v>818</v>
      </c>
      <c r="J111" s="23">
        <v>799</v>
      </c>
      <c r="K111" s="23">
        <v>731</v>
      </c>
      <c r="L111" s="23">
        <v>809</v>
      </c>
      <c r="M111" s="23">
        <v>753</v>
      </c>
      <c r="N111" s="23">
        <v>121</v>
      </c>
      <c r="O111" s="23">
        <v>85</v>
      </c>
      <c r="P111" s="23">
        <v>588</v>
      </c>
      <c r="Q111" s="23">
        <v>629</v>
      </c>
      <c r="R111" s="23">
        <v>630</v>
      </c>
      <c r="S111" s="23">
        <v>599</v>
      </c>
      <c r="T111" s="24">
        <v>608.99879744807947</v>
      </c>
      <c r="U111" s="24">
        <v>630.91673723300448</v>
      </c>
      <c r="V111" s="24">
        <v>664.10522692773986</v>
      </c>
      <c r="W111" s="24">
        <v>707.45062886262599</v>
      </c>
      <c r="X111" s="24">
        <v>748.2940059878714</v>
      </c>
      <c r="Z111" s="27" t="s">
        <v>55</v>
      </c>
      <c r="AA111" s="20">
        <f t="shared" si="43"/>
        <v>3.1970407210342167E-2</v>
      </c>
      <c r="AB111" s="20">
        <f t="shared" si="43"/>
        <v>7.4478888842456792E-2</v>
      </c>
      <c r="AC111" s="20">
        <f t="shared" si="43"/>
        <v>5.2115560803533967E-4</v>
      </c>
      <c r="AD111" s="20">
        <f t="shared" si="43"/>
        <v>5.945121951219523E-2</v>
      </c>
      <c r="AE111" s="20">
        <f t="shared" si="43"/>
        <v>-6.0431654676258995E-2</v>
      </c>
      <c r="AF111" s="20">
        <f t="shared" si="43"/>
        <v>0.25267993874425732</v>
      </c>
      <c r="AG111" s="20">
        <f t="shared" si="43"/>
        <v>-2.3227383863080653E-2</v>
      </c>
      <c r="AH111" s="21">
        <f t="shared" si="43"/>
        <v>-8.5106382978723416E-2</v>
      </c>
      <c r="AI111" s="21">
        <f t="shared" si="43"/>
        <v>0.10670314637482892</v>
      </c>
      <c r="AJ111" s="21">
        <f t="shared" si="43"/>
        <v>-6.9221260815822028E-2</v>
      </c>
      <c r="AK111" s="21">
        <f t="shared" si="43"/>
        <v>-0.83930942895086325</v>
      </c>
      <c r="AL111" s="21">
        <f t="shared" si="43"/>
        <v>-0.2975206611570248</v>
      </c>
      <c r="AM111" s="20">
        <f t="shared" si="43"/>
        <v>5.9176470588235297</v>
      </c>
      <c r="AN111" s="20">
        <f t="shared" si="43"/>
        <v>6.9727891156462496E-2</v>
      </c>
      <c r="AO111" s="20">
        <f t="shared" si="43"/>
        <v>1.5898251192367763E-3</v>
      </c>
      <c r="AP111" s="20">
        <f t="shared" si="43"/>
        <v>-4.9206349206349254E-2</v>
      </c>
      <c r="AQ111" s="22">
        <f t="shared" si="44"/>
        <v>1.6692483218830434E-2</v>
      </c>
      <c r="AR111" s="22">
        <f t="shared" si="44"/>
        <v>3.5990119975226387E-2</v>
      </c>
      <c r="AS111" s="22">
        <f t="shared" si="44"/>
        <v>5.2603596855409718E-2</v>
      </c>
      <c r="AT111" s="22">
        <f t="shared" si="44"/>
        <v>6.5268876342698068E-2</v>
      </c>
      <c r="AU111" s="22">
        <f t="shared" si="44"/>
        <v>5.7733183714755665E-2</v>
      </c>
      <c r="AW111" s="23"/>
      <c r="AX111" s="23"/>
      <c r="AY111" s="23"/>
      <c r="AZ111" s="23"/>
      <c r="BA111" s="23"/>
      <c r="BB111" s="23"/>
      <c r="BC111" s="23"/>
    </row>
    <row r="112" spans="2:55" x14ac:dyDescent="0.15">
      <c r="B112" s="27" t="s">
        <v>56</v>
      </c>
      <c r="C112" s="23">
        <v>337.95920000000001</v>
      </c>
      <c r="D112" s="23">
        <v>380.24029999999999</v>
      </c>
      <c r="E112" s="23">
        <v>408.54539999999997</v>
      </c>
      <c r="F112" s="23">
        <v>397</v>
      </c>
      <c r="G112" s="23">
        <v>441</v>
      </c>
      <c r="H112" s="23">
        <v>467</v>
      </c>
      <c r="I112" s="23">
        <v>499</v>
      </c>
      <c r="J112" s="23">
        <v>453</v>
      </c>
      <c r="K112" s="23">
        <v>487</v>
      </c>
      <c r="L112" s="23">
        <v>490</v>
      </c>
      <c r="M112" s="23">
        <v>449</v>
      </c>
      <c r="N112" s="23">
        <v>59</v>
      </c>
      <c r="O112" s="23">
        <v>41</v>
      </c>
      <c r="P112" s="23">
        <v>351</v>
      </c>
      <c r="Q112" s="23">
        <v>421</v>
      </c>
      <c r="R112" s="23">
        <v>426</v>
      </c>
      <c r="S112" s="23">
        <v>384</v>
      </c>
      <c r="T112" s="24">
        <v>348.87323386682186</v>
      </c>
      <c r="U112" s="24">
        <v>361.64331736039003</v>
      </c>
      <c r="V112" s="24">
        <v>376.95728358634432</v>
      </c>
      <c r="W112" s="24">
        <v>402.70382397863835</v>
      </c>
      <c r="X112" s="24">
        <v>426.52984487716549</v>
      </c>
      <c r="Z112" s="27" t="s">
        <v>56</v>
      </c>
      <c r="AA112" s="20">
        <f t="shared" si="43"/>
        <v>0.12510711352139547</v>
      </c>
      <c r="AB112" s="20">
        <f t="shared" si="43"/>
        <v>7.4440031737824652E-2</v>
      </c>
      <c r="AC112" s="20">
        <f t="shared" si="43"/>
        <v>-2.8259772353329549E-2</v>
      </c>
      <c r="AD112" s="20">
        <f t="shared" si="43"/>
        <v>0.11083123425692687</v>
      </c>
      <c r="AE112" s="20">
        <f t="shared" si="43"/>
        <v>5.895691609977316E-2</v>
      </c>
      <c r="AF112" s="20">
        <f t="shared" si="43"/>
        <v>6.85224839400429E-2</v>
      </c>
      <c r="AG112" s="20">
        <f t="shared" si="43"/>
        <v>-9.2184368737474931E-2</v>
      </c>
      <c r="AH112" s="21">
        <f t="shared" si="43"/>
        <v>7.5055187637969034E-2</v>
      </c>
      <c r="AI112" s="21">
        <f t="shared" si="43"/>
        <v>6.1601642710471527E-3</v>
      </c>
      <c r="AJ112" s="21">
        <f t="shared" si="43"/>
        <v>-8.3673469387755106E-2</v>
      </c>
      <c r="AK112" s="21">
        <f t="shared" si="43"/>
        <v>-0.86859688195991092</v>
      </c>
      <c r="AL112" s="21">
        <f t="shared" si="43"/>
        <v>-0.30508474576271183</v>
      </c>
      <c r="AM112" s="20">
        <f t="shared" si="43"/>
        <v>7.5609756097560972</v>
      </c>
      <c r="AN112" s="20">
        <f t="shared" si="43"/>
        <v>0.19943019943019946</v>
      </c>
      <c r="AO112" s="20">
        <f t="shared" si="43"/>
        <v>1.1876484560570111E-2</v>
      </c>
      <c r="AP112" s="20">
        <f t="shared" si="43"/>
        <v>-9.8591549295774628E-2</v>
      </c>
      <c r="AQ112" s="22">
        <f t="shared" si="44"/>
        <v>-9.1475953471818028E-2</v>
      </c>
      <c r="AR112" s="22">
        <f t="shared" si="44"/>
        <v>3.660379259259261E-2</v>
      </c>
      <c r="AS112" s="22">
        <f t="shared" si="44"/>
        <v>4.2345497596167014E-2</v>
      </c>
      <c r="AT112" s="22">
        <f t="shared" si="44"/>
        <v>6.8300949506382658E-2</v>
      </c>
      <c r="AU112" s="22">
        <f t="shared" si="44"/>
        <v>5.9165122057025732E-2</v>
      </c>
      <c r="AW112" s="23"/>
      <c r="AX112" s="23"/>
      <c r="AY112" s="23"/>
      <c r="AZ112" s="23"/>
      <c r="BA112" s="23"/>
      <c r="BB112" s="23"/>
      <c r="BC112" s="23"/>
    </row>
    <row r="113" spans="2:55" x14ac:dyDescent="0.15">
      <c r="B113" s="27" t="s">
        <v>57</v>
      </c>
      <c r="C113" s="23">
        <v>275.30759999999998</v>
      </c>
      <c r="D113" s="23">
        <v>377.53109999999998</v>
      </c>
      <c r="E113" s="23">
        <v>445.06639999999999</v>
      </c>
      <c r="F113" s="23">
        <v>385</v>
      </c>
      <c r="G113" s="23">
        <v>443</v>
      </c>
      <c r="H113" s="23">
        <v>459</v>
      </c>
      <c r="I113" s="23">
        <v>470</v>
      </c>
      <c r="J113" s="23">
        <v>459</v>
      </c>
      <c r="K113" s="23">
        <v>434</v>
      </c>
      <c r="L113" s="23">
        <v>473</v>
      </c>
      <c r="M113" s="23">
        <v>458</v>
      </c>
      <c r="N113" s="23">
        <v>63</v>
      </c>
      <c r="O113" s="23">
        <v>50</v>
      </c>
      <c r="P113" s="23">
        <v>356</v>
      </c>
      <c r="Q113" s="23">
        <v>412</v>
      </c>
      <c r="R113" s="23">
        <v>412</v>
      </c>
      <c r="S113" s="23">
        <v>404</v>
      </c>
      <c r="T113" s="24">
        <v>348.7122716521564</v>
      </c>
      <c r="U113" s="24">
        <v>362.03434802475977</v>
      </c>
      <c r="V113" s="24">
        <v>381.45554817943741</v>
      </c>
      <c r="W113" s="24">
        <v>408.32762050417193</v>
      </c>
      <c r="X113" s="24">
        <v>437.51859150816767</v>
      </c>
      <c r="Z113" s="27" t="s">
        <v>57</v>
      </c>
      <c r="AA113" s="20">
        <f t="shared" si="43"/>
        <v>0.37130649498960433</v>
      </c>
      <c r="AB113" s="20">
        <f t="shared" si="43"/>
        <v>0.17888671953118562</v>
      </c>
      <c r="AC113" s="20">
        <f t="shared" si="43"/>
        <v>-0.13496053622560589</v>
      </c>
      <c r="AD113" s="20">
        <f t="shared" si="43"/>
        <v>0.1506493506493507</v>
      </c>
      <c r="AE113" s="20">
        <f t="shared" si="43"/>
        <v>3.6117381489841893E-2</v>
      </c>
      <c r="AF113" s="20">
        <f t="shared" si="43"/>
        <v>2.3965141612200425E-2</v>
      </c>
      <c r="AG113" s="20">
        <f t="shared" si="43"/>
        <v>-2.3404255319148914E-2</v>
      </c>
      <c r="AH113" s="21">
        <f t="shared" si="43"/>
        <v>-5.4466230936819127E-2</v>
      </c>
      <c r="AI113" s="21">
        <f t="shared" si="43"/>
        <v>8.9861751152073843E-2</v>
      </c>
      <c r="AJ113" s="21">
        <f t="shared" si="43"/>
        <v>-3.1712473572938715E-2</v>
      </c>
      <c r="AK113" s="21">
        <f t="shared" si="43"/>
        <v>-0.86244541484716164</v>
      </c>
      <c r="AL113" s="21">
        <f t="shared" si="43"/>
        <v>-0.20634920634920639</v>
      </c>
      <c r="AM113" s="20">
        <f t="shared" si="43"/>
        <v>6.12</v>
      </c>
      <c r="AN113" s="20">
        <f t="shared" si="43"/>
        <v>0.15730337078651679</v>
      </c>
      <c r="AO113" s="20">
        <f t="shared" si="43"/>
        <v>0</v>
      </c>
      <c r="AP113" s="20">
        <f t="shared" si="43"/>
        <v>-1.9417475728155331E-2</v>
      </c>
      <c r="AQ113" s="22">
        <f t="shared" si="44"/>
        <v>-0.13685081274218713</v>
      </c>
      <c r="AR113" s="22">
        <f t="shared" si="44"/>
        <v>3.8203635075659825E-2</v>
      </c>
      <c r="AS113" s="22">
        <f t="shared" si="44"/>
        <v>5.3644634164240701E-2</v>
      </c>
      <c r="AT113" s="22">
        <f t="shared" si="44"/>
        <v>7.0446143601754274E-2</v>
      </c>
      <c r="AU113" s="22">
        <f t="shared" si="44"/>
        <v>7.1489092430125023E-2</v>
      </c>
      <c r="AW113" s="23"/>
      <c r="AX113" s="23"/>
      <c r="AY113" s="23"/>
      <c r="AZ113" s="23"/>
      <c r="BA113" s="23"/>
      <c r="BB113" s="23"/>
      <c r="BC113" s="23"/>
    </row>
    <row r="114" spans="2:55" x14ac:dyDescent="0.15">
      <c r="B114" s="27" t="s">
        <v>58</v>
      </c>
      <c r="C114" s="23">
        <v>135.94569999999999</v>
      </c>
      <c r="D114" s="23">
        <v>192.81190000000001</v>
      </c>
      <c r="E114" s="23">
        <v>185.30269999999999</v>
      </c>
      <c r="F114" s="23">
        <v>153</v>
      </c>
      <c r="G114" s="23">
        <v>148</v>
      </c>
      <c r="H114" s="23">
        <v>181</v>
      </c>
      <c r="I114" s="23">
        <v>224</v>
      </c>
      <c r="J114" s="23">
        <v>218</v>
      </c>
      <c r="K114" s="23">
        <v>198</v>
      </c>
      <c r="L114" s="23">
        <v>234</v>
      </c>
      <c r="M114" s="23">
        <v>204</v>
      </c>
      <c r="N114" s="23">
        <v>20</v>
      </c>
      <c r="O114" s="23">
        <v>21</v>
      </c>
      <c r="P114" s="23">
        <v>148</v>
      </c>
      <c r="Q114" s="23">
        <v>175</v>
      </c>
      <c r="R114" s="23">
        <v>178</v>
      </c>
      <c r="S114" s="23">
        <v>187</v>
      </c>
      <c r="T114" s="24">
        <v>169.76221011429726</v>
      </c>
      <c r="U114" s="24">
        <v>174.53833157209516</v>
      </c>
      <c r="V114" s="24">
        <v>180.85265993913157</v>
      </c>
      <c r="W114" s="24">
        <v>189.71573362055861</v>
      </c>
      <c r="X114" s="24">
        <v>198.62868836250195</v>
      </c>
      <c r="Z114" s="27" t="s">
        <v>58</v>
      </c>
      <c r="AA114" s="20">
        <f t="shared" si="43"/>
        <v>0.41830083628978354</v>
      </c>
      <c r="AB114" s="20">
        <f t="shared" si="43"/>
        <v>-3.8945728972122673E-2</v>
      </c>
      <c r="AC114" s="20">
        <f t="shared" si="43"/>
        <v>-0.17432395750304763</v>
      </c>
      <c r="AD114" s="20">
        <f t="shared" si="43"/>
        <v>-3.2679738562091498E-2</v>
      </c>
      <c r="AE114" s="20">
        <f t="shared" si="43"/>
        <v>0.22297297297297303</v>
      </c>
      <c r="AF114" s="20">
        <f t="shared" si="43"/>
        <v>0.23756906077348061</v>
      </c>
      <c r="AG114" s="20">
        <f t="shared" si="43"/>
        <v>-2.6785714285714302E-2</v>
      </c>
      <c r="AH114" s="21">
        <f t="shared" si="43"/>
        <v>-9.1743119266055051E-2</v>
      </c>
      <c r="AI114" s="21">
        <f t="shared" si="43"/>
        <v>0.18181818181818188</v>
      </c>
      <c r="AJ114" s="21">
        <f t="shared" si="43"/>
        <v>-0.12820512820512819</v>
      </c>
      <c r="AK114" s="21">
        <f t="shared" si="43"/>
        <v>-0.90196078431372551</v>
      </c>
      <c r="AL114" s="21">
        <f t="shared" si="43"/>
        <v>5.0000000000000044E-2</v>
      </c>
      <c r="AM114" s="20">
        <f t="shared" si="43"/>
        <v>6.0476190476190474</v>
      </c>
      <c r="AN114" s="20">
        <f t="shared" si="43"/>
        <v>0.18243243243243246</v>
      </c>
      <c r="AO114" s="20">
        <f t="shared" si="43"/>
        <v>1.7142857142857126E-2</v>
      </c>
      <c r="AP114" s="20">
        <f t="shared" si="43"/>
        <v>5.0561797752809001E-2</v>
      </c>
      <c r="AQ114" s="22">
        <f t="shared" si="44"/>
        <v>-9.2180694575950461E-2</v>
      </c>
      <c r="AR114" s="22">
        <f t="shared" si="44"/>
        <v>2.813418519105193E-2</v>
      </c>
      <c r="AS114" s="22">
        <f t="shared" si="44"/>
        <v>3.6177315952101941E-2</v>
      </c>
      <c r="AT114" s="22">
        <f t="shared" si="44"/>
        <v>4.9007151370679569E-2</v>
      </c>
      <c r="AU114" s="22">
        <f t="shared" si="44"/>
        <v>4.6980577582298455E-2</v>
      </c>
      <c r="AW114" s="23"/>
      <c r="AX114" s="23"/>
      <c r="AY114" s="23"/>
      <c r="AZ114" s="23"/>
      <c r="BA114" s="23"/>
      <c r="BB114" s="23"/>
      <c r="BC114" s="23"/>
    </row>
    <row r="115" spans="2:55" x14ac:dyDescent="0.15">
      <c r="B115" s="27" t="s">
        <v>59</v>
      </c>
      <c r="C115" s="23">
        <v>149.9162</v>
      </c>
      <c r="D115" s="23">
        <v>182.7603</v>
      </c>
      <c r="E115" s="23">
        <v>208.79130000000001</v>
      </c>
      <c r="F115" s="23">
        <v>223</v>
      </c>
      <c r="G115" s="23">
        <v>242</v>
      </c>
      <c r="H115" s="23">
        <v>261</v>
      </c>
      <c r="I115" s="23">
        <v>323</v>
      </c>
      <c r="J115" s="23">
        <v>272</v>
      </c>
      <c r="K115" s="23">
        <v>320</v>
      </c>
      <c r="L115" s="23">
        <v>288</v>
      </c>
      <c r="M115" s="23">
        <v>243</v>
      </c>
      <c r="N115" s="23">
        <v>46</v>
      </c>
      <c r="O115" s="23">
        <v>22</v>
      </c>
      <c r="P115" s="23">
        <v>181</v>
      </c>
      <c r="Q115" s="23">
        <v>139</v>
      </c>
      <c r="R115" s="23">
        <v>188</v>
      </c>
      <c r="S115" s="23">
        <v>150</v>
      </c>
      <c r="T115" s="24">
        <v>136.26191514433003</v>
      </c>
      <c r="U115" s="24">
        <v>146.39630338478108</v>
      </c>
      <c r="V115" s="24">
        <v>160.85851100202001</v>
      </c>
      <c r="W115" s="24">
        <v>177.77764654555943</v>
      </c>
      <c r="X115" s="24">
        <v>196.38337868811408</v>
      </c>
      <c r="Z115" s="27" t="s">
        <v>59</v>
      </c>
      <c r="AA115" s="20">
        <f t="shared" si="43"/>
        <v>0.21908306107011777</v>
      </c>
      <c r="AB115" s="20">
        <f t="shared" si="43"/>
        <v>0.14243246481867233</v>
      </c>
      <c r="AC115" s="20">
        <f t="shared" si="43"/>
        <v>6.8052165008791077E-2</v>
      </c>
      <c r="AD115" s="20">
        <f t="shared" si="43"/>
        <v>8.5201793721973118E-2</v>
      </c>
      <c r="AE115" s="20">
        <f t="shared" si="43"/>
        <v>7.8512396694214948E-2</v>
      </c>
      <c r="AF115" s="20">
        <f t="shared" si="43"/>
        <v>0.23754789272030652</v>
      </c>
      <c r="AG115" s="20">
        <f t="shared" si="43"/>
        <v>-0.15789473684210531</v>
      </c>
      <c r="AH115" s="21">
        <f t="shared" si="43"/>
        <v>0.17647058823529416</v>
      </c>
      <c r="AI115" s="21">
        <f t="shared" si="43"/>
        <v>-9.9999999999999978E-2</v>
      </c>
      <c r="AJ115" s="21">
        <f t="shared" si="43"/>
        <v>-0.15625</v>
      </c>
      <c r="AK115" s="21">
        <f t="shared" si="43"/>
        <v>-0.81069958847736623</v>
      </c>
      <c r="AL115" s="21">
        <f t="shared" si="43"/>
        <v>-0.52173913043478259</v>
      </c>
      <c r="AM115" s="20">
        <f t="shared" si="43"/>
        <v>7.2272727272727266</v>
      </c>
      <c r="AN115" s="20">
        <f t="shared" si="43"/>
        <v>-0.23204419889502759</v>
      </c>
      <c r="AO115" s="20">
        <f t="shared" si="43"/>
        <v>0.35251798561151082</v>
      </c>
      <c r="AP115" s="20">
        <f t="shared" si="43"/>
        <v>-0.2021276595744681</v>
      </c>
      <c r="AQ115" s="22">
        <f t="shared" si="44"/>
        <v>-9.1587232371133087E-2</v>
      </c>
      <c r="AR115" s="22">
        <f t="shared" si="44"/>
        <v>7.4374327043008392E-2</v>
      </c>
      <c r="AS115" s="22">
        <f t="shared" si="44"/>
        <v>9.8788065564928695E-2</v>
      </c>
      <c r="AT115" s="22">
        <f t="shared" si="44"/>
        <v>0.10518023223108752</v>
      </c>
      <c r="AU115" s="22">
        <f t="shared" si="44"/>
        <v>0.1046573205579393</v>
      </c>
      <c r="AW115" s="23"/>
      <c r="AX115" s="23"/>
      <c r="AY115" s="23"/>
      <c r="AZ115" s="23"/>
      <c r="BA115" s="23"/>
      <c r="BB115" s="23"/>
      <c r="BC115" s="23"/>
    </row>
    <row r="116" spans="2:55" x14ac:dyDescent="0.15">
      <c r="B116" s="27" t="s">
        <v>60</v>
      </c>
      <c r="C116" s="23">
        <v>89.969700000000003</v>
      </c>
      <c r="D116" s="23">
        <v>118.7371</v>
      </c>
      <c r="E116" s="23">
        <v>160.18770000000001</v>
      </c>
      <c r="F116" s="23">
        <v>174</v>
      </c>
      <c r="G116" s="23">
        <v>183</v>
      </c>
      <c r="H116" s="23">
        <v>214</v>
      </c>
      <c r="I116" s="23">
        <v>203</v>
      </c>
      <c r="J116" s="23">
        <v>170</v>
      </c>
      <c r="K116" s="23">
        <v>206</v>
      </c>
      <c r="L116" s="23">
        <v>189</v>
      </c>
      <c r="M116" s="23">
        <v>193</v>
      </c>
      <c r="N116" s="23">
        <v>35</v>
      </c>
      <c r="O116" s="23">
        <v>19</v>
      </c>
      <c r="P116" s="23">
        <v>107</v>
      </c>
      <c r="Q116" s="23">
        <v>130</v>
      </c>
      <c r="R116" s="23">
        <v>185</v>
      </c>
      <c r="S116" s="23">
        <v>147</v>
      </c>
      <c r="T116" s="24">
        <v>149.47295591081988</v>
      </c>
      <c r="U116" s="24">
        <v>153.92037377189459</v>
      </c>
      <c r="V116" s="24">
        <v>159.21310076829963</v>
      </c>
      <c r="W116" s="24">
        <v>165.96797695309547</v>
      </c>
      <c r="X116" s="24">
        <v>173.56000356318202</v>
      </c>
      <c r="Z116" s="27" t="s">
        <v>60</v>
      </c>
      <c r="AA116" s="20">
        <f t="shared" si="43"/>
        <v>0.3197454254043306</v>
      </c>
      <c r="AB116" s="20">
        <f t="shared" si="43"/>
        <v>0.3490956070175204</v>
      </c>
      <c r="AC116" s="20">
        <f t="shared" si="43"/>
        <v>8.6225721450523318E-2</v>
      </c>
      <c r="AD116" s="20">
        <f t="shared" si="43"/>
        <v>5.1724137931034475E-2</v>
      </c>
      <c r="AE116" s="20">
        <f t="shared" si="43"/>
        <v>0.1693989071038251</v>
      </c>
      <c r="AF116" s="20">
        <f t="shared" si="43"/>
        <v>-5.1401869158878455E-2</v>
      </c>
      <c r="AG116" s="20">
        <f t="shared" si="43"/>
        <v>-0.16256157635467983</v>
      </c>
      <c r="AH116" s="21">
        <f t="shared" si="43"/>
        <v>0.21176470588235285</v>
      </c>
      <c r="AI116" s="21">
        <f t="shared" si="43"/>
        <v>-8.2524271844660158E-2</v>
      </c>
      <c r="AJ116" s="21">
        <f t="shared" si="43"/>
        <v>2.1164021164021163E-2</v>
      </c>
      <c r="AK116" s="21">
        <f t="shared" si="43"/>
        <v>-0.81865284974093266</v>
      </c>
      <c r="AL116" s="21">
        <f t="shared" si="43"/>
        <v>-0.45714285714285718</v>
      </c>
      <c r="AM116" s="20">
        <f t="shared" si="43"/>
        <v>4.6315789473684212</v>
      </c>
      <c r="AN116" s="20">
        <f t="shared" si="43"/>
        <v>0.2149532710280373</v>
      </c>
      <c r="AO116" s="20">
        <f t="shared" si="43"/>
        <v>0.42307692307692313</v>
      </c>
      <c r="AP116" s="20">
        <f t="shared" si="43"/>
        <v>-0.20540540540540542</v>
      </c>
      <c r="AQ116" s="22">
        <f t="shared" si="44"/>
        <v>1.6822829325305211E-2</v>
      </c>
      <c r="AR116" s="22">
        <f t="shared" si="44"/>
        <v>2.9753996861667575E-2</v>
      </c>
      <c r="AS116" s="22">
        <f t="shared" si="44"/>
        <v>3.4386136589355631E-2</v>
      </c>
      <c r="AT116" s="22">
        <f t="shared" si="44"/>
        <v>4.2426635447708083E-2</v>
      </c>
      <c r="AU116" s="22">
        <f t="shared" si="44"/>
        <v>4.5743924517632317E-2</v>
      </c>
      <c r="AW116" s="23"/>
      <c r="AX116" s="23"/>
      <c r="AY116" s="23"/>
      <c r="AZ116" s="23"/>
      <c r="BA116" s="23"/>
      <c r="BB116" s="23"/>
      <c r="BC116" s="23"/>
    </row>
    <row r="117" spans="2:55" x14ac:dyDescent="0.15">
      <c r="B117" s="27" t="s">
        <v>61</v>
      </c>
      <c r="C117" s="23">
        <v>119.815</v>
      </c>
      <c r="D117" s="23">
        <v>130.95820000000001</v>
      </c>
      <c r="E117" s="23">
        <v>156.35820000000001</v>
      </c>
      <c r="F117" s="23">
        <v>89</v>
      </c>
      <c r="G117" s="23">
        <v>101</v>
      </c>
      <c r="H117" s="23">
        <v>135</v>
      </c>
      <c r="I117" s="23">
        <v>146</v>
      </c>
      <c r="J117" s="23">
        <v>161</v>
      </c>
      <c r="K117" s="23">
        <v>104</v>
      </c>
      <c r="L117" s="23">
        <v>106</v>
      </c>
      <c r="M117" s="23">
        <v>93</v>
      </c>
      <c r="N117" s="23">
        <v>9</v>
      </c>
      <c r="O117" s="23">
        <v>43</v>
      </c>
      <c r="P117" s="23">
        <v>69</v>
      </c>
      <c r="Q117" s="23">
        <v>71</v>
      </c>
      <c r="R117" s="23">
        <v>72.516044867345769</v>
      </c>
      <c r="S117" s="23">
        <v>65.668702489333342</v>
      </c>
      <c r="T117" s="24">
        <v>55.718128527673066</v>
      </c>
      <c r="U117" s="24">
        <v>62.465965076120924</v>
      </c>
      <c r="V117" s="24">
        <v>71.368712557318304</v>
      </c>
      <c r="W117" s="24">
        <v>78.10019114920344</v>
      </c>
      <c r="X117" s="24">
        <v>81.978305771208809</v>
      </c>
      <c r="Z117" s="27" t="s">
        <v>61</v>
      </c>
      <c r="AA117" s="20">
        <f t="shared" si="43"/>
        <v>9.3003380211158948E-2</v>
      </c>
      <c r="AB117" s="20">
        <f t="shared" si="43"/>
        <v>0.19395501770794032</v>
      </c>
      <c r="AC117" s="20">
        <f t="shared" si="43"/>
        <v>-0.43079416365755041</v>
      </c>
      <c r="AD117" s="20">
        <f t="shared" si="43"/>
        <v>0.13483146067415741</v>
      </c>
      <c r="AE117" s="20">
        <f t="shared" si="43"/>
        <v>0.33663366336633671</v>
      </c>
      <c r="AF117" s="20">
        <f t="shared" si="43"/>
        <v>8.1481481481481488E-2</v>
      </c>
      <c r="AG117" s="20">
        <f t="shared" si="43"/>
        <v>0.10273972602739723</v>
      </c>
      <c r="AH117" s="21">
        <f t="shared" si="43"/>
        <v>-0.35403726708074534</v>
      </c>
      <c r="AI117" s="21">
        <f t="shared" si="43"/>
        <v>1.9230769230769162E-2</v>
      </c>
      <c r="AJ117" s="21">
        <f t="shared" si="43"/>
        <v>-0.12264150943396224</v>
      </c>
      <c r="AK117" s="21">
        <f t="shared" si="43"/>
        <v>-0.90322580645161288</v>
      </c>
      <c r="AL117" s="21">
        <f t="shared" si="43"/>
        <v>3.7777777777777777</v>
      </c>
      <c r="AM117" s="20">
        <f t="shared" si="43"/>
        <v>0.60465116279069764</v>
      </c>
      <c r="AN117" s="20">
        <f t="shared" si="43"/>
        <v>2.8985507246376718E-2</v>
      </c>
      <c r="AO117" s="20">
        <f t="shared" si="43"/>
        <v>2.1352744610503738E-2</v>
      </c>
      <c r="AP117" s="20">
        <f t="shared" si="43"/>
        <v>-9.4425204663855178E-2</v>
      </c>
      <c r="AQ117" s="22">
        <f t="shared" si="44"/>
        <v>-0.15152688547906912</v>
      </c>
      <c r="AR117" s="22">
        <f t="shared" si="44"/>
        <v>0.12110666181288665</v>
      </c>
      <c r="AS117" s="22">
        <f t="shared" si="44"/>
        <v>0.14252157107231933</v>
      </c>
      <c r="AT117" s="22">
        <f t="shared" si="44"/>
        <v>9.4319742512923854E-2</v>
      </c>
      <c r="AU117" s="22">
        <f t="shared" si="44"/>
        <v>4.9655635472089621E-2</v>
      </c>
      <c r="AW117" s="23"/>
      <c r="AX117" s="23"/>
      <c r="AY117" s="23"/>
      <c r="AZ117" s="23"/>
      <c r="BA117" s="23"/>
      <c r="BB117" s="23"/>
      <c r="BC117" s="23"/>
    </row>
    <row r="118" spans="2:55" x14ac:dyDescent="0.15">
      <c r="B118" s="27" t="s">
        <v>23</v>
      </c>
      <c r="C118" s="23">
        <v>1233</v>
      </c>
      <c r="D118" s="23">
        <v>1355.97</v>
      </c>
      <c r="E118" s="23">
        <v>1475.5</v>
      </c>
      <c r="F118" s="23">
        <v>1543</v>
      </c>
      <c r="G118" s="23">
        <v>1567.3575000000001</v>
      </c>
      <c r="H118" s="23">
        <v>1625.0454999999999</v>
      </c>
      <c r="I118" s="23">
        <v>1579.4337</v>
      </c>
      <c r="J118" s="23">
        <v>1541.8207</v>
      </c>
      <c r="K118" s="23">
        <v>1657.4573</v>
      </c>
      <c r="L118" s="23">
        <v>1722.0980999999999</v>
      </c>
      <c r="M118" s="23">
        <v>1731.6585</v>
      </c>
      <c r="N118" s="23">
        <v>400.77589999999998</v>
      </c>
      <c r="O118" s="23">
        <v>310.24062419000001</v>
      </c>
      <c r="P118" s="23">
        <v>1301.7107280837256</v>
      </c>
      <c r="Q118" s="23">
        <v>1768.9094048547549</v>
      </c>
      <c r="R118" s="23">
        <v>1726.3045157088027</v>
      </c>
      <c r="S118" s="23">
        <v>1379.8341831260868</v>
      </c>
      <c r="T118" s="24">
        <v>1289.8819158844606</v>
      </c>
      <c r="U118" s="24">
        <v>1313.8913883494604</v>
      </c>
      <c r="V118" s="24">
        <v>1365.4025448701514</v>
      </c>
      <c r="W118" s="24">
        <v>1458.8590790800977</v>
      </c>
      <c r="X118" s="24">
        <v>1545.0421813813568</v>
      </c>
      <c r="Z118" s="27" t="s">
        <v>23</v>
      </c>
      <c r="AA118" s="20">
        <f t="shared" si="43"/>
        <v>9.9732360097323669E-2</v>
      </c>
      <c r="AB118" s="20">
        <f t="shared" si="43"/>
        <v>8.8150917793166528E-2</v>
      </c>
      <c r="AC118" s="20">
        <f t="shared" si="43"/>
        <v>4.574720433751267E-2</v>
      </c>
      <c r="AD118" s="20">
        <f t="shared" si="43"/>
        <v>1.5785806869734298E-2</v>
      </c>
      <c r="AE118" s="20">
        <f t="shared" si="43"/>
        <v>3.6805897824842004E-2</v>
      </c>
      <c r="AF118" s="20">
        <f t="shared" si="43"/>
        <v>-2.806801409560522E-2</v>
      </c>
      <c r="AG118" s="20">
        <f t="shared" si="43"/>
        <v>-2.3814231645177708E-2</v>
      </c>
      <c r="AH118" s="21">
        <f t="shared" si="43"/>
        <v>7.5000030807732765E-2</v>
      </c>
      <c r="AI118" s="21">
        <f t="shared" si="43"/>
        <v>3.8999979064317403E-2</v>
      </c>
      <c r="AJ118" s="21">
        <f t="shared" si="43"/>
        <v>5.5516001091924227E-3</v>
      </c>
      <c r="AK118" s="21">
        <f t="shared" si="43"/>
        <v>-0.7685595052373202</v>
      </c>
      <c r="AL118" s="21">
        <f t="shared" si="43"/>
        <v>-0.22589999999999999</v>
      </c>
      <c r="AM118" s="20">
        <f t="shared" si="43"/>
        <v>3.1958100473860629</v>
      </c>
      <c r="AN118" s="20">
        <f t="shared" si="43"/>
        <v>0.35891129011343548</v>
      </c>
      <c r="AO118" s="20">
        <f t="shared" si="43"/>
        <v>-2.408539918948005E-2</v>
      </c>
      <c r="AP118" s="20">
        <f t="shared" si="43"/>
        <v>-0.20070058870260132</v>
      </c>
      <c r="AQ118" s="22">
        <f t="shared" si="44"/>
        <v>-6.519063547029591E-2</v>
      </c>
      <c r="AR118" s="22">
        <f t="shared" si="44"/>
        <v>1.8613698020982561E-2</v>
      </c>
      <c r="AS118" s="22">
        <f t="shared" si="44"/>
        <v>3.9205033975753922E-2</v>
      </c>
      <c r="AT118" s="22">
        <f t="shared" si="44"/>
        <v>6.8446140342322215E-2</v>
      </c>
      <c r="AU118" s="22">
        <f t="shared" si="44"/>
        <v>5.9075686978349529E-2</v>
      </c>
      <c r="AW118" s="23"/>
      <c r="AX118" s="23"/>
      <c r="AY118" s="23"/>
      <c r="AZ118" s="23"/>
      <c r="BA118" s="23"/>
      <c r="BB118" s="23"/>
      <c r="BC118" s="23"/>
    </row>
    <row r="119" spans="2:55" x14ac:dyDescent="0.15">
      <c r="B119" s="27" t="s">
        <v>22</v>
      </c>
      <c r="C119" s="23">
        <v>6254</v>
      </c>
      <c r="D119" s="23">
        <v>6367.4597999999996</v>
      </c>
      <c r="E119" s="23">
        <v>6582.5150999999996</v>
      </c>
      <c r="F119" s="23">
        <v>7069.0733</v>
      </c>
      <c r="G119" s="23">
        <v>7460.8168999999998</v>
      </c>
      <c r="H119" s="23">
        <v>7614.5502999999999</v>
      </c>
      <c r="I119" s="23">
        <v>7794.5064000000002</v>
      </c>
      <c r="J119" s="23">
        <v>7918.2386999999999</v>
      </c>
      <c r="K119" s="23">
        <v>7651.6776</v>
      </c>
      <c r="L119" s="23">
        <v>7940.7479999999996</v>
      </c>
      <c r="M119" s="23">
        <v>7676.5303999999996</v>
      </c>
      <c r="N119" s="23">
        <v>2007.8325</v>
      </c>
      <c r="O119" s="23">
        <v>3718.9135056719992</v>
      </c>
      <c r="P119" s="23">
        <v>5999.6565370595745</v>
      </c>
      <c r="Q119" s="23">
        <v>6943.5303999999996</v>
      </c>
      <c r="R119" s="23">
        <v>7826.1018177054639</v>
      </c>
      <c r="S119" s="23">
        <v>8411.2546996478395</v>
      </c>
      <c r="T119" s="24">
        <v>9137.3260925844988</v>
      </c>
      <c r="U119" s="24">
        <v>9392.8568394904833</v>
      </c>
      <c r="V119" s="24">
        <v>9663.7419338463897</v>
      </c>
      <c r="W119" s="24">
        <v>9908.1521274384468</v>
      </c>
      <c r="X119" s="24">
        <v>10137.29414052937</v>
      </c>
      <c r="Z119" s="27" t="s">
        <v>22</v>
      </c>
      <c r="AA119" s="20">
        <f t="shared" si="43"/>
        <v>1.8141957147425503E-2</v>
      </c>
      <c r="AB119" s="20">
        <f t="shared" si="43"/>
        <v>3.3774111930789052E-2</v>
      </c>
      <c r="AC119" s="20">
        <f t="shared" si="43"/>
        <v>7.3916761694933442E-2</v>
      </c>
      <c r="AD119" s="20">
        <f t="shared" si="43"/>
        <v>5.5416542363480703E-2</v>
      </c>
      <c r="AE119" s="20">
        <f t="shared" si="43"/>
        <v>2.0605437991649378E-2</v>
      </c>
      <c r="AF119" s="20">
        <f t="shared" si="43"/>
        <v>2.3633188160829377E-2</v>
      </c>
      <c r="AG119" s="20">
        <f t="shared" si="43"/>
        <v>1.5874295773238511E-2</v>
      </c>
      <c r="AH119" s="21">
        <f t="shared" si="43"/>
        <v>-3.3664191002476307E-2</v>
      </c>
      <c r="AI119" s="21">
        <f t="shared" si="43"/>
        <v>3.7778695746407243E-2</v>
      </c>
      <c r="AJ119" s="21">
        <f t="shared" si="43"/>
        <v>-3.3273641223723449E-2</v>
      </c>
      <c r="AK119" s="21">
        <f t="shared" si="43"/>
        <v>-0.73844531378394596</v>
      </c>
      <c r="AL119" s="21">
        <f t="shared" si="43"/>
        <v>0.85220306259212331</v>
      </c>
      <c r="AM119" s="20">
        <f t="shared" si="43"/>
        <v>0.61328208572451048</v>
      </c>
      <c r="AN119" s="20">
        <f t="shared" si="43"/>
        <v>0.15732131616371103</v>
      </c>
      <c r="AO119" s="20">
        <f t="shared" si="43"/>
        <v>0.12710701427986315</v>
      </c>
      <c r="AP119" s="20">
        <f t="shared" si="43"/>
        <v>7.4769392933088152E-2</v>
      </c>
      <c r="AQ119" s="22">
        <f t="shared" si="44"/>
        <v>8.6321413256818635E-2</v>
      </c>
      <c r="AR119" s="22">
        <f t="shared" si="44"/>
        <v>2.7965593469774896E-2</v>
      </c>
      <c r="AS119" s="22">
        <f t="shared" si="44"/>
        <v>2.8839478657549877E-2</v>
      </c>
      <c r="AT119" s="22">
        <f t="shared" si="44"/>
        <v>2.5291465279720704E-2</v>
      </c>
      <c r="AU119" s="22">
        <f t="shared" si="44"/>
        <v>2.3126614341776541E-2</v>
      </c>
      <c r="AW119" s="23"/>
      <c r="AX119" s="23"/>
      <c r="AY119" s="23"/>
      <c r="AZ119" s="23"/>
      <c r="BA119" s="23"/>
      <c r="BB119" s="23"/>
      <c r="BC119" s="23"/>
    </row>
    <row r="120" spans="2:55" x14ac:dyDescent="0.15">
      <c r="B120" s="71" t="s">
        <v>62</v>
      </c>
      <c r="C120" s="49">
        <v>0</v>
      </c>
      <c r="D120" s="49">
        <v>0</v>
      </c>
      <c r="E120" s="49">
        <v>6203.2053999999998</v>
      </c>
      <c r="F120" s="49">
        <v>6606.0733</v>
      </c>
      <c r="G120" s="49">
        <v>6995.8168999999998</v>
      </c>
      <c r="H120" s="49">
        <v>7065.5502999999999</v>
      </c>
      <c r="I120" s="49">
        <v>7281.5064000000002</v>
      </c>
      <c r="J120" s="49">
        <v>7432.2386999999999</v>
      </c>
      <c r="K120" s="49">
        <v>7162.6776</v>
      </c>
      <c r="L120" s="49">
        <v>7361.7479999999996</v>
      </c>
      <c r="M120" s="49">
        <v>7137.5303999999996</v>
      </c>
      <c r="N120" s="49">
        <v>1755.8325</v>
      </c>
      <c r="O120" s="49">
        <v>3082.9135056719992</v>
      </c>
      <c r="P120" s="49">
        <v>5534.6565370595745</v>
      </c>
      <c r="Q120" s="23">
        <v>6387.5303999999996</v>
      </c>
      <c r="R120" s="23">
        <v>7215.1018177054639</v>
      </c>
      <c r="S120" s="49">
        <v>7705.2546996478395</v>
      </c>
      <c r="T120" s="72">
        <v>8286.6793430769321</v>
      </c>
      <c r="U120" s="72">
        <v>8475.8291425558036</v>
      </c>
      <c r="V120" s="72">
        <v>8716.7795291630937</v>
      </c>
      <c r="W120" s="72">
        <v>8946.1768956318774</v>
      </c>
      <c r="X120" s="72">
        <v>9150.3257570269107</v>
      </c>
      <c r="Z120" s="71" t="s">
        <v>62</v>
      </c>
      <c r="AA120" s="20"/>
      <c r="AB120" s="20"/>
      <c r="AC120" s="20">
        <f t="shared" si="43"/>
        <v>6.4945116922938029E-2</v>
      </c>
      <c r="AD120" s="20">
        <f t="shared" si="43"/>
        <v>5.8997771035934399E-2</v>
      </c>
      <c r="AE120" s="20">
        <f t="shared" si="43"/>
        <v>9.9678709429915635E-3</v>
      </c>
      <c r="AF120" s="20">
        <f t="shared" si="43"/>
        <v>3.0564653966160371E-2</v>
      </c>
      <c r="AG120" s="20">
        <f t="shared" si="43"/>
        <v>2.070070281061609E-2</v>
      </c>
      <c r="AH120" s="21">
        <f t="shared" si="43"/>
        <v>-3.6269166112762208E-2</v>
      </c>
      <c r="AI120" s="21">
        <f t="shared" si="43"/>
        <v>2.7792734940352393E-2</v>
      </c>
      <c r="AJ120" s="21">
        <f t="shared" si="43"/>
        <v>-3.0457114261449814E-2</v>
      </c>
      <c r="AK120" s="21">
        <f t="shared" si="43"/>
        <v>-0.7539999969737432</v>
      </c>
      <c r="AL120" s="73">
        <f t="shared" si="43"/>
        <v>0.7558129865303207</v>
      </c>
      <c r="AM120" s="74">
        <f t="shared" si="43"/>
        <v>0.7952681860444073</v>
      </c>
      <c r="AN120" s="74">
        <f t="shared" si="43"/>
        <v>0.15409698094717461</v>
      </c>
      <c r="AO120" s="74">
        <f t="shared" si="43"/>
        <v>0.12956046639018171</v>
      </c>
      <c r="AP120" s="74">
        <f t="shared" si="43"/>
        <v>6.7934298687174044E-2</v>
      </c>
      <c r="AQ120" s="75">
        <f t="shared" si="44"/>
        <v>7.5458199124250447E-2</v>
      </c>
      <c r="AR120" s="75">
        <f t="shared" si="44"/>
        <v>2.2825765502425988E-2</v>
      </c>
      <c r="AS120" s="75">
        <f t="shared" si="44"/>
        <v>2.8427942866086742E-2</v>
      </c>
      <c r="AT120" s="75">
        <f t="shared" si="44"/>
        <v>2.6316756745000447E-2</v>
      </c>
      <c r="AU120" s="75">
        <f t="shared" si="44"/>
        <v>2.2819676357474172E-2</v>
      </c>
      <c r="AW120" s="23"/>
      <c r="AX120" s="23"/>
      <c r="AY120" s="23"/>
      <c r="AZ120" s="23"/>
      <c r="BA120" s="23"/>
      <c r="BB120" s="23"/>
      <c r="BC120" s="23"/>
    </row>
    <row r="121" spans="2:55" x14ac:dyDescent="0.15">
      <c r="B121" s="71" t="s">
        <v>63</v>
      </c>
      <c r="C121" s="49">
        <v>0</v>
      </c>
      <c r="D121" s="49">
        <v>0</v>
      </c>
      <c r="E121" s="49">
        <v>379.30970000000002</v>
      </c>
      <c r="F121" s="49">
        <v>463</v>
      </c>
      <c r="G121" s="49">
        <v>465</v>
      </c>
      <c r="H121" s="49">
        <v>549</v>
      </c>
      <c r="I121" s="49">
        <v>513</v>
      </c>
      <c r="J121" s="49">
        <v>486</v>
      </c>
      <c r="K121" s="49">
        <v>489</v>
      </c>
      <c r="L121" s="49">
        <v>579</v>
      </c>
      <c r="M121" s="49">
        <v>539</v>
      </c>
      <c r="N121" s="49">
        <v>252</v>
      </c>
      <c r="O121" s="49">
        <v>636</v>
      </c>
      <c r="P121" s="49">
        <v>465</v>
      </c>
      <c r="Q121" s="23">
        <v>556</v>
      </c>
      <c r="R121" s="23">
        <v>611</v>
      </c>
      <c r="S121" s="49">
        <v>706</v>
      </c>
      <c r="T121" s="72">
        <v>850.64674950756671</v>
      </c>
      <c r="U121" s="72">
        <v>917.02769693467962</v>
      </c>
      <c r="V121" s="72">
        <v>946.96240468329597</v>
      </c>
      <c r="W121" s="72">
        <v>961.97523180656935</v>
      </c>
      <c r="X121" s="72">
        <v>986.96838350245889</v>
      </c>
      <c r="Z121" s="71" t="s">
        <v>63</v>
      </c>
      <c r="AA121" s="20"/>
      <c r="AB121" s="20"/>
      <c r="AC121" s="20">
        <f t="shared" si="43"/>
        <v>0.2206384387217093</v>
      </c>
      <c r="AD121" s="20">
        <f t="shared" si="43"/>
        <v>4.3196544276458138E-3</v>
      </c>
      <c r="AE121" s="20">
        <f t="shared" si="43"/>
        <v>0.1806451612903226</v>
      </c>
      <c r="AF121" s="20">
        <f t="shared" si="43"/>
        <v>-6.557377049180324E-2</v>
      </c>
      <c r="AG121" s="20">
        <f t="shared" si="43"/>
        <v>-5.2631578947368474E-2</v>
      </c>
      <c r="AH121" s="21">
        <f t="shared" si="43"/>
        <v>6.1728395061728669E-3</v>
      </c>
      <c r="AI121" s="21">
        <f t="shared" si="43"/>
        <v>0.18404907975460127</v>
      </c>
      <c r="AJ121" s="21">
        <f t="shared" si="43"/>
        <v>-6.9084628670120884E-2</v>
      </c>
      <c r="AK121" s="21">
        <f t="shared" si="43"/>
        <v>-0.53246753246753253</v>
      </c>
      <c r="AL121" s="73">
        <f t="shared" si="43"/>
        <v>1.5238095238095237</v>
      </c>
      <c r="AM121" s="74">
        <f t="shared" si="44"/>
        <v>-0.26886792452830188</v>
      </c>
      <c r="AN121" s="74">
        <f t="shared" si="44"/>
        <v>0.19569892473118289</v>
      </c>
      <c r="AO121" s="74">
        <f t="shared" si="44"/>
        <v>9.8920863309352569E-2</v>
      </c>
      <c r="AP121" s="74">
        <f t="shared" si="44"/>
        <v>0.15548281505728312</v>
      </c>
      <c r="AQ121" s="75">
        <f t="shared" si="44"/>
        <v>0.20488208145547682</v>
      </c>
      <c r="AR121" s="75">
        <f t="shared" si="44"/>
        <v>7.8035856206516208E-2</v>
      </c>
      <c r="AS121" s="75">
        <f t="shared" si="44"/>
        <v>3.2643188257757361E-2</v>
      </c>
      <c r="AT121" s="75">
        <f t="shared" si="44"/>
        <v>1.585366752579187E-2</v>
      </c>
      <c r="AU121" s="75">
        <f t="shared" si="44"/>
        <v>2.598107609169209E-2</v>
      </c>
      <c r="AW121" s="23"/>
      <c r="AX121" s="23"/>
      <c r="AY121" s="23"/>
      <c r="AZ121" s="23"/>
      <c r="BA121" s="23"/>
      <c r="BB121" s="23"/>
      <c r="BC121" s="23"/>
    </row>
    <row r="122" spans="2:55" x14ac:dyDescent="0.15">
      <c r="B122" s="27" t="s">
        <v>64</v>
      </c>
      <c r="C122" s="23">
        <v>1490.3717999999999</v>
      </c>
      <c r="D122" s="23">
        <v>1580.1357</v>
      </c>
      <c r="E122" s="23">
        <v>1777.9169999999999</v>
      </c>
      <c r="F122" s="23">
        <v>1679</v>
      </c>
      <c r="G122" s="23">
        <v>1943</v>
      </c>
      <c r="H122" s="23">
        <v>2081</v>
      </c>
      <c r="I122" s="23">
        <v>2356</v>
      </c>
      <c r="J122" s="23">
        <v>2490</v>
      </c>
      <c r="K122" s="23">
        <v>2509</v>
      </c>
      <c r="L122" s="23">
        <v>2698</v>
      </c>
      <c r="M122" s="23">
        <v>2562</v>
      </c>
      <c r="N122" s="23">
        <v>461</v>
      </c>
      <c r="O122" s="23">
        <v>571</v>
      </c>
      <c r="P122" s="23">
        <v>1577</v>
      </c>
      <c r="Q122" s="23">
        <v>2186</v>
      </c>
      <c r="R122" s="23">
        <v>2379.483955132655</v>
      </c>
      <c r="S122" s="23">
        <v>2226.3312975106664</v>
      </c>
      <c r="T122" s="24">
        <v>2173.0710550704825</v>
      </c>
      <c r="U122" s="24">
        <v>2153.35263310751</v>
      </c>
      <c r="V122" s="24">
        <v>2196.4420898116123</v>
      </c>
      <c r="W122" s="24">
        <v>2271.432286479484</v>
      </c>
      <c r="X122" s="24">
        <v>2353.5074180701677</v>
      </c>
      <c r="Z122" s="27" t="s">
        <v>64</v>
      </c>
      <c r="AA122" s="20">
        <f>D122/C122-1</f>
        <v>6.0229199183720494E-2</v>
      </c>
      <c r="AB122" s="20">
        <f>E122/D122-1</f>
        <v>0.12516728784749298</v>
      </c>
      <c r="AC122" s="20">
        <f t="shared" ref="AC122:AR122" si="45">F122/E122-1</f>
        <v>-5.5636455470081003E-2</v>
      </c>
      <c r="AD122" s="20">
        <f t="shared" si="45"/>
        <v>0.15723645026801658</v>
      </c>
      <c r="AE122" s="20">
        <f t="shared" si="45"/>
        <v>7.10241893978385E-2</v>
      </c>
      <c r="AF122" s="20">
        <f t="shared" si="45"/>
        <v>0.13214800576645835</v>
      </c>
      <c r="AG122" s="20">
        <f t="shared" si="45"/>
        <v>5.687606112054322E-2</v>
      </c>
      <c r="AH122" s="21">
        <f t="shared" si="45"/>
        <v>7.6305220883534641E-3</v>
      </c>
      <c r="AI122" s="21">
        <f t="shared" si="45"/>
        <v>7.5328816261458709E-2</v>
      </c>
      <c r="AJ122" s="21">
        <f t="shared" si="45"/>
        <v>-5.0407709414380997E-2</v>
      </c>
      <c r="AK122" s="21">
        <f t="shared" si="45"/>
        <v>-0.82006245120999222</v>
      </c>
      <c r="AL122" s="21">
        <f t="shared" si="45"/>
        <v>0.23861171366594358</v>
      </c>
      <c r="AM122" s="20">
        <f t="shared" si="45"/>
        <v>1.7618213660245186</v>
      </c>
      <c r="AN122" s="20">
        <f t="shared" si="45"/>
        <v>0.3861762840837033</v>
      </c>
      <c r="AO122" s="20">
        <f t="shared" si="45"/>
        <v>8.8510500975596873E-2</v>
      </c>
      <c r="AP122" s="20">
        <f t="shared" si="45"/>
        <v>-6.4363811864178055E-2</v>
      </c>
      <c r="AQ122" s="22">
        <f t="shared" si="45"/>
        <v>-2.3922873697969305E-2</v>
      </c>
      <c r="AR122" s="22">
        <f t="shared" si="45"/>
        <v>-9.0739885918423857E-3</v>
      </c>
      <c r="AS122" s="22">
        <f t="shared" ref="AS122:AU122" si="46">V122/U122-1</f>
        <v>2.0010404260597081E-2</v>
      </c>
      <c r="AT122" s="22">
        <f t="shared" si="46"/>
        <v>3.4141668025631233E-2</v>
      </c>
      <c r="AU122" s="22">
        <f t="shared" si="46"/>
        <v>3.6133646633108585E-2</v>
      </c>
      <c r="AW122" s="23"/>
      <c r="AX122" s="23"/>
      <c r="AY122" s="23"/>
      <c r="AZ122" s="23"/>
      <c r="BA122" s="23"/>
      <c r="BB122" s="23"/>
      <c r="BC122" s="23"/>
    </row>
    <row r="123" spans="2:55" ht="4" customHeight="1" x14ac:dyDescent="0.15">
      <c r="B123" s="34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6"/>
      <c r="U123" s="36"/>
      <c r="V123" s="36"/>
      <c r="W123" s="36"/>
      <c r="X123" s="36"/>
      <c r="Z123" s="34"/>
      <c r="AA123" s="76"/>
      <c r="AB123" s="76"/>
      <c r="AC123" s="76"/>
      <c r="AD123" s="76"/>
      <c r="AE123" s="76"/>
      <c r="AF123" s="76"/>
      <c r="AG123" s="76"/>
      <c r="AH123" s="77"/>
      <c r="AI123" s="77"/>
      <c r="AJ123" s="77"/>
      <c r="AK123" s="77"/>
      <c r="AL123" s="77"/>
      <c r="AM123" s="76"/>
      <c r="AN123" s="76"/>
      <c r="AO123" s="76"/>
      <c r="AP123" s="76"/>
      <c r="AQ123" s="78"/>
      <c r="AR123" s="78"/>
      <c r="AS123" s="78"/>
      <c r="AT123" s="78"/>
      <c r="AU123" s="78"/>
      <c r="AW123" s="23"/>
      <c r="AX123" s="23"/>
      <c r="AY123" s="23"/>
      <c r="AZ123" s="23"/>
      <c r="BA123" s="23"/>
      <c r="BB123" s="23"/>
      <c r="BC123" s="23"/>
    </row>
    <row r="124" spans="2:55" ht="4" customHeight="1" x14ac:dyDescent="0.15">
      <c r="B124" s="27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4"/>
      <c r="U124" s="24"/>
      <c r="V124" s="24"/>
      <c r="W124" s="24"/>
      <c r="X124" s="24"/>
      <c r="Z124" s="27"/>
      <c r="AA124" s="20"/>
      <c r="AB124" s="20"/>
      <c r="AC124" s="20"/>
      <c r="AD124" s="20"/>
      <c r="AE124" s="20"/>
      <c r="AF124" s="20"/>
      <c r="AG124" s="20"/>
      <c r="AH124" s="21"/>
      <c r="AI124" s="21"/>
      <c r="AJ124" s="21"/>
      <c r="AK124" s="21"/>
      <c r="AL124" s="21"/>
      <c r="AM124" s="20"/>
      <c r="AN124" s="20"/>
      <c r="AO124" s="20"/>
      <c r="AP124" s="20"/>
      <c r="AQ124" s="22"/>
      <c r="AR124" s="22"/>
      <c r="AS124" s="22"/>
      <c r="AT124" s="22"/>
      <c r="AU124" s="22"/>
      <c r="AW124" s="23"/>
      <c r="AX124" s="23"/>
      <c r="AY124" s="23"/>
      <c r="AZ124" s="23"/>
      <c r="BA124" s="23"/>
      <c r="BB124" s="23"/>
      <c r="BC124" s="23"/>
    </row>
    <row r="125" spans="2:55" x14ac:dyDescent="0.15">
      <c r="B125" s="79" t="s">
        <v>6</v>
      </c>
      <c r="C125" s="23">
        <v>3403.9844584659704</v>
      </c>
      <c r="D125" s="23">
        <v>3573.1800767188579</v>
      </c>
      <c r="E125" s="23">
        <v>4060.4789999999998</v>
      </c>
      <c r="F125" s="23">
        <v>3640.9061784</v>
      </c>
      <c r="G125" s="23">
        <v>3787.3355071999999</v>
      </c>
      <c r="H125" s="23">
        <v>3488.5887137999998</v>
      </c>
      <c r="I125" s="23">
        <v>3761.6791813999998</v>
      </c>
      <c r="J125" s="23">
        <v>3740.1124739999996</v>
      </c>
      <c r="K125" s="23">
        <v>3916.8942176000005</v>
      </c>
      <c r="L125" s="23">
        <v>3821.1276809999995</v>
      </c>
      <c r="M125" s="23">
        <v>3613.6381022999999</v>
      </c>
      <c r="N125" s="23">
        <v>827.33745640000006</v>
      </c>
      <c r="O125" s="23">
        <v>627.22080384316394</v>
      </c>
      <c r="P125" s="23">
        <v>1716.4296207109219</v>
      </c>
      <c r="Q125" s="23">
        <v>2463.1072110266127</v>
      </c>
      <c r="R125" s="23">
        <v>3468.4453300169957</v>
      </c>
      <c r="S125" s="23">
        <v>3479.9435520363495</v>
      </c>
      <c r="T125" s="24">
        <v>3633.4770123233307</v>
      </c>
      <c r="U125" s="24">
        <v>3703.6669153280109</v>
      </c>
      <c r="V125" s="24">
        <v>3809.2344626401969</v>
      </c>
      <c r="W125" s="24">
        <v>3986.5641640508611</v>
      </c>
      <c r="X125" s="24">
        <v>4140.7799932158023</v>
      </c>
      <c r="Z125" s="79" t="s">
        <v>6</v>
      </c>
      <c r="AA125" s="20">
        <f t="shared" ref="AA125:AP126" si="47">D125/C125-1</f>
        <v>4.9705167669636285E-2</v>
      </c>
      <c r="AB125" s="20">
        <f t="shared" si="47"/>
        <v>0.13637681639840937</v>
      </c>
      <c r="AC125" s="20">
        <f t="shared" si="47"/>
        <v>-0.10333086850098228</v>
      </c>
      <c r="AD125" s="20">
        <f t="shared" si="47"/>
        <v>4.0217825350377101E-2</v>
      </c>
      <c r="AE125" s="20">
        <f t="shared" si="47"/>
        <v>-7.8880466975281394E-2</v>
      </c>
      <c r="AF125" s="20">
        <f t="shared" si="47"/>
        <v>7.8281072950709518E-2</v>
      </c>
      <c r="AG125" s="20">
        <f t="shared" si="47"/>
        <v>-5.733266012327376E-3</v>
      </c>
      <c r="AH125" s="21">
        <f t="shared" si="47"/>
        <v>4.7266424426786191E-2</v>
      </c>
      <c r="AI125" s="21">
        <f t="shared" si="47"/>
        <v>-2.4449610145121592E-2</v>
      </c>
      <c r="AJ125" s="21">
        <f t="shared" si="47"/>
        <v>-5.4300613855881141E-2</v>
      </c>
      <c r="AK125" s="21">
        <f t="shared" si="47"/>
        <v>-0.77105138008329654</v>
      </c>
      <c r="AL125" s="21">
        <f t="shared" si="47"/>
        <v>-0.24188032465930565</v>
      </c>
      <c r="AM125" s="20">
        <f t="shared" si="47"/>
        <v>1.7365635996029778</v>
      </c>
      <c r="AN125" s="20">
        <f t="shared" si="47"/>
        <v>0.43501788905648642</v>
      </c>
      <c r="AO125" s="20">
        <f t="shared" si="47"/>
        <v>0.40815848960604617</v>
      </c>
      <c r="AP125" s="20">
        <f t="shared" si="47"/>
        <v>3.3150939182591266E-3</v>
      </c>
      <c r="AQ125" s="22">
        <f t="shared" ref="AK125:AU126" si="48">T125/S125-1</f>
        <v>4.4119526075972804E-2</v>
      </c>
      <c r="AR125" s="22">
        <f t="shared" si="48"/>
        <v>1.9317558021317849E-2</v>
      </c>
      <c r="AS125" s="22">
        <f t="shared" si="48"/>
        <v>2.8503520895813761E-2</v>
      </c>
      <c r="AT125" s="22">
        <f t="shared" si="48"/>
        <v>4.6552582454521874E-2</v>
      </c>
      <c r="AU125" s="22">
        <f t="shared" si="48"/>
        <v>3.8683894907698635E-2</v>
      </c>
      <c r="AW125" s="23"/>
      <c r="AX125" s="23"/>
      <c r="AY125" s="23"/>
      <c r="AZ125" s="23"/>
      <c r="BA125" s="23"/>
      <c r="BB125" s="23"/>
      <c r="BC125" s="23"/>
    </row>
    <row r="126" spans="2:55" x14ac:dyDescent="0.15">
      <c r="B126" s="79" t="s">
        <v>7</v>
      </c>
      <c r="C126" s="23">
        <v>8752.5681351328731</v>
      </c>
      <c r="D126" s="23">
        <v>9722.5715873760782</v>
      </c>
      <c r="E126" s="23">
        <v>10142</v>
      </c>
      <c r="F126" s="23">
        <v>11040.1671216</v>
      </c>
      <c r="G126" s="23">
        <v>12125.8388928</v>
      </c>
      <c r="H126" s="23">
        <v>13045.007086199999</v>
      </c>
      <c r="I126" s="23">
        <v>13816.260918600001</v>
      </c>
      <c r="J126" s="23">
        <v>14069.946925999999</v>
      </c>
      <c r="K126" s="23">
        <v>13569.240682400001</v>
      </c>
      <c r="L126" s="23">
        <v>14374.718418999999</v>
      </c>
      <c r="M126" s="23">
        <v>13843.550797700002</v>
      </c>
      <c r="N126" s="23">
        <v>2916.2709436</v>
      </c>
      <c r="O126" s="23">
        <v>4513.9333260188359</v>
      </c>
      <c r="P126" s="23">
        <v>10039.937644432379</v>
      </c>
      <c r="Q126" s="23">
        <v>12531.332593828143</v>
      </c>
      <c r="R126" s="23">
        <v>13047.961003397271</v>
      </c>
      <c r="S126" s="23">
        <v>12927.145330737576</v>
      </c>
      <c r="T126" s="24">
        <v>13161.583643135762</v>
      </c>
      <c r="U126" s="24">
        <v>13588.757543401762</v>
      </c>
      <c r="V126" s="24">
        <v>14155.734669307738</v>
      </c>
      <c r="W126" s="24">
        <v>14777.193160056806</v>
      </c>
      <c r="X126" s="24">
        <v>15407.477319228543</v>
      </c>
      <c r="Z126" s="79" t="s">
        <v>7</v>
      </c>
      <c r="AA126" s="20">
        <f t="shared" si="47"/>
        <v>0.11082501013041002</v>
      </c>
      <c r="AB126" s="20">
        <f t="shared" si="47"/>
        <v>4.3139657944870624E-2</v>
      </c>
      <c r="AC126" s="20">
        <f t="shared" si="47"/>
        <v>8.8559171918753732E-2</v>
      </c>
      <c r="AD126" s="20">
        <f t="shared" si="47"/>
        <v>9.8338345719050979E-2</v>
      </c>
      <c r="AE126" s="20">
        <f t="shared" si="47"/>
        <v>7.580244150743054E-2</v>
      </c>
      <c r="AF126" s="20">
        <f t="shared" si="47"/>
        <v>5.9122530735601808E-2</v>
      </c>
      <c r="AG126" s="20">
        <f t="shared" si="47"/>
        <v>1.8361408263394496E-2</v>
      </c>
      <c r="AH126" s="21">
        <f t="shared" si="47"/>
        <v>-3.5586931936092636E-2</v>
      </c>
      <c r="AI126" s="21">
        <f t="shared" si="47"/>
        <v>5.9360560804610385E-2</v>
      </c>
      <c r="AJ126" s="21">
        <f t="shared" si="47"/>
        <v>-3.6951514862226364E-2</v>
      </c>
      <c r="AK126" s="21">
        <f t="shared" si="48"/>
        <v>-0.78934082835998143</v>
      </c>
      <c r="AL126" s="21">
        <f t="shared" si="48"/>
        <v>0.54784428927121454</v>
      </c>
      <c r="AM126" s="20">
        <f t="shared" si="48"/>
        <v>1.224210443375628</v>
      </c>
      <c r="AN126" s="20">
        <f t="shared" si="48"/>
        <v>0.24814844848935502</v>
      </c>
      <c r="AO126" s="20">
        <f t="shared" si="48"/>
        <v>4.1226933025748203E-2</v>
      </c>
      <c r="AP126" s="20">
        <f t="shared" si="48"/>
        <v>-9.2593526780344604E-3</v>
      </c>
      <c r="AQ126" s="22">
        <f t="shared" si="48"/>
        <v>1.8135350566590214E-2</v>
      </c>
      <c r="AR126" s="22">
        <f t="shared" si="48"/>
        <v>3.2456117124536554E-2</v>
      </c>
      <c r="AS126" s="22">
        <f t="shared" si="48"/>
        <v>4.1723985735640845E-2</v>
      </c>
      <c r="AT126" s="22">
        <f t="shared" si="48"/>
        <v>4.3901535686205362E-2</v>
      </c>
      <c r="AU126" s="22">
        <f t="shared" si="48"/>
        <v>4.2652495121699774E-2</v>
      </c>
      <c r="AW126" s="23"/>
      <c r="AX126" s="23"/>
      <c r="AY126" s="23"/>
      <c r="AZ126" s="23"/>
      <c r="BA126" s="23"/>
      <c r="BB126" s="23"/>
      <c r="BC126" s="23"/>
    </row>
    <row r="127" spans="2:55" ht="4" customHeight="1" x14ac:dyDescent="0.15"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1"/>
      <c r="U127" s="51"/>
      <c r="V127" s="51"/>
      <c r="W127" s="51"/>
      <c r="X127" s="51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1"/>
      <c r="AR127" s="51"/>
      <c r="AS127" s="51"/>
      <c r="AT127" s="51"/>
      <c r="AU127" s="51"/>
    </row>
    <row r="128" spans="2:55" x14ac:dyDescent="0.15">
      <c r="B128" s="52" t="s">
        <v>65</v>
      </c>
      <c r="C128" s="52"/>
      <c r="D128" s="52"/>
      <c r="E128" s="53"/>
      <c r="Z128" s="131" t="s">
        <v>65</v>
      </c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</row>
    <row r="129" spans="2:87" x14ac:dyDescent="0.15">
      <c r="B129" s="53"/>
      <c r="C129" s="53"/>
      <c r="D129" s="53"/>
      <c r="E129" s="53"/>
      <c r="M129" s="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</row>
    <row r="131" spans="2:87" ht="15.5" customHeight="1" x14ac:dyDescent="0.2">
      <c r="B131" s="8" t="s">
        <v>66</v>
      </c>
      <c r="Z131" s="4" t="s">
        <v>67</v>
      </c>
    </row>
    <row r="132" spans="2:87" ht="15.5" customHeight="1" x14ac:dyDescent="0.2">
      <c r="C132" s="8"/>
      <c r="D132" s="8"/>
      <c r="E132" s="8"/>
      <c r="F132" s="82"/>
      <c r="G132" s="82"/>
      <c r="H132" s="82"/>
      <c r="I132" s="82"/>
      <c r="J132" s="82"/>
      <c r="K132" s="82"/>
      <c r="L132" s="82"/>
      <c r="M132" s="8"/>
      <c r="N132" s="8"/>
      <c r="O132" s="83"/>
      <c r="R132" s="6"/>
      <c r="S132" s="7"/>
      <c r="T132" s="7" t="s">
        <v>4</v>
      </c>
      <c r="AO132" s="6"/>
      <c r="AP132" s="7"/>
      <c r="AQ132" s="7" t="s">
        <v>4</v>
      </c>
    </row>
    <row r="133" spans="2:87" ht="4" customHeight="1" x14ac:dyDescent="0.2">
      <c r="B133" s="4"/>
      <c r="Z133" s="4"/>
    </row>
    <row r="134" spans="2:87" x14ac:dyDescent="0.15">
      <c r="C134" s="9">
        <v>2009</v>
      </c>
      <c r="D134" s="9">
        <f>C134+1</f>
        <v>2010</v>
      </c>
      <c r="E134" s="9">
        <f t="shared" ref="E134:W134" si="49">D134+1</f>
        <v>2011</v>
      </c>
      <c r="F134" s="9">
        <f t="shared" si="49"/>
        <v>2012</v>
      </c>
      <c r="G134" s="9">
        <f t="shared" si="49"/>
        <v>2013</v>
      </c>
      <c r="H134" s="9">
        <f t="shared" si="49"/>
        <v>2014</v>
      </c>
      <c r="I134" s="9">
        <f t="shared" si="49"/>
        <v>2015</v>
      </c>
      <c r="J134" s="9">
        <f t="shared" si="49"/>
        <v>2016</v>
      </c>
      <c r="K134" s="9">
        <f t="shared" si="49"/>
        <v>2017</v>
      </c>
      <c r="L134" s="9">
        <f t="shared" si="49"/>
        <v>2018</v>
      </c>
      <c r="M134" s="9">
        <f t="shared" si="49"/>
        <v>2019</v>
      </c>
      <c r="N134" s="9">
        <f t="shared" si="49"/>
        <v>2020</v>
      </c>
      <c r="O134" s="9">
        <f t="shared" si="49"/>
        <v>2021</v>
      </c>
      <c r="P134" s="9">
        <f t="shared" si="49"/>
        <v>2022</v>
      </c>
      <c r="Q134" s="9">
        <f t="shared" si="49"/>
        <v>2023</v>
      </c>
      <c r="R134" s="9">
        <f t="shared" si="49"/>
        <v>2024</v>
      </c>
      <c r="S134" s="9">
        <f t="shared" si="49"/>
        <v>2025</v>
      </c>
      <c r="T134" s="10">
        <f t="shared" si="49"/>
        <v>2026</v>
      </c>
      <c r="U134" s="10">
        <f t="shared" si="49"/>
        <v>2027</v>
      </c>
      <c r="V134" s="10">
        <f t="shared" si="49"/>
        <v>2028</v>
      </c>
      <c r="W134" s="10">
        <f t="shared" si="49"/>
        <v>2029</v>
      </c>
      <c r="X134" s="10">
        <v>2030</v>
      </c>
      <c r="AA134" s="9">
        <v>2010</v>
      </c>
      <c r="AB134" s="9">
        <f t="shared" ref="AB134:AT134" si="50">AA134+1</f>
        <v>2011</v>
      </c>
      <c r="AC134" s="9">
        <f t="shared" si="50"/>
        <v>2012</v>
      </c>
      <c r="AD134" s="9">
        <f t="shared" si="50"/>
        <v>2013</v>
      </c>
      <c r="AE134" s="9">
        <f t="shared" si="50"/>
        <v>2014</v>
      </c>
      <c r="AF134" s="9">
        <f t="shared" si="50"/>
        <v>2015</v>
      </c>
      <c r="AG134" s="9">
        <f t="shared" si="50"/>
        <v>2016</v>
      </c>
      <c r="AH134" s="9">
        <f t="shared" si="50"/>
        <v>2017</v>
      </c>
      <c r="AI134" s="9">
        <f t="shared" si="50"/>
        <v>2018</v>
      </c>
      <c r="AJ134" s="9">
        <f t="shared" si="50"/>
        <v>2019</v>
      </c>
      <c r="AK134" s="9">
        <f t="shared" si="50"/>
        <v>2020</v>
      </c>
      <c r="AL134" s="9">
        <f t="shared" si="50"/>
        <v>2021</v>
      </c>
      <c r="AM134" s="9">
        <f t="shared" si="50"/>
        <v>2022</v>
      </c>
      <c r="AN134" s="9">
        <f t="shared" si="50"/>
        <v>2023</v>
      </c>
      <c r="AO134" s="9">
        <f t="shared" si="50"/>
        <v>2024</v>
      </c>
      <c r="AP134" s="9">
        <f t="shared" si="50"/>
        <v>2025</v>
      </c>
      <c r="AQ134" s="10">
        <f t="shared" si="50"/>
        <v>2026</v>
      </c>
      <c r="AR134" s="10">
        <f t="shared" si="50"/>
        <v>2027</v>
      </c>
      <c r="AS134" s="10">
        <f t="shared" si="50"/>
        <v>2028</v>
      </c>
      <c r="AT134" s="10">
        <f t="shared" si="50"/>
        <v>2029</v>
      </c>
      <c r="AU134" s="10">
        <v>2030</v>
      </c>
    </row>
    <row r="135" spans="2:87" ht="4" customHeight="1" x14ac:dyDescent="0.15">
      <c r="T135" s="11"/>
      <c r="U135" s="11"/>
      <c r="V135" s="11"/>
      <c r="W135" s="11"/>
      <c r="X135" s="11"/>
      <c r="AM135" s="11"/>
      <c r="AN135" s="11"/>
      <c r="AO135" s="11"/>
      <c r="AQ135" s="11"/>
      <c r="AR135" s="11"/>
      <c r="AS135" s="11"/>
      <c r="AT135" s="11"/>
      <c r="AU135" s="11"/>
    </row>
    <row r="136" spans="2:87" x14ac:dyDescent="0.15">
      <c r="B136" s="12" t="s">
        <v>9</v>
      </c>
      <c r="C136" s="69"/>
      <c r="D136" s="69"/>
      <c r="E136" s="84"/>
      <c r="F136" s="85">
        <v>19.273774155965711</v>
      </c>
      <c r="G136" s="85">
        <v>21.954347128322198</v>
      </c>
      <c r="H136" s="85">
        <v>23.208547872690851</v>
      </c>
      <c r="I136" s="85">
        <v>25.555198840576544</v>
      </c>
      <c r="J136" s="85">
        <v>26.436199949063152</v>
      </c>
      <c r="K136" s="85">
        <v>26.945411053769643</v>
      </c>
      <c r="L136" s="85">
        <v>28.574089233505322</v>
      </c>
      <c r="M136" s="85">
        <v>28.136815999999996</v>
      </c>
      <c r="N136" s="85">
        <v>5.299958842175247</v>
      </c>
      <c r="O136" s="85">
        <v>5.1738518324297704</v>
      </c>
      <c r="P136" s="85">
        <v>17.585996949775105</v>
      </c>
      <c r="Q136" s="85">
        <v>22.548739418977213</v>
      </c>
      <c r="R136" s="85">
        <v>26.035311849565957</v>
      </c>
      <c r="S136" s="85">
        <v>25.414717339367012</v>
      </c>
      <c r="T136" s="86">
        <v>26.005466949564415</v>
      </c>
      <c r="U136" s="86">
        <v>27.284209362098025</v>
      </c>
      <c r="V136" s="86">
        <v>28.850495341337567</v>
      </c>
      <c r="W136" s="86">
        <v>30.826288289848133</v>
      </c>
      <c r="X136" s="86">
        <v>32.831437905346952</v>
      </c>
      <c r="Z136" s="12" t="s">
        <v>9</v>
      </c>
      <c r="AA136" s="15"/>
      <c r="AB136" s="15"/>
      <c r="AC136" s="15"/>
      <c r="AD136" s="15">
        <f t="shared" ref="AD136:AU136" si="51">G136/F136-1</f>
        <v>0.13907877879365849</v>
      </c>
      <c r="AE136" s="15">
        <f t="shared" si="51"/>
        <v>5.7127672120601103E-2</v>
      </c>
      <c r="AF136" s="15">
        <f t="shared" si="51"/>
        <v>0.10111149481467407</v>
      </c>
      <c r="AG136" s="15">
        <f t="shared" si="51"/>
        <v>3.4474437627452614E-2</v>
      </c>
      <c r="AH136" s="16">
        <f t="shared" si="51"/>
        <v>1.9261887324488081E-2</v>
      </c>
      <c r="AI136" s="16">
        <f t="shared" si="51"/>
        <v>6.0443619749783961E-2</v>
      </c>
      <c r="AJ136" s="16">
        <f t="shared" si="51"/>
        <v>-1.5303138095914881E-2</v>
      </c>
      <c r="AK136" s="16">
        <f t="shared" si="51"/>
        <v>-0.8116361552005299</v>
      </c>
      <c r="AL136" s="16">
        <f t="shared" si="51"/>
        <v>-2.3793960198702058E-2</v>
      </c>
      <c r="AM136" s="15">
        <f t="shared" si="51"/>
        <v>2.3990144131198052</v>
      </c>
      <c r="AN136" s="15">
        <f t="shared" si="51"/>
        <v>0.28219852894183362</v>
      </c>
      <c r="AO136" s="15">
        <f t="shared" si="51"/>
        <v>0.15462382911101513</v>
      </c>
      <c r="AP136" s="15">
        <f t="shared" si="51"/>
        <v>-2.3836645928606015E-2</v>
      </c>
      <c r="AQ136" s="17">
        <f t="shared" si="51"/>
        <v>2.3244390339228316E-2</v>
      </c>
      <c r="AR136" s="17">
        <f t="shared" si="51"/>
        <v>4.9172061205962292E-2</v>
      </c>
      <c r="AS136" s="17">
        <f t="shared" si="51"/>
        <v>5.7406317275051855E-2</v>
      </c>
      <c r="AT136" s="17">
        <f t="shared" si="51"/>
        <v>6.8483848375372913E-2</v>
      </c>
      <c r="AU136" s="17">
        <f t="shared" si="51"/>
        <v>6.5046741814815512E-2</v>
      </c>
    </row>
    <row r="137" spans="2:87" ht="4" customHeight="1" x14ac:dyDescent="0.15">
      <c r="C137" s="23"/>
      <c r="D137" s="23"/>
      <c r="E137" s="87"/>
      <c r="F137" s="87"/>
      <c r="G137" s="87"/>
      <c r="H137" s="87"/>
      <c r="I137" s="87"/>
      <c r="J137" s="87"/>
      <c r="K137" s="87"/>
      <c r="L137" s="87"/>
      <c r="M137" s="88"/>
      <c r="N137" s="88"/>
      <c r="O137" s="88"/>
      <c r="P137" s="88"/>
      <c r="Q137" s="87"/>
      <c r="R137" s="87"/>
      <c r="S137" s="87"/>
      <c r="T137" s="89"/>
      <c r="U137" s="89"/>
      <c r="V137" s="89"/>
      <c r="W137" s="89"/>
      <c r="X137" s="89"/>
      <c r="AA137" s="23"/>
      <c r="AB137" s="23"/>
      <c r="AC137" s="23"/>
      <c r="AD137" s="23"/>
      <c r="AE137" s="23"/>
      <c r="AF137" s="23"/>
      <c r="AG137" s="23"/>
      <c r="AH137" s="25"/>
      <c r="AI137" s="25"/>
      <c r="AJ137" s="25"/>
      <c r="AK137" s="25"/>
      <c r="AL137" s="21"/>
      <c r="AM137" s="20"/>
      <c r="AN137" s="20"/>
      <c r="AO137" s="20"/>
      <c r="AP137" s="20"/>
      <c r="AQ137" s="22"/>
      <c r="AR137" s="22"/>
      <c r="AS137" s="22"/>
      <c r="AT137" s="22"/>
      <c r="AU137" s="22"/>
    </row>
    <row r="138" spans="2:87" x14ac:dyDescent="0.15">
      <c r="B138" s="27" t="s">
        <v>50</v>
      </c>
      <c r="C138" s="23"/>
      <c r="D138" s="23"/>
      <c r="E138" s="87"/>
      <c r="F138" s="88">
        <v>1.9401891186982798</v>
      </c>
      <c r="G138" s="88">
        <v>2.4410825304900605</v>
      </c>
      <c r="H138" s="88">
        <v>2.8408318194859943</v>
      </c>
      <c r="I138" s="88">
        <v>2.8538141891830842</v>
      </c>
      <c r="J138" s="88">
        <v>3.2912061683313034</v>
      </c>
      <c r="K138" s="88">
        <v>3.097159812038754</v>
      </c>
      <c r="L138" s="88">
        <v>3.0201992191911864</v>
      </c>
      <c r="M138" s="88">
        <v>2.6930253530120156</v>
      </c>
      <c r="N138" s="88">
        <v>0.45238248365378159</v>
      </c>
      <c r="O138" s="88">
        <v>0.11814906591164698</v>
      </c>
      <c r="P138" s="88">
        <v>0.45926238291396626</v>
      </c>
      <c r="Q138" s="88">
        <v>1.4241051073279052</v>
      </c>
      <c r="R138" s="88">
        <v>1.9779324679741852</v>
      </c>
      <c r="S138" s="88">
        <v>1.8538121484482331</v>
      </c>
      <c r="T138" s="90">
        <v>2.0408414784770876</v>
      </c>
      <c r="U138" s="90">
        <v>2.2365282001205999</v>
      </c>
      <c r="V138" s="90">
        <v>2.461156887290326</v>
      </c>
      <c r="W138" s="90">
        <v>2.7048946466596573</v>
      </c>
      <c r="X138" s="90">
        <v>2.9803381308249999</v>
      </c>
      <c r="Z138" s="27" t="s">
        <v>50</v>
      </c>
      <c r="AA138" s="20"/>
      <c r="AB138" s="20"/>
      <c r="AC138" s="20"/>
      <c r="AD138" s="20">
        <f t="shared" ref="AD138:AS153" si="52">G138/F138-1</f>
        <v>0.2581673131575144</v>
      </c>
      <c r="AE138" s="20">
        <f t="shared" si="52"/>
        <v>0.16375902248404595</v>
      </c>
      <c r="AF138" s="20">
        <f t="shared" si="52"/>
        <v>4.5699184330592058E-3</v>
      </c>
      <c r="AG138" s="20">
        <f t="shared" si="52"/>
        <v>0.15326575248174246</v>
      </c>
      <c r="AH138" s="21">
        <f t="shared" si="52"/>
        <v>-5.8959040050333367E-2</v>
      </c>
      <c r="AI138" s="21">
        <f t="shared" si="52"/>
        <v>-2.4848763873410507E-2</v>
      </c>
      <c r="AJ138" s="21">
        <f t="shared" si="52"/>
        <v>-0.10832857120822259</v>
      </c>
      <c r="AK138" s="21">
        <f t="shared" si="52"/>
        <v>-0.83201699785417382</v>
      </c>
      <c r="AL138" s="21">
        <f t="shared" si="52"/>
        <v>-0.73882926465811372</v>
      </c>
      <c r="AM138" s="20">
        <f t="shared" si="52"/>
        <v>2.8871435789209468</v>
      </c>
      <c r="AN138" s="20">
        <f t="shared" si="52"/>
        <v>2.1008529335499335</v>
      </c>
      <c r="AO138" s="20">
        <f t="shared" si="52"/>
        <v>0.38889500346322348</v>
      </c>
      <c r="AP138" s="20">
        <f t="shared" si="52"/>
        <v>-6.2752556791323189E-2</v>
      </c>
      <c r="AQ138" s="22">
        <f t="shared" si="52"/>
        <v>0.10088904109589025</v>
      </c>
      <c r="AR138" s="22">
        <f t="shared" si="52"/>
        <v>9.5885311871227286E-2</v>
      </c>
      <c r="AS138" s="22">
        <f t="shared" si="52"/>
        <v>0.10043633125556539</v>
      </c>
      <c r="AT138" s="22">
        <f t="shared" ref="AT138:AU154" si="53">W138/V138-1</f>
        <v>9.9033816425120547E-2</v>
      </c>
      <c r="AU138" s="22">
        <f t="shared" si="53"/>
        <v>0.10183150183150191</v>
      </c>
      <c r="AW138" s="44"/>
      <c r="AX138" s="44"/>
      <c r="CG138" s="44"/>
      <c r="CH138" s="44"/>
      <c r="CI138" s="44"/>
    </row>
    <row r="139" spans="2:87" x14ac:dyDescent="0.15">
      <c r="B139" s="27" t="s">
        <v>51</v>
      </c>
      <c r="C139" s="23"/>
      <c r="D139" s="23"/>
      <c r="E139" s="87"/>
      <c r="F139" s="88">
        <v>0.43391409452552826</v>
      </c>
      <c r="G139" s="88">
        <v>0.53838734718206838</v>
      </c>
      <c r="H139" s="88">
        <v>0.5577874084282296</v>
      </c>
      <c r="I139" s="88">
        <v>0.79266917016925775</v>
      </c>
      <c r="J139" s="88">
        <v>0.82443935166670579</v>
      </c>
      <c r="K139" s="88">
        <v>0.9665271601269223</v>
      </c>
      <c r="L139" s="88">
        <v>1.2104610992795324</v>
      </c>
      <c r="M139" s="88">
        <v>1.3212902401779729</v>
      </c>
      <c r="N139" s="88">
        <v>0.2954625835724447</v>
      </c>
      <c r="O139" s="88">
        <v>0.24045159450261908</v>
      </c>
      <c r="P139" s="88">
        <v>0.86029226760840105</v>
      </c>
      <c r="Q139" s="88">
        <v>1.2054998167590056</v>
      </c>
      <c r="R139" s="88">
        <v>1.5436450695262471</v>
      </c>
      <c r="S139" s="88">
        <v>1.7258234712243421</v>
      </c>
      <c r="T139" s="90">
        <v>1.6597390100768878</v>
      </c>
      <c r="U139" s="90">
        <v>1.7460454386008859</v>
      </c>
      <c r="V139" s="90">
        <v>1.8411577784167477</v>
      </c>
      <c r="W139" s="90">
        <v>1.9530545849860295</v>
      </c>
      <c r="X139" s="90">
        <v>2.0550229703645</v>
      </c>
      <c r="Z139" s="27" t="s">
        <v>51</v>
      </c>
      <c r="AA139" s="20"/>
      <c r="AB139" s="20"/>
      <c r="AC139" s="20"/>
      <c r="AD139" s="20">
        <f t="shared" si="52"/>
        <v>0.24076943794780026</v>
      </c>
      <c r="AE139" s="20">
        <f t="shared" si="52"/>
        <v>3.6033650024841046E-2</v>
      </c>
      <c r="AF139" s="20">
        <f t="shared" si="52"/>
        <v>0.42109548941395714</v>
      </c>
      <c r="AG139" s="20">
        <f t="shared" si="52"/>
        <v>4.0080001459706249E-2</v>
      </c>
      <c r="AH139" s="21">
        <f t="shared" si="52"/>
        <v>0.17234476759626838</v>
      </c>
      <c r="AI139" s="21">
        <f t="shared" si="52"/>
        <v>0.25238187731897477</v>
      </c>
      <c r="AJ139" s="21">
        <f t="shared" si="52"/>
        <v>9.1559440418536475E-2</v>
      </c>
      <c r="AK139" s="21">
        <f t="shared" si="52"/>
        <v>-0.7763832846198524</v>
      </c>
      <c r="AL139" s="21">
        <f t="shared" si="52"/>
        <v>-0.18618597456465225</v>
      </c>
      <c r="AM139" s="20">
        <f t="shared" si="52"/>
        <v>2.5778189343594913</v>
      </c>
      <c r="AN139" s="20">
        <f t="shared" si="52"/>
        <v>0.40126775765435641</v>
      </c>
      <c r="AO139" s="20">
        <f t="shared" si="52"/>
        <v>0.28050211876128461</v>
      </c>
      <c r="AP139" s="20">
        <f t="shared" si="52"/>
        <v>0.11801832253706257</v>
      </c>
      <c r="AQ139" s="22">
        <f t="shared" si="52"/>
        <v>-3.8291553133515066E-2</v>
      </c>
      <c r="AR139" s="22">
        <f t="shared" si="52"/>
        <v>5.1999999999999824E-2</v>
      </c>
      <c r="AS139" s="22">
        <f t="shared" si="52"/>
        <v>5.447300380228115E-2</v>
      </c>
      <c r="AT139" s="22">
        <f t="shared" si="53"/>
        <v>6.0775240384615126E-2</v>
      </c>
      <c r="AU139" s="22">
        <f t="shared" si="53"/>
        <v>5.2209695603156803E-2</v>
      </c>
      <c r="AW139" s="44"/>
      <c r="AX139" s="44"/>
      <c r="CG139" s="44"/>
      <c r="CH139" s="44"/>
      <c r="CI139" s="44"/>
    </row>
    <row r="140" spans="2:87" x14ac:dyDescent="0.15">
      <c r="B140" s="27" t="s">
        <v>52</v>
      </c>
      <c r="C140" s="23"/>
      <c r="D140" s="23"/>
      <c r="E140" s="87"/>
      <c r="F140" s="88">
        <v>1.1787782044748445</v>
      </c>
      <c r="G140" s="88">
        <v>1.2335835225995431</v>
      </c>
      <c r="H140" s="88">
        <v>1.3573375969718922</v>
      </c>
      <c r="I140" s="88">
        <v>1.5693765623528828</v>
      </c>
      <c r="J140" s="88">
        <v>1.3788985082688023</v>
      </c>
      <c r="K140" s="88">
        <v>1.3749613764476156</v>
      </c>
      <c r="L140" s="88">
        <v>1.40013683052463</v>
      </c>
      <c r="M140" s="88">
        <v>1.3783334371876492</v>
      </c>
      <c r="N140" s="88">
        <v>0.26810487540787586</v>
      </c>
      <c r="O140" s="88">
        <v>7.1734000708579368E-2</v>
      </c>
      <c r="P140" s="88">
        <v>0.36725374836039487</v>
      </c>
      <c r="Q140" s="88">
        <v>0.82230498514576733</v>
      </c>
      <c r="R140" s="88">
        <v>0.88887373164978778</v>
      </c>
      <c r="S140" s="88">
        <v>1.0206091610614692</v>
      </c>
      <c r="T140" s="90">
        <v>1.1305048811104028</v>
      </c>
      <c r="U140" s="90">
        <v>1.2084214747360498</v>
      </c>
      <c r="V140" s="90">
        <v>1.308633640211712</v>
      </c>
      <c r="W140" s="90">
        <v>1.4428423952707203</v>
      </c>
      <c r="X140" s="90">
        <v>1.5997027422195944</v>
      </c>
      <c r="Z140" s="27" t="s">
        <v>52</v>
      </c>
      <c r="AA140" s="20"/>
      <c r="AB140" s="20"/>
      <c r="AC140" s="20"/>
      <c r="AD140" s="20">
        <f t="shared" si="52"/>
        <v>4.6493324967027849E-2</v>
      </c>
      <c r="AE140" s="20">
        <f t="shared" si="52"/>
        <v>0.10032079069243793</v>
      </c>
      <c r="AF140" s="20">
        <f t="shared" si="52"/>
        <v>0.15621682170598672</v>
      </c>
      <c r="AG140" s="20">
        <f t="shared" si="52"/>
        <v>-0.12137179734512338</v>
      </c>
      <c r="AH140" s="21">
        <f t="shared" si="52"/>
        <v>-2.8552731021007638E-3</v>
      </c>
      <c r="AI140" s="21">
        <f t="shared" si="52"/>
        <v>1.8309935470375294E-2</v>
      </c>
      <c r="AJ140" s="21">
        <f t="shared" si="52"/>
        <v>-1.5572330404886925E-2</v>
      </c>
      <c r="AK140" s="21">
        <f t="shared" si="52"/>
        <v>-0.80548619936630361</v>
      </c>
      <c r="AL140" s="21">
        <f t="shared" si="52"/>
        <v>-0.73244052127195258</v>
      </c>
      <c r="AM140" s="20">
        <f t="shared" si="52"/>
        <v>4.1196607568615846</v>
      </c>
      <c r="AN140" s="20">
        <f t="shared" si="52"/>
        <v>1.2390649212348399</v>
      </c>
      <c r="AO140" s="20">
        <f t="shared" si="52"/>
        <v>8.095384037130704E-2</v>
      </c>
      <c r="AP140" s="20">
        <f t="shared" si="52"/>
        <v>0.1482048852621336</v>
      </c>
      <c r="AQ140" s="22">
        <f t="shared" si="52"/>
        <v>0.1076765957446808</v>
      </c>
      <c r="AR140" s="22">
        <f t="shared" si="52"/>
        <v>6.8921943573667654E-2</v>
      </c>
      <c r="AS140" s="22">
        <f t="shared" si="52"/>
        <v>8.2928156748911741E-2</v>
      </c>
      <c r="AT140" s="22">
        <f t="shared" si="53"/>
        <v>0.10255639999999988</v>
      </c>
      <c r="AU140" s="22">
        <f t="shared" si="53"/>
        <v>0.10871620314389396</v>
      </c>
      <c r="AW140" s="44"/>
      <c r="AX140" s="44"/>
      <c r="CG140" s="44"/>
      <c r="CH140" s="44"/>
      <c r="CI140" s="44"/>
    </row>
    <row r="141" spans="2:87" x14ac:dyDescent="0.15">
      <c r="B141" s="27" t="s">
        <v>53</v>
      </c>
      <c r="C141" s="23"/>
      <c r="D141" s="23"/>
      <c r="E141" s="87"/>
      <c r="F141" s="88">
        <v>1.0192238961960356</v>
      </c>
      <c r="G141" s="88">
        <v>1.1619588239842598</v>
      </c>
      <c r="H141" s="88">
        <v>1.153279789375528</v>
      </c>
      <c r="I141" s="88">
        <v>1.150481318155169</v>
      </c>
      <c r="J141" s="88">
        <v>1.2275768501174846</v>
      </c>
      <c r="K141" s="88">
        <v>1.3963135725543268</v>
      </c>
      <c r="L141" s="88">
        <v>1.3499331339871774</v>
      </c>
      <c r="M141" s="88">
        <v>1.1674272558857146</v>
      </c>
      <c r="N141" s="88">
        <v>0.26842360284153904</v>
      </c>
      <c r="O141" s="88">
        <v>9.6428181225371473E-2</v>
      </c>
      <c r="P141" s="88">
        <v>0.60821445497581916</v>
      </c>
      <c r="Q141" s="88">
        <v>0.95243025482729871</v>
      </c>
      <c r="R141" s="88">
        <v>1.0426858701909778</v>
      </c>
      <c r="S141" s="88">
        <v>0.91643992083616721</v>
      </c>
      <c r="T141" s="90">
        <v>0.81350531883684141</v>
      </c>
      <c r="U141" s="90">
        <v>0.89152180980134166</v>
      </c>
      <c r="V141" s="90">
        <v>0.9985797255288974</v>
      </c>
      <c r="W141" s="90">
        <v>1.1380501781469918</v>
      </c>
      <c r="X141" s="90">
        <v>1.2792712501175636</v>
      </c>
      <c r="Z141" s="27" t="s">
        <v>53</v>
      </c>
      <c r="AA141" s="20"/>
      <c r="AB141" s="20"/>
      <c r="AC141" s="20"/>
      <c r="AD141" s="20">
        <f t="shared" si="52"/>
        <v>0.14004276030118779</v>
      </c>
      <c r="AE141" s="20">
        <f t="shared" si="52"/>
        <v>-7.4693133952647983E-3</v>
      </c>
      <c r="AF141" s="20">
        <f t="shared" si="52"/>
        <v>-2.4265327860070185E-3</v>
      </c>
      <c r="AG141" s="20">
        <f t="shared" si="52"/>
        <v>6.7011546163948665E-2</v>
      </c>
      <c r="AH141" s="21">
        <f t="shared" si="52"/>
        <v>0.13745511934400945</v>
      </c>
      <c r="AI141" s="21">
        <f t="shared" si="52"/>
        <v>-3.3216348733403733E-2</v>
      </c>
      <c r="AJ141" s="21">
        <f t="shared" si="52"/>
        <v>-0.13519623565532568</v>
      </c>
      <c r="AK141" s="21">
        <f t="shared" si="52"/>
        <v>-0.7700725235870145</v>
      </c>
      <c r="AL141" s="21">
        <f t="shared" si="52"/>
        <v>-0.64076116926909443</v>
      </c>
      <c r="AM141" s="20">
        <f t="shared" si="52"/>
        <v>5.3074346860727708</v>
      </c>
      <c r="AN141" s="20">
        <f t="shared" si="52"/>
        <v>0.56594478647365354</v>
      </c>
      <c r="AO141" s="20">
        <f t="shared" si="52"/>
        <v>9.4763490456364119E-2</v>
      </c>
      <c r="AP141" s="20">
        <f t="shared" si="52"/>
        <v>-0.12107764472888416</v>
      </c>
      <c r="AQ141" s="22">
        <f t="shared" si="52"/>
        <v>-0.11232007648183573</v>
      </c>
      <c r="AR141" s="22">
        <f t="shared" si="52"/>
        <v>9.5901635991820111E-2</v>
      </c>
      <c r="AS141" s="22">
        <f t="shared" si="52"/>
        <v>0.12008446069469847</v>
      </c>
      <c r="AT141" s="22">
        <f t="shared" si="53"/>
        <v>0.13966882067851305</v>
      </c>
      <c r="AU141" s="22">
        <f t="shared" si="53"/>
        <v>0.12409037376586696</v>
      </c>
      <c r="AW141" s="44"/>
      <c r="AX141" s="44"/>
      <c r="CG141" s="44"/>
      <c r="CH141" s="44"/>
      <c r="CI141" s="44"/>
    </row>
    <row r="142" spans="2:87" x14ac:dyDescent="0.15">
      <c r="B142" s="27" t="s">
        <v>54</v>
      </c>
      <c r="C142" s="23"/>
      <c r="D142" s="23"/>
      <c r="E142" s="87"/>
      <c r="F142" s="88">
        <v>1.1116970573725915</v>
      </c>
      <c r="G142" s="88">
        <v>1.3376089532030127</v>
      </c>
      <c r="H142" s="88">
        <v>1.2297670859399517</v>
      </c>
      <c r="I142" s="88">
        <v>1.3755628744990003</v>
      </c>
      <c r="J142" s="88">
        <v>1.2356838837022146</v>
      </c>
      <c r="K142" s="88">
        <v>1.2370912781487873</v>
      </c>
      <c r="L142" s="88">
        <v>1.2788955784246145</v>
      </c>
      <c r="M142" s="88">
        <v>1.2620906405086787</v>
      </c>
      <c r="N142" s="88">
        <v>0.19389968348490796</v>
      </c>
      <c r="O142" s="88">
        <v>4.2202771647510039E-2</v>
      </c>
      <c r="P142" s="88">
        <v>0.7459444115133842</v>
      </c>
      <c r="Q142" s="88">
        <v>1.2604396096855801</v>
      </c>
      <c r="R142" s="88">
        <v>1.3345486775737465</v>
      </c>
      <c r="S142" s="88">
        <v>1.2782437206450217</v>
      </c>
      <c r="T142" s="90">
        <v>1.2979839470483283</v>
      </c>
      <c r="U142" s="90">
        <v>1.3619843646553362</v>
      </c>
      <c r="V142" s="90">
        <v>1.458308916760894</v>
      </c>
      <c r="W142" s="90">
        <v>1.6186892960166488</v>
      </c>
      <c r="X142" s="90">
        <v>1.764799080872671</v>
      </c>
      <c r="Z142" s="27" t="s">
        <v>54</v>
      </c>
      <c r="AA142" s="20"/>
      <c r="AB142" s="20"/>
      <c r="AC142" s="20"/>
      <c r="AD142" s="20">
        <f t="shared" si="52"/>
        <v>0.20321354125407698</v>
      </c>
      <c r="AE142" s="20">
        <f t="shared" si="52"/>
        <v>-8.0622865901745722E-2</v>
      </c>
      <c r="AF142" s="20">
        <f t="shared" si="52"/>
        <v>0.11855561124211755</v>
      </c>
      <c r="AG142" s="20">
        <f t="shared" si="52"/>
        <v>-0.10168854756837753</v>
      </c>
      <c r="AH142" s="21">
        <f t="shared" si="52"/>
        <v>1.13895994366775E-3</v>
      </c>
      <c r="AI142" s="21">
        <f t="shared" si="52"/>
        <v>3.379241371613606E-2</v>
      </c>
      <c r="AJ142" s="21">
        <f t="shared" si="52"/>
        <v>-1.3140195493236972E-2</v>
      </c>
      <c r="AK142" s="21">
        <f t="shared" si="52"/>
        <v>-0.84636627730100455</v>
      </c>
      <c r="AL142" s="21">
        <f t="shared" si="52"/>
        <v>-0.78234739279089716</v>
      </c>
      <c r="AM142" s="20">
        <f t="shared" si="52"/>
        <v>16.675246965856445</v>
      </c>
      <c r="AN142" s="20">
        <f t="shared" si="52"/>
        <v>0.68972324241746064</v>
      </c>
      <c r="AO142" s="20">
        <f t="shared" si="52"/>
        <v>5.8796206750955093E-2</v>
      </c>
      <c r="AP142" s="20">
        <f t="shared" si="52"/>
        <v>-4.2190260928577805E-2</v>
      </c>
      <c r="AQ142" s="22">
        <f t="shared" si="52"/>
        <v>1.5443241444867306E-2</v>
      </c>
      <c r="AR142" s="22">
        <f t="shared" si="52"/>
        <v>4.9307557117749923E-2</v>
      </c>
      <c r="AS142" s="22">
        <f t="shared" si="52"/>
        <v>7.0723684210525883E-2</v>
      </c>
      <c r="AT142" s="22">
        <f t="shared" si="53"/>
        <v>0.10997695852534584</v>
      </c>
      <c r="AU142" s="22">
        <f t="shared" si="53"/>
        <v>9.0264255910986968E-2</v>
      </c>
      <c r="AW142" s="44"/>
      <c r="AX142" s="44"/>
      <c r="CG142" s="44"/>
      <c r="CH142" s="44"/>
      <c r="CI142" s="44"/>
    </row>
    <row r="143" spans="2:87" x14ac:dyDescent="0.15">
      <c r="B143" s="27" t="s">
        <v>55</v>
      </c>
      <c r="C143" s="23"/>
      <c r="D143" s="23"/>
      <c r="E143" s="87"/>
      <c r="F143" s="88">
        <v>1.0684684635913291</v>
      </c>
      <c r="G143" s="88">
        <v>1.0961120807592499</v>
      </c>
      <c r="H143" s="88">
        <v>1.0589648196235664</v>
      </c>
      <c r="I143" s="88">
        <v>1.4508119973396258</v>
      </c>
      <c r="J143" s="88">
        <v>1.3867643233791109</v>
      </c>
      <c r="K143" s="88">
        <v>1.3357541046667283</v>
      </c>
      <c r="L143" s="88">
        <v>1.5342998813463229</v>
      </c>
      <c r="M143" s="88">
        <v>1.4205195808850049</v>
      </c>
      <c r="N143" s="88">
        <v>0.22871347610914025</v>
      </c>
      <c r="O143" s="88">
        <v>0.15345484105089871</v>
      </c>
      <c r="P143" s="88">
        <v>1.2272495647818924</v>
      </c>
      <c r="Q143" s="88">
        <v>1.3214490975177859</v>
      </c>
      <c r="R143" s="88">
        <v>1.3487874016562782</v>
      </c>
      <c r="S143" s="88">
        <v>1.3140921086944699</v>
      </c>
      <c r="T143" s="90">
        <v>1.3740033554816171</v>
      </c>
      <c r="U143" s="90">
        <v>1.4355543361852154</v>
      </c>
      <c r="V143" s="90">
        <v>1.5213688567086692</v>
      </c>
      <c r="W143" s="90">
        <v>1.642735107163269</v>
      </c>
      <c r="X143" s="90">
        <v>1.754061058716625</v>
      </c>
      <c r="Z143" s="27" t="s">
        <v>55</v>
      </c>
      <c r="AA143" s="20"/>
      <c r="AB143" s="20"/>
      <c r="AC143" s="20"/>
      <c r="AD143" s="20">
        <f t="shared" si="52"/>
        <v>2.5872188192626044E-2</v>
      </c>
      <c r="AE143" s="20">
        <f t="shared" si="52"/>
        <v>-3.3890020726669245E-2</v>
      </c>
      <c r="AF143" s="20">
        <f t="shared" si="52"/>
        <v>0.37002851318077834</v>
      </c>
      <c r="AG143" s="20">
        <f t="shared" si="52"/>
        <v>-4.4146087899714082E-2</v>
      </c>
      <c r="AH143" s="21">
        <f t="shared" si="52"/>
        <v>-3.6783624911900459E-2</v>
      </c>
      <c r="AI143" s="21">
        <f t="shared" si="52"/>
        <v>0.14863946589116561</v>
      </c>
      <c r="AJ143" s="21">
        <f t="shared" si="52"/>
        <v>-7.4157797862486774E-2</v>
      </c>
      <c r="AK143" s="21">
        <f t="shared" si="52"/>
        <v>-0.83899308451162047</v>
      </c>
      <c r="AL143" s="21">
        <f t="shared" si="52"/>
        <v>-0.3290520363667977</v>
      </c>
      <c r="AM143" s="20">
        <f t="shared" si="52"/>
        <v>6.9974639859998407</v>
      </c>
      <c r="AN143" s="20">
        <f t="shared" si="52"/>
        <v>7.6756623460391804E-2</v>
      </c>
      <c r="AO143" s="20">
        <f t="shared" si="52"/>
        <v>2.0688125021118609E-2</v>
      </c>
      <c r="AP143" s="20">
        <f t="shared" si="52"/>
        <v>-2.5723322236850144E-2</v>
      </c>
      <c r="AQ143" s="22">
        <f t="shared" si="52"/>
        <v>4.5591360294118255E-2</v>
      </c>
      <c r="AR143" s="22">
        <f t="shared" si="52"/>
        <v>4.479681978798622E-2</v>
      </c>
      <c r="AS143" s="22">
        <f t="shared" si="52"/>
        <v>5.9777967549102806E-2</v>
      </c>
      <c r="AT143" s="22">
        <f t="shared" si="53"/>
        <v>7.9774375503626205E-2</v>
      </c>
      <c r="AU143" s="22">
        <f t="shared" si="53"/>
        <v>6.7768656716418185E-2</v>
      </c>
      <c r="AW143" s="44"/>
      <c r="AX143" s="44"/>
      <c r="CG143" s="44"/>
      <c r="CH143" s="44"/>
      <c r="CI143" s="44"/>
    </row>
    <row r="144" spans="2:87" x14ac:dyDescent="0.15">
      <c r="B144" s="27" t="s">
        <v>56</v>
      </c>
      <c r="C144" s="23"/>
      <c r="D144" s="23"/>
      <c r="E144" s="87"/>
      <c r="F144" s="88">
        <v>0.83886577526046735</v>
      </c>
      <c r="G144" s="88">
        <v>0.87295095977984039</v>
      </c>
      <c r="H144" s="88">
        <v>0.94262586207879095</v>
      </c>
      <c r="I144" s="88">
        <v>1.0906885618367337</v>
      </c>
      <c r="J144" s="88">
        <v>0.93593203970856964</v>
      </c>
      <c r="K144" s="88">
        <v>1.0544214968110721</v>
      </c>
      <c r="L144" s="88">
        <v>1.0730978358814707</v>
      </c>
      <c r="M144" s="88">
        <v>0.97679313975543314</v>
      </c>
      <c r="N144" s="88">
        <v>0.12458490073240007</v>
      </c>
      <c r="O144" s="88">
        <v>8.553238721907494E-2</v>
      </c>
      <c r="P144" s="88">
        <v>0.82252278345954777</v>
      </c>
      <c r="Q144" s="88">
        <v>0.98332457396888118</v>
      </c>
      <c r="R144" s="88">
        <v>1.0116673550222794</v>
      </c>
      <c r="S144" s="88">
        <v>0.94125232329725173</v>
      </c>
      <c r="T144" s="90">
        <v>0.87659525707409647</v>
      </c>
      <c r="U144" s="90">
        <v>0.92327068363546727</v>
      </c>
      <c r="V144" s="90">
        <v>0.96879966751920921</v>
      </c>
      <c r="W144" s="90">
        <v>1.0427409582724494</v>
      </c>
      <c r="X144" s="90">
        <v>1.1166122454368115</v>
      </c>
      <c r="Z144" s="27" t="s">
        <v>56</v>
      </c>
      <c r="AA144" s="20"/>
      <c r="AB144" s="20"/>
      <c r="AC144" s="20"/>
      <c r="AD144" s="20">
        <f t="shared" si="52"/>
        <v>4.0632465317576694E-2</v>
      </c>
      <c r="AE144" s="20">
        <f t="shared" si="52"/>
        <v>7.9815368227010852E-2</v>
      </c>
      <c r="AF144" s="20">
        <f t="shared" si="52"/>
        <v>0.15707472679713796</v>
      </c>
      <c r="AG144" s="20">
        <f t="shared" si="52"/>
        <v>-0.14188882834486871</v>
      </c>
      <c r="AH144" s="21">
        <f t="shared" si="52"/>
        <v>0.12660049242399873</v>
      </c>
      <c r="AI144" s="21">
        <f t="shared" si="52"/>
        <v>1.7712403556719991E-2</v>
      </c>
      <c r="AJ144" s="21">
        <f t="shared" si="52"/>
        <v>-8.9744562803008909E-2</v>
      </c>
      <c r="AK144" s="21">
        <f t="shared" si="52"/>
        <v>-0.87245518456078297</v>
      </c>
      <c r="AL144" s="21">
        <f t="shared" si="52"/>
        <v>-0.31346104771722927</v>
      </c>
      <c r="AM144" s="20">
        <f t="shared" si="52"/>
        <v>8.6165068017195878</v>
      </c>
      <c r="AN144" s="20">
        <f t="shared" si="52"/>
        <v>0.19549828131568314</v>
      </c>
      <c r="AO144" s="20">
        <f t="shared" si="52"/>
        <v>2.8823423927057501E-2</v>
      </c>
      <c r="AP144" s="20">
        <f t="shared" si="52"/>
        <v>-6.9602949403736569E-2</v>
      </c>
      <c r="AQ144" s="22">
        <f t="shared" si="52"/>
        <v>-6.8692596685082763E-2</v>
      </c>
      <c r="AR144" s="22">
        <f t="shared" si="52"/>
        <v>5.3246268656716556E-2</v>
      </c>
      <c r="AS144" s="22">
        <f t="shared" si="52"/>
        <v>4.9312714776632127E-2</v>
      </c>
      <c r="AT144" s="22">
        <f t="shared" si="53"/>
        <v>7.6322580645161286E-2</v>
      </c>
      <c r="AU144" s="22">
        <f t="shared" si="53"/>
        <v>7.0843373493976403E-2</v>
      </c>
      <c r="AW144" s="44"/>
      <c r="AX144" s="44"/>
      <c r="CG144" s="44"/>
      <c r="CH144" s="44"/>
      <c r="CI144" s="44"/>
    </row>
    <row r="145" spans="2:87" x14ac:dyDescent="0.15">
      <c r="B145" s="27" t="s">
        <v>57</v>
      </c>
      <c r="C145" s="23"/>
      <c r="D145" s="23"/>
      <c r="E145" s="87"/>
      <c r="F145" s="88">
        <v>0.75176340650232698</v>
      </c>
      <c r="G145" s="88">
        <v>0.91073065148003485</v>
      </c>
      <c r="H145" s="88">
        <v>0.9964922828907502</v>
      </c>
      <c r="I145" s="88">
        <v>1.1004956090025928</v>
      </c>
      <c r="J145" s="88">
        <v>1.0427265431737351</v>
      </c>
      <c r="K145" s="88">
        <v>1.051164757861299</v>
      </c>
      <c r="L145" s="88">
        <v>1.1267249708968154</v>
      </c>
      <c r="M145" s="88">
        <v>1.1466901858152725</v>
      </c>
      <c r="N145" s="88">
        <v>0.14010399029910262</v>
      </c>
      <c r="O145" s="88">
        <v>0.11479407553001283</v>
      </c>
      <c r="P145" s="88">
        <v>0.98920728142981418</v>
      </c>
      <c r="Q145" s="88">
        <v>1.0492769558046704</v>
      </c>
      <c r="R145" s="88">
        <v>1.0770152789368417</v>
      </c>
      <c r="S145" s="88">
        <v>1.0905716914465917</v>
      </c>
      <c r="T145" s="90">
        <v>0.97169937707891341</v>
      </c>
      <c r="U145" s="90">
        <v>1.0227539050484049</v>
      </c>
      <c r="V145" s="90">
        <v>1.0846243551357304</v>
      </c>
      <c r="W145" s="90">
        <v>1.1658696251833505</v>
      </c>
      <c r="X145" s="90">
        <v>1.2532082904845423</v>
      </c>
      <c r="Z145" s="27" t="s">
        <v>57</v>
      </c>
      <c r="AA145" s="20"/>
      <c r="AB145" s="20"/>
      <c r="AC145" s="20"/>
      <c r="AD145" s="20">
        <f t="shared" si="52"/>
        <v>0.21145914206880967</v>
      </c>
      <c r="AE145" s="20">
        <f t="shared" si="52"/>
        <v>9.4167942268489124E-2</v>
      </c>
      <c r="AF145" s="20">
        <f t="shared" si="52"/>
        <v>0.10436942452794185</v>
      </c>
      <c r="AG145" s="20">
        <f t="shared" si="52"/>
        <v>-5.2493681352545507E-2</v>
      </c>
      <c r="AH145" s="21">
        <f t="shared" si="52"/>
        <v>8.092452180109122E-3</v>
      </c>
      <c r="AI145" s="21">
        <f t="shared" si="52"/>
        <v>7.1882369029619309E-2</v>
      </c>
      <c r="AJ145" s="21">
        <f t="shared" si="52"/>
        <v>1.7719687975465526E-2</v>
      </c>
      <c r="AK145" s="21">
        <f t="shared" si="52"/>
        <v>-0.87781879357457693</v>
      </c>
      <c r="AL145" s="21">
        <f t="shared" si="52"/>
        <v>-0.18065092018476148</v>
      </c>
      <c r="AM145" s="20">
        <f t="shared" si="52"/>
        <v>7.6172328742800541</v>
      </c>
      <c r="AN145" s="20">
        <f t="shared" si="52"/>
        <v>6.0725062888771664E-2</v>
      </c>
      <c r="AO145" s="20">
        <f t="shared" si="52"/>
        <v>2.6435654551185017E-2</v>
      </c>
      <c r="AP145" s="20">
        <f t="shared" si="52"/>
        <v>1.258701967824627E-2</v>
      </c>
      <c r="AQ145" s="22">
        <f t="shared" si="52"/>
        <v>-0.10899999999999987</v>
      </c>
      <c r="AR145" s="22">
        <f t="shared" si="52"/>
        <v>5.2541484716157605E-2</v>
      </c>
      <c r="AS145" s="22">
        <f t="shared" si="52"/>
        <v>6.0493975903614272E-2</v>
      </c>
      <c r="AT145" s="22">
        <f t="shared" si="53"/>
        <v>7.4906367041198241E-2</v>
      </c>
      <c r="AU145" s="22">
        <f t="shared" si="53"/>
        <v>7.4912891986062879E-2</v>
      </c>
      <c r="AW145" s="44"/>
      <c r="AX145" s="44"/>
      <c r="CG145" s="44"/>
      <c r="CH145" s="44"/>
      <c r="CI145" s="44"/>
    </row>
    <row r="146" spans="2:87" x14ac:dyDescent="0.15">
      <c r="B146" s="27" t="s">
        <v>58</v>
      </c>
      <c r="C146" s="23"/>
      <c r="D146" s="23"/>
      <c r="E146" s="87"/>
      <c r="F146" s="88">
        <v>0.34191311134425367</v>
      </c>
      <c r="G146" s="88">
        <v>0.34843064316547223</v>
      </c>
      <c r="H146" s="88">
        <v>0.35039715672528687</v>
      </c>
      <c r="I146" s="88">
        <v>0.49411884228214559</v>
      </c>
      <c r="J146" s="88">
        <v>0.46612341242937849</v>
      </c>
      <c r="K146" s="88">
        <v>0.44265285505828783</v>
      </c>
      <c r="L146" s="88">
        <v>0.58346094199341736</v>
      </c>
      <c r="M146" s="88">
        <v>0.48003355872277093</v>
      </c>
      <c r="N146" s="88">
        <v>5.142829863286727E-2</v>
      </c>
      <c r="O146" s="88">
        <v>5.0620496498157551E-2</v>
      </c>
      <c r="P146" s="88">
        <v>0.38458611711456714</v>
      </c>
      <c r="Q146" s="88">
        <v>0.41945092823797631</v>
      </c>
      <c r="R146" s="88">
        <v>0.44027870629061111</v>
      </c>
      <c r="S146" s="88">
        <v>0.47455794290189168</v>
      </c>
      <c r="T146" s="90">
        <v>0.44397268348186464</v>
      </c>
      <c r="U146" s="90">
        <v>0.46100177271130605</v>
      </c>
      <c r="V146" s="90">
        <v>0.48377679290127529</v>
      </c>
      <c r="W146" s="90">
        <v>0.51253189459890836</v>
      </c>
      <c r="X146" s="90">
        <v>0.54176416991290066</v>
      </c>
      <c r="Z146" s="27" t="s">
        <v>58</v>
      </c>
      <c r="AA146" s="20"/>
      <c r="AB146" s="20"/>
      <c r="AC146" s="20"/>
      <c r="AD146" s="20">
        <f t="shared" si="52"/>
        <v>1.9061953475824511E-2</v>
      </c>
      <c r="AE146" s="20">
        <f t="shared" si="52"/>
        <v>5.643916797756221E-3</v>
      </c>
      <c r="AF146" s="20">
        <f t="shared" si="52"/>
        <v>0.41016795598469202</v>
      </c>
      <c r="AG146" s="20">
        <f t="shared" si="52"/>
        <v>-5.6657280510629682E-2</v>
      </c>
      <c r="AH146" s="21">
        <f t="shared" si="52"/>
        <v>-5.0352667867003209E-2</v>
      </c>
      <c r="AI146" s="21">
        <f t="shared" si="52"/>
        <v>0.31810048286390957</v>
      </c>
      <c r="AJ146" s="21">
        <f t="shared" si="52"/>
        <v>-0.17726530745534175</v>
      </c>
      <c r="AK146" s="21">
        <f t="shared" si="52"/>
        <v>-0.89286520140445402</v>
      </c>
      <c r="AL146" s="21">
        <f t="shared" si="52"/>
        <v>-1.5707347047904552E-2</v>
      </c>
      <c r="AM146" s="20">
        <f t="shared" si="52"/>
        <v>6.5974386606137898</v>
      </c>
      <c r="AN146" s="20">
        <f t="shared" si="52"/>
        <v>9.0655407389609532E-2</v>
      </c>
      <c r="AO146" s="20">
        <f t="shared" si="52"/>
        <v>4.9654862226978125E-2</v>
      </c>
      <c r="AP146" s="20">
        <f t="shared" si="52"/>
        <v>7.7858038832007814E-2</v>
      </c>
      <c r="AQ146" s="22">
        <f t="shared" si="52"/>
        <v>-6.4450000000000229E-2</v>
      </c>
      <c r="AR146" s="22">
        <f t="shared" si="52"/>
        <v>3.8356164383561708E-2</v>
      </c>
      <c r="AS146" s="22">
        <f t="shared" si="52"/>
        <v>4.9403324538258797E-2</v>
      </c>
      <c r="AT146" s="22">
        <f t="shared" si="53"/>
        <v>5.9438778625954258E-2</v>
      </c>
      <c r="AU146" s="22">
        <f t="shared" si="53"/>
        <v>5.7035036496350333E-2</v>
      </c>
      <c r="AW146" s="44"/>
      <c r="AX146" s="44"/>
      <c r="CG146" s="44"/>
      <c r="CH146" s="44"/>
      <c r="CI146" s="44"/>
    </row>
    <row r="147" spans="2:87" x14ac:dyDescent="0.15">
      <c r="B147" s="27" t="s">
        <v>59</v>
      </c>
      <c r="C147" s="23"/>
      <c r="D147" s="23"/>
      <c r="E147" s="87"/>
      <c r="F147" s="88">
        <v>0.48902507803183587</v>
      </c>
      <c r="G147" s="88">
        <v>0.52849041674649611</v>
      </c>
      <c r="H147" s="88">
        <v>0.5736985573003438</v>
      </c>
      <c r="I147" s="88">
        <v>0.7810587885669773</v>
      </c>
      <c r="J147" s="88">
        <v>0.58514415451012725</v>
      </c>
      <c r="K147" s="88">
        <v>0.76494987670871639</v>
      </c>
      <c r="L147" s="88">
        <v>0.74728171930211029</v>
      </c>
      <c r="M147" s="88">
        <v>0.61715193938281165</v>
      </c>
      <c r="N147" s="88">
        <v>0.13600176843987932</v>
      </c>
      <c r="O147" s="88">
        <v>5.8580981866562444E-2</v>
      </c>
      <c r="P147" s="88">
        <v>0.50078273755577807</v>
      </c>
      <c r="Q147" s="88">
        <v>0.34233232679000969</v>
      </c>
      <c r="R147" s="88">
        <v>0.46474814399597086</v>
      </c>
      <c r="S147" s="88">
        <v>0.37659771224175187</v>
      </c>
      <c r="T147" s="90">
        <v>0.36042801293007964</v>
      </c>
      <c r="U147" s="90">
        <v>0.39112319050913691</v>
      </c>
      <c r="V147" s="90">
        <v>0.43364508775790056</v>
      </c>
      <c r="W147" s="90">
        <v>0.483938712531163</v>
      </c>
      <c r="X147" s="90">
        <v>0.54043072354741051</v>
      </c>
      <c r="Z147" s="27" t="s">
        <v>59</v>
      </c>
      <c r="AA147" s="20"/>
      <c r="AB147" s="20"/>
      <c r="AC147" s="20"/>
      <c r="AD147" s="20">
        <f t="shared" si="52"/>
        <v>8.0702075389456951E-2</v>
      </c>
      <c r="AE147" s="20">
        <f t="shared" si="52"/>
        <v>8.5542025212413497E-2</v>
      </c>
      <c r="AF147" s="20">
        <f t="shared" si="52"/>
        <v>0.36144457507860861</v>
      </c>
      <c r="AG147" s="20">
        <f t="shared" si="52"/>
        <v>-0.2508321229139463</v>
      </c>
      <c r="AH147" s="21">
        <f t="shared" si="52"/>
        <v>0.30728448846783651</v>
      </c>
      <c r="AI147" s="21">
        <f t="shared" si="52"/>
        <v>-2.3097143936574471E-2</v>
      </c>
      <c r="AJ147" s="21">
        <f t="shared" si="52"/>
        <v>-0.17413751274529699</v>
      </c>
      <c r="AK147" s="21">
        <f t="shared" si="52"/>
        <v>-0.77963000719743492</v>
      </c>
      <c r="AL147" s="21">
        <f t="shared" si="52"/>
        <v>-0.56926308724832031</v>
      </c>
      <c r="AM147" s="20">
        <f t="shared" si="52"/>
        <v>7.5485548654079633</v>
      </c>
      <c r="AN147" s="20">
        <f t="shared" si="52"/>
        <v>-0.31640549660144768</v>
      </c>
      <c r="AO147" s="20">
        <f t="shared" si="52"/>
        <v>0.35759350673607981</v>
      </c>
      <c r="AP147" s="20">
        <f t="shared" si="52"/>
        <v>-0.18967355306960243</v>
      </c>
      <c r="AQ147" s="22">
        <f t="shared" si="52"/>
        <v>-4.2936265372988558E-2</v>
      </c>
      <c r="AR147" s="22">
        <f t="shared" si="52"/>
        <v>8.5163129606721011E-2</v>
      </c>
      <c r="AS147" s="22">
        <f t="shared" si="52"/>
        <v>0.10871740229315385</v>
      </c>
      <c r="AT147" s="22">
        <f t="shared" si="53"/>
        <v>0.11597877202598639</v>
      </c>
      <c r="AU147" s="22">
        <f t="shared" si="53"/>
        <v>0.11673381267800464</v>
      </c>
      <c r="AW147" s="44"/>
      <c r="AX147" s="44"/>
      <c r="CG147" s="44"/>
      <c r="CH147" s="44"/>
      <c r="CI147" s="44"/>
    </row>
    <row r="148" spans="2:87" x14ac:dyDescent="0.15">
      <c r="B148" s="27" t="s">
        <v>60</v>
      </c>
      <c r="C148" s="23"/>
      <c r="D148" s="23"/>
      <c r="E148" s="87"/>
      <c r="F148" s="88">
        <v>0.45433547297574256</v>
      </c>
      <c r="G148" s="88">
        <v>0.45633644180695165</v>
      </c>
      <c r="H148" s="88">
        <v>0.52805531648327697</v>
      </c>
      <c r="I148" s="88">
        <v>0.48994754027156412</v>
      </c>
      <c r="J148" s="88">
        <v>0.40560035127153432</v>
      </c>
      <c r="K148" s="88">
        <v>0.47230531805066583</v>
      </c>
      <c r="L148" s="88">
        <v>0.4076992656909455</v>
      </c>
      <c r="M148" s="88">
        <v>0.47543468567154401</v>
      </c>
      <c r="N148" s="88">
        <v>7.3734812959607807E-2</v>
      </c>
      <c r="O148" s="88">
        <v>3.7079450091946499E-2</v>
      </c>
      <c r="P148" s="88">
        <v>0.29108198841366395</v>
      </c>
      <c r="Q148" s="88">
        <v>0.35322586986436011</v>
      </c>
      <c r="R148" s="88">
        <v>0.53295906288688355</v>
      </c>
      <c r="S148" s="88">
        <v>0.43550745111576777</v>
      </c>
      <c r="T148" s="90">
        <v>0.4772850894714315</v>
      </c>
      <c r="U148" s="90">
        <v>0.49924251489505672</v>
      </c>
      <c r="V148" s="90">
        <v>0.52175601211753508</v>
      </c>
      <c r="W148" s="90">
        <v>0.54782630413240108</v>
      </c>
      <c r="X148" s="90">
        <v>0.57879222996381996</v>
      </c>
      <c r="Z148" s="27" t="s">
        <v>60</v>
      </c>
      <c r="AA148" s="20"/>
      <c r="AB148" s="20"/>
      <c r="AC148" s="20"/>
      <c r="AD148" s="20">
        <f t="shared" si="52"/>
        <v>4.4041659747662276E-3</v>
      </c>
      <c r="AE148" s="20">
        <f t="shared" si="52"/>
        <v>0.15716227788501991</v>
      </c>
      <c r="AF148" s="20">
        <f t="shared" si="52"/>
        <v>-7.2166258007781425E-2</v>
      </c>
      <c r="AG148" s="20">
        <f t="shared" si="52"/>
        <v>-0.17215555149695927</v>
      </c>
      <c r="AH148" s="21">
        <f t="shared" si="52"/>
        <v>0.1644598348349926</v>
      </c>
      <c r="AI148" s="21">
        <f t="shared" si="52"/>
        <v>-0.13678874636933436</v>
      </c>
      <c r="AJ148" s="21">
        <f t="shared" si="52"/>
        <v>0.16614064748388579</v>
      </c>
      <c r="AK148" s="21">
        <f t="shared" si="52"/>
        <v>-0.84491074130306976</v>
      </c>
      <c r="AL148" s="21">
        <f t="shared" si="52"/>
        <v>-0.49712424018409385</v>
      </c>
      <c r="AM148" s="20">
        <f t="shared" si="52"/>
        <v>6.8502239836853924</v>
      </c>
      <c r="AN148" s="20">
        <f t="shared" si="52"/>
        <v>0.21349270626247718</v>
      </c>
      <c r="AO148" s="20">
        <f t="shared" si="52"/>
        <v>0.50883360579320414</v>
      </c>
      <c r="AP148" s="20">
        <f t="shared" si="52"/>
        <v>-0.18285008841626382</v>
      </c>
      <c r="AQ148" s="22">
        <f t="shared" si="52"/>
        <v>9.5928641975308704E-2</v>
      </c>
      <c r="AR148" s="22">
        <f t="shared" si="52"/>
        <v>4.6004842615012143E-2</v>
      </c>
      <c r="AS148" s="22">
        <f t="shared" si="52"/>
        <v>4.5095312499999762E-2</v>
      </c>
      <c r="AT148" s="22">
        <f t="shared" si="53"/>
        <v>4.9966442953019996E-2</v>
      </c>
      <c r="AU148" s="22">
        <f t="shared" si="53"/>
        <v>5.6525080299785868E-2</v>
      </c>
      <c r="AW148" s="44"/>
      <c r="AX148" s="44"/>
      <c r="CG148" s="44"/>
      <c r="CH148" s="44"/>
      <c r="CI148" s="44"/>
    </row>
    <row r="149" spans="2:87" x14ac:dyDescent="0.15">
      <c r="B149" s="27" t="s">
        <v>61</v>
      </c>
      <c r="C149" s="23"/>
      <c r="D149" s="23"/>
      <c r="E149" s="87"/>
      <c r="F149" s="88">
        <v>0.23382366373177935</v>
      </c>
      <c r="G149" s="88">
        <v>0.29795305492115859</v>
      </c>
      <c r="H149" s="88">
        <v>0.390250978828729</v>
      </c>
      <c r="I149" s="88">
        <v>0.41559889446899317</v>
      </c>
      <c r="J149" s="88">
        <v>0.45850593139929557</v>
      </c>
      <c r="K149" s="88">
        <v>0.32121346397595052</v>
      </c>
      <c r="L149" s="88">
        <v>0.31342549039395851</v>
      </c>
      <c r="M149" s="88">
        <v>0.28359943553677885</v>
      </c>
      <c r="N149" s="88">
        <v>2.8311347408220413E-2</v>
      </c>
      <c r="O149" s="88">
        <v>0.13425308518785159</v>
      </c>
      <c r="P149" s="88">
        <v>0.23388</v>
      </c>
      <c r="Q149" s="88">
        <v>0.27483115168848316</v>
      </c>
      <c r="R149" s="88">
        <v>0.28250605934137285</v>
      </c>
      <c r="S149" s="88">
        <v>0.24792297143092201</v>
      </c>
      <c r="T149" s="90">
        <v>0.21938061877289844</v>
      </c>
      <c r="U149" s="90">
        <v>0.24885362468107924</v>
      </c>
      <c r="V149" s="90">
        <v>0.28980377274247832</v>
      </c>
      <c r="W149" s="90">
        <v>0.32432083320584931</v>
      </c>
      <c r="X149" s="90">
        <v>0.34780925009540958</v>
      </c>
      <c r="Z149" s="27" t="s">
        <v>61</v>
      </c>
      <c r="AA149" s="20"/>
      <c r="AB149" s="20"/>
      <c r="AC149" s="20"/>
      <c r="AD149" s="20">
        <f t="shared" si="52"/>
        <v>0.27426390539728462</v>
      </c>
      <c r="AE149" s="20">
        <f t="shared" si="52"/>
        <v>0.3097733766549009</v>
      </c>
      <c r="AF149" s="20">
        <f t="shared" si="52"/>
        <v>6.495285602189016E-2</v>
      </c>
      <c r="AG149" s="20">
        <f t="shared" si="52"/>
        <v>0.10324146070004425</v>
      </c>
      <c r="AH149" s="21">
        <f t="shared" si="52"/>
        <v>-0.2994344413481147</v>
      </c>
      <c r="AI149" s="21">
        <f t="shared" si="52"/>
        <v>-2.4245476779189756E-2</v>
      </c>
      <c r="AJ149" s="21">
        <f t="shared" si="52"/>
        <v>-9.5161548027539067E-2</v>
      </c>
      <c r="AK149" s="21">
        <f t="shared" si="52"/>
        <v>-0.90017135487369881</v>
      </c>
      <c r="AL149" s="21">
        <f t="shared" si="52"/>
        <v>3.7420238695128365</v>
      </c>
      <c r="AM149" s="20">
        <f t="shared" si="52"/>
        <v>0.74208287036939957</v>
      </c>
      <c r="AN149" s="20">
        <f t="shared" si="52"/>
        <v>0.17509471390663234</v>
      </c>
      <c r="AO149" s="20">
        <f t="shared" si="52"/>
        <v>2.7925901433433875E-2</v>
      </c>
      <c r="AP149" s="20">
        <f t="shared" si="52"/>
        <v>-0.1224153846153847</v>
      </c>
      <c r="AQ149" s="22">
        <f t="shared" si="52"/>
        <v>-0.11512588967971549</v>
      </c>
      <c r="AR149" s="22">
        <f t="shared" si="52"/>
        <v>0.13434644351464375</v>
      </c>
      <c r="AS149" s="22">
        <f t="shared" si="52"/>
        <v>0.16455516014234917</v>
      </c>
      <c r="AT149" s="22">
        <f t="shared" si="53"/>
        <v>0.11910493827160451</v>
      </c>
      <c r="AU149" s="22">
        <f t="shared" si="53"/>
        <v>7.2423398328691269E-2</v>
      </c>
      <c r="AW149" s="44"/>
      <c r="AX149" s="44"/>
      <c r="CG149" s="44"/>
      <c r="CH149" s="44"/>
      <c r="CI149" s="44"/>
    </row>
    <row r="150" spans="2:87" x14ac:dyDescent="0.15">
      <c r="B150" s="27" t="s">
        <v>23</v>
      </c>
      <c r="C150" s="23"/>
      <c r="D150" s="23"/>
      <c r="E150" s="87"/>
      <c r="F150" s="88">
        <v>2.4799579999999999</v>
      </c>
      <c r="G150" s="88">
        <v>2.5939130000000001</v>
      </c>
      <c r="H150" s="88">
        <v>2.7917459999999998</v>
      </c>
      <c r="I150" s="88">
        <v>2.490192</v>
      </c>
      <c r="J150" s="88">
        <v>2.4125209999999999</v>
      </c>
      <c r="K150" s="88">
        <v>2.7725040000000001</v>
      </c>
      <c r="L150" s="88">
        <v>2.956083</v>
      </c>
      <c r="M150" s="88">
        <v>3.1626370000000001</v>
      </c>
      <c r="N150" s="88">
        <v>0.69415099999999996</v>
      </c>
      <c r="O150" s="88">
        <v>0.48417046922734253</v>
      </c>
      <c r="P150" s="88">
        <v>2.5703630244513089</v>
      </c>
      <c r="Q150" s="88">
        <v>3.5561266951079986</v>
      </c>
      <c r="R150" s="88">
        <v>3.7385925544218321</v>
      </c>
      <c r="S150" s="88">
        <v>3.0184989260212478</v>
      </c>
      <c r="T150" s="90">
        <v>2.8870202688920115</v>
      </c>
      <c r="U150" s="90">
        <v>2.973010302508448</v>
      </c>
      <c r="V150" s="90">
        <v>3.1215765694717921</v>
      </c>
      <c r="W150" s="90">
        <v>3.3715810520140455</v>
      </c>
      <c r="X150" s="90">
        <v>3.6094066419333704</v>
      </c>
      <c r="Z150" s="27" t="s">
        <v>23</v>
      </c>
      <c r="AA150" s="20"/>
      <c r="AB150" s="20"/>
      <c r="AC150" s="20"/>
      <c r="AD150" s="20">
        <f t="shared" si="52"/>
        <v>4.5950374966027718E-2</v>
      </c>
      <c r="AE150" s="20">
        <f t="shared" si="52"/>
        <v>7.6268170906271582E-2</v>
      </c>
      <c r="AF150" s="20">
        <f t="shared" si="52"/>
        <v>-0.10801627368678957</v>
      </c>
      <c r="AG150" s="20">
        <f t="shared" si="52"/>
        <v>-3.1190767619524884E-2</v>
      </c>
      <c r="AH150" s="21">
        <f t="shared" si="52"/>
        <v>0.14921445243378195</v>
      </c>
      <c r="AI150" s="21">
        <f t="shared" si="52"/>
        <v>6.6214151539546906E-2</v>
      </c>
      <c r="AJ150" s="21">
        <f t="shared" si="52"/>
        <v>6.9874222070219316E-2</v>
      </c>
      <c r="AK150" s="21">
        <f t="shared" si="52"/>
        <v>-0.78051512076789087</v>
      </c>
      <c r="AL150" s="21">
        <f t="shared" si="52"/>
        <v>-0.3024997886233074</v>
      </c>
      <c r="AM150" s="20">
        <f t="shared" si="52"/>
        <v>4.3087975988151266</v>
      </c>
      <c r="AN150" s="20">
        <f t="shared" si="52"/>
        <v>0.38351145782884855</v>
      </c>
      <c r="AO150" s="20">
        <f t="shared" si="52"/>
        <v>5.1310280807723707E-2</v>
      </c>
      <c r="AP150" s="20">
        <f t="shared" si="52"/>
        <v>-0.19261088709677421</v>
      </c>
      <c r="AQ150" s="22">
        <f t="shared" si="52"/>
        <v>-4.3557629255989605E-2</v>
      </c>
      <c r="AR150" s="22">
        <f t="shared" si="52"/>
        <v>2.9785046728971531E-2</v>
      </c>
      <c r="AS150" s="22">
        <f t="shared" si="52"/>
        <v>4.9971662337662481E-2</v>
      </c>
      <c r="AT150" s="22">
        <f t="shared" si="53"/>
        <v>8.0089171922685498E-2</v>
      </c>
      <c r="AU150" s="22">
        <f t="shared" si="53"/>
        <v>7.0538298279158251E-2</v>
      </c>
      <c r="AW150" s="44"/>
      <c r="AX150" s="44"/>
      <c r="CG150" s="44"/>
      <c r="CH150" s="44"/>
      <c r="CI150" s="44"/>
    </row>
    <row r="151" spans="2:87" x14ac:dyDescent="0.15">
      <c r="B151" s="27" t="s">
        <v>22</v>
      </c>
      <c r="C151" s="23"/>
      <c r="D151" s="23"/>
      <c r="E151" s="87"/>
      <c r="F151" s="88">
        <v>3.1322317306401164</v>
      </c>
      <c r="G151" s="88">
        <v>3.5332967708186835</v>
      </c>
      <c r="H151" s="88">
        <v>3.6725572753868434</v>
      </c>
      <c r="I151" s="88">
        <v>3.7228574433054482</v>
      </c>
      <c r="J151" s="88">
        <v>3.8002150149627507</v>
      </c>
      <c r="K151" s="88">
        <v>4.1346129861732797</v>
      </c>
      <c r="L151" s="88">
        <v>4.2791055086677607</v>
      </c>
      <c r="M151" s="88">
        <v>4.186993365188461</v>
      </c>
      <c r="N151" s="88">
        <v>1.0630796013396311</v>
      </c>
      <c r="O151" s="88">
        <v>1.9728807276450557</v>
      </c>
      <c r="P151" s="88">
        <v>3.1721504508409244</v>
      </c>
      <c r="Q151" s="88">
        <v>4.0692669003514377</v>
      </c>
      <c r="R151" s="88">
        <v>4.8630585924710452</v>
      </c>
      <c r="S151" s="88">
        <v>5.3538698436953656</v>
      </c>
      <c r="T151" s="90">
        <v>6.0596290285516492</v>
      </c>
      <c r="U151" s="90">
        <v>6.4223052461432726</v>
      </c>
      <c r="V151" s="90">
        <v>6.7119918776199601</v>
      </c>
      <c r="W151" s="90">
        <v>6.9594618844678005</v>
      </c>
      <c r="X151" s="90">
        <v>7.2118157557803482</v>
      </c>
      <c r="Z151" s="27" t="s">
        <v>22</v>
      </c>
      <c r="AA151" s="20"/>
      <c r="AB151" s="20"/>
      <c r="AC151" s="20"/>
      <c r="AD151" s="20">
        <f t="shared" si="52"/>
        <v>0.1280444981944564</v>
      </c>
      <c r="AE151" s="20">
        <f t="shared" si="52"/>
        <v>3.9413758198378668E-2</v>
      </c>
      <c r="AF151" s="20">
        <f t="shared" si="52"/>
        <v>1.3696224223843201E-2</v>
      </c>
      <c r="AG151" s="20">
        <f t="shared" si="52"/>
        <v>2.0779085107437867E-2</v>
      </c>
      <c r="AH151" s="21">
        <f t="shared" si="52"/>
        <v>8.7994487126094034E-2</v>
      </c>
      <c r="AI151" s="21">
        <f t="shared" si="52"/>
        <v>3.49470489687147E-2</v>
      </c>
      <c r="AJ151" s="21">
        <f t="shared" si="52"/>
        <v>-2.1526027645898727E-2</v>
      </c>
      <c r="AK151" s="21">
        <f t="shared" si="52"/>
        <v>-0.74609952569347326</v>
      </c>
      <c r="AL151" s="21">
        <f t="shared" si="52"/>
        <v>0.85581655894718156</v>
      </c>
      <c r="AM151" s="20">
        <f t="shared" si="52"/>
        <v>0.60787745877947019</v>
      </c>
      <c r="AN151" s="20">
        <f t="shared" si="52"/>
        <v>0.28281018300146865</v>
      </c>
      <c r="AO151" s="20">
        <f t="shared" si="52"/>
        <v>0.19506995032718355</v>
      </c>
      <c r="AP151" s="20">
        <f t="shared" si="52"/>
        <v>0.10092645233273378</v>
      </c>
      <c r="AQ151" s="22">
        <f t="shared" si="52"/>
        <v>0.1318222529610753</v>
      </c>
      <c r="AR151" s="22">
        <f t="shared" si="52"/>
        <v>5.9851224535820924E-2</v>
      </c>
      <c r="AS151" s="22">
        <f t="shared" si="52"/>
        <v>4.5106331819193768E-2</v>
      </c>
      <c r="AT151" s="22">
        <f t="shared" si="53"/>
        <v>3.6869831096338013E-2</v>
      </c>
      <c r="AU151" s="22">
        <f t="shared" si="53"/>
        <v>3.626054363136233E-2</v>
      </c>
      <c r="AW151" s="44"/>
      <c r="AX151" s="44"/>
      <c r="CG151" s="44"/>
      <c r="CH151" s="44"/>
      <c r="CI151" s="44"/>
    </row>
    <row r="152" spans="2:87" x14ac:dyDescent="0.15">
      <c r="B152" s="71" t="s">
        <v>62</v>
      </c>
      <c r="C152" s="49"/>
      <c r="D152" s="49"/>
      <c r="E152" s="91"/>
      <c r="F152" s="92">
        <v>2.5570550000000001</v>
      </c>
      <c r="G152" s="92">
        <v>2.9461729999999999</v>
      </c>
      <c r="H152" s="92">
        <v>2.9713029999999998</v>
      </c>
      <c r="I152" s="92">
        <v>3.0277379999999998</v>
      </c>
      <c r="J152" s="92">
        <v>3.1124360000000002</v>
      </c>
      <c r="K152" s="92">
        <v>3.3763049999999999</v>
      </c>
      <c r="L152" s="92">
        <v>3.4371860000000001</v>
      </c>
      <c r="M152" s="92">
        <v>3.3892449999999998</v>
      </c>
      <c r="N152" s="92">
        <v>0.68389100000000003</v>
      </c>
      <c r="O152" s="92">
        <v>0.94373994215419377</v>
      </c>
      <c r="P152" s="92">
        <v>2.3719728116683401</v>
      </c>
      <c r="Q152" s="88">
        <v>3.0933599267437897</v>
      </c>
      <c r="R152" s="88">
        <v>3.7422157017271243</v>
      </c>
      <c r="S152" s="88">
        <v>4.0483942274725679</v>
      </c>
      <c r="T152" s="90">
        <v>4.4583718555880036</v>
      </c>
      <c r="U152" s="90">
        <v>4.6650207710262546</v>
      </c>
      <c r="V152" s="90">
        <v>4.8791975561286565</v>
      </c>
      <c r="W152" s="90">
        <v>5.0827162444939562</v>
      </c>
      <c r="X152" s="90">
        <v>5.2766827169733368</v>
      </c>
      <c r="Z152" s="71" t="s">
        <v>62</v>
      </c>
      <c r="AA152" s="20"/>
      <c r="AB152" s="20"/>
      <c r="AC152" s="20"/>
      <c r="AD152" s="20">
        <f t="shared" si="52"/>
        <v>0.15217427861348298</v>
      </c>
      <c r="AE152" s="20">
        <f t="shared" si="52"/>
        <v>8.5297095588072747E-3</v>
      </c>
      <c r="AF152" s="20">
        <f t="shared" si="52"/>
        <v>1.899335072861974E-2</v>
      </c>
      <c r="AG152" s="20">
        <f t="shared" si="52"/>
        <v>2.7974018888028196E-2</v>
      </c>
      <c r="AH152" s="21">
        <f t="shared" si="52"/>
        <v>8.4778932000529439E-2</v>
      </c>
      <c r="AI152" s="21">
        <f t="shared" si="52"/>
        <v>1.8031842502380657E-2</v>
      </c>
      <c r="AJ152" s="21">
        <f t="shared" si="52"/>
        <v>-1.3947746790543225E-2</v>
      </c>
      <c r="AK152" s="21">
        <f t="shared" si="52"/>
        <v>-0.79821730208350239</v>
      </c>
      <c r="AL152" s="73">
        <f t="shared" si="52"/>
        <v>0.37995666291001595</v>
      </c>
      <c r="AM152" s="74">
        <f t="shared" si="52"/>
        <v>1.5133754604621719</v>
      </c>
      <c r="AN152" s="74">
        <f t="shared" si="52"/>
        <v>0.30412958847030724</v>
      </c>
      <c r="AO152" s="74">
        <f t="shared" si="52"/>
        <v>0.20975760672840593</v>
      </c>
      <c r="AP152" s="74">
        <f t="shared" si="52"/>
        <v>8.1817444570107201E-2</v>
      </c>
      <c r="AQ152" s="75">
        <f t="shared" si="52"/>
        <v>0.10126919590323258</v>
      </c>
      <c r="AR152" s="75">
        <f t="shared" si="52"/>
        <v>4.6350758108981482E-2</v>
      </c>
      <c r="AS152" s="75">
        <f t="shared" si="52"/>
        <v>4.591121789481023E-2</v>
      </c>
      <c r="AT152" s="75">
        <f t="shared" si="53"/>
        <v>4.1711508096175409E-2</v>
      </c>
      <c r="AU152" s="75">
        <f t="shared" si="53"/>
        <v>3.8161971502836067E-2</v>
      </c>
      <c r="CG152" s="44"/>
    </row>
    <row r="153" spans="2:87" x14ac:dyDescent="0.15">
      <c r="B153" s="71" t="s">
        <v>63</v>
      </c>
      <c r="C153" s="49"/>
      <c r="D153" s="49"/>
      <c r="E153" s="91"/>
      <c r="F153" s="92">
        <v>0.57517673064011599</v>
      </c>
      <c r="G153" s="92">
        <v>0.5871237708186835</v>
      </c>
      <c r="H153" s="92">
        <v>0.70125427538684337</v>
      </c>
      <c r="I153" s="92">
        <v>0.69511944330544839</v>
      </c>
      <c r="J153" s="92">
        <v>0.6877790149627504</v>
      </c>
      <c r="K153" s="92">
        <v>0.75830798617327966</v>
      </c>
      <c r="L153" s="92">
        <v>0.84191950866776044</v>
      </c>
      <c r="M153" s="92">
        <v>0.79774836518846159</v>
      </c>
      <c r="N153" s="92">
        <v>0.37918860133963095</v>
      </c>
      <c r="O153" s="92">
        <v>1.0291407854908619</v>
      </c>
      <c r="P153" s="92">
        <v>0.80017763917258444</v>
      </c>
      <c r="Q153" s="88">
        <v>0.97590697360764767</v>
      </c>
      <c r="R153" s="88">
        <v>1.1208428907439201</v>
      </c>
      <c r="S153" s="88">
        <v>1.3054756162227974</v>
      </c>
      <c r="T153" s="90">
        <v>1.6012571729636458</v>
      </c>
      <c r="U153" s="90">
        <v>1.757284475117018</v>
      </c>
      <c r="V153" s="90">
        <v>1.8327943214913038</v>
      </c>
      <c r="W153" s="90">
        <v>1.8767456399738454</v>
      </c>
      <c r="X153" s="90">
        <v>1.9351330388070107</v>
      </c>
      <c r="Z153" s="71" t="s">
        <v>63</v>
      </c>
      <c r="AA153" s="20"/>
      <c r="AB153" s="20"/>
      <c r="AC153" s="20"/>
      <c r="AD153" s="20">
        <f t="shared" si="52"/>
        <v>2.0771077031005003E-2</v>
      </c>
      <c r="AE153" s="20">
        <f t="shared" si="52"/>
        <v>0.19438917352812446</v>
      </c>
      <c r="AF153" s="20">
        <f t="shared" si="52"/>
        <v>-8.7483703083460762E-3</v>
      </c>
      <c r="AG153" s="20">
        <f t="shared" si="52"/>
        <v>-1.0559952556919772E-2</v>
      </c>
      <c r="AH153" s="21">
        <f t="shared" si="52"/>
        <v>0.10254597723419789</v>
      </c>
      <c r="AI153" s="21">
        <f t="shared" si="52"/>
        <v>0.11026063818266962</v>
      </c>
      <c r="AJ153" s="21">
        <f t="shared" si="52"/>
        <v>-5.2464805749892318E-2</v>
      </c>
      <c r="AK153" s="21">
        <f t="shared" si="52"/>
        <v>-0.52467642945272508</v>
      </c>
      <c r="AL153" s="73">
        <f t="shared" si="52"/>
        <v>1.7140604486923459</v>
      </c>
      <c r="AM153" s="74">
        <f t="shared" si="52"/>
        <v>-0.22247990707031451</v>
      </c>
      <c r="AN153" s="74">
        <f t="shared" si="52"/>
        <v>0.21961290322580673</v>
      </c>
      <c r="AO153" s="74">
        <f t="shared" si="52"/>
        <v>0.14851407055785848</v>
      </c>
      <c r="AP153" s="74">
        <f t="shared" si="52"/>
        <v>0.1647266775777414</v>
      </c>
      <c r="AQ153" s="75">
        <f t="shared" si="52"/>
        <v>0.22656995892167564</v>
      </c>
      <c r="AR153" s="75">
        <f t="shared" si="52"/>
        <v>9.7440501618233588E-2</v>
      </c>
      <c r="AS153" s="75">
        <f t="shared" ref="AS153:AS154" si="54">V153/U153-1</f>
        <v>4.2969620140334674E-2</v>
      </c>
      <c r="AT153" s="75">
        <f t="shared" si="53"/>
        <v>2.3980496865998235E-2</v>
      </c>
      <c r="AU153" s="75">
        <f t="shared" si="53"/>
        <v>3.1110981472150412E-2</v>
      </c>
      <c r="AW153" s="44"/>
      <c r="AX153" s="44"/>
      <c r="CG153" s="44"/>
      <c r="CH153" s="44"/>
      <c r="CI153" s="44"/>
    </row>
    <row r="154" spans="2:87" x14ac:dyDescent="0.15">
      <c r="B154" s="27" t="s">
        <v>64</v>
      </c>
      <c r="C154" s="23"/>
      <c r="D154" s="23"/>
      <c r="E154" s="87"/>
      <c r="F154" s="88">
        <v>3.7479766101173366</v>
      </c>
      <c r="G154" s="88">
        <v>4.5050816704383427</v>
      </c>
      <c r="H154" s="88">
        <v>4.7096622131582944</v>
      </c>
      <c r="I154" s="88">
        <v>5.684420413073191</v>
      </c>
      <c r="J154" s="88">
        <v>6.9780521065609822</v>
      </c>
      <c r="K154" s="88">
        <v>6.3888180652381381</v>
      </c>
      <c r="L154" s="88">
        <v>7.2283815399506741</v>
      </c>
      <c r="M154" s="88">
        <v>7.5647961822698893</v>
      </c>
      <c r="N154" s="88">
        <v>1.2815764172938484</v>
      </c>
      <c r="O154" s="88">
        <v>1.5135197041171407</v>
      </c>
      <c r="P154" s="88">
        <v>4.3532057363556413</v>
      </c>
      <c r="Q154" s="88">
        <v>4.5146751459000551</v>
      </c>
      <c r="R154" s="88">
        <v>5.4880128776279014</v>
      </c>
      <c r="S154" s="88">
        <v>5.3669179463065193</v>
      </c>
      <c r="T154" s="90">
        <v>5.3928786222803078</v>
      </c>
      <c r="U154" s="90">
        <v>5.4625924978664244</v>
      </c>
      <c r="V154" s="90">
        <v>5.6453154011544378</v>
      </c>
      <c r="W154" s="90">
        <v>5.9177508171988462</v>
      </c>
      <c r="X154" s="90">
        <v>6.1984033650763868</v>
      </c>
      <c r="Z154" s="27" t="s">
        <v>64</v>
      </c>
      <c r="AA154" s="20"/>
      <c r="AB154" s="20"/>
      <c r="AC154" s="20"/>
      <c r="AD154" s="20">
        <f t="shared" ref="AD154:AR154" si="55">G154/F154-1</f>
        <v>0.20200367800515795</v>
      </c>
      <c r="AE154" s="20">
        <f t="shared" si="55"/>
        <v>4.5411061926441398E-2</v>
      </c>
      <c r="AF154" s="20">
        <f t="shared" si="55"/>
        <v>0.20696987507756415</v>
      </c>
      <c r="AG154" s="20">
        <f t="shared" si="55"/>
        <v>0.22757495038767028</v>
      </c>
      <c r="AH154" s="21">
        <f t="shared" si="55"/>
        <v>-8.4441049210398966E-2</v>
      </c>
      <c r="AI154" s="21">
        <f t="shared" si="55"/>
        <v>0.13141139192562723</v>
      </c>
      <c r="AJ154" s="21">
        <f t="shared" si="55"/>
        <v>4.6540797612837581E-2</v>
      </c>
      <c r="AK154" s="21">
        <f t="shared" si="55"/>
        <v>-0.83058678827361354</v>
      </c>
      <c r="AL154" s="21">
        <f t="shared" si="55"/>
        <v>0.18098279875737666</v>
      </c>
      <c r="AM154" s="20">
        <f t="shared" si="55"/>
        <v>1.8762134543170239</v>
      </c>
      <c r="AN154" s="20">
        <f t="shared" si="55"/>
        <v>3.7092069459503829E-2</v>
      </c>
      <c r="AO154" s="20">
        <f t="shared" si="55"/>
        <v>0.21559419011836778</v>
      </c>
      <c r="AP154" s="20">
        <f t="shared" si="55"/>
        <v>-2.2065351161078772E-2</v>
      </c>
      <c r="AQ154" s="22">
        <f t="shared" si="55"/>
        <v>4.8371665513637918E-3</v>
      </c>
      <c r="AR154" s="22">
        <f t="shared" si="55"/>
        <v>1.292702478006813E-2</v>
      </c>
      <c r="AS154" s="22">
        <f t="shared" si="54"/>
        <v>3.3449850663284986E-2</v>
      </c>
      <c r="AT154" s="22">
        <f t="shared" si="53"/>
        <v>4.8258670541011295E-2</v>
      </c>
      <c r="AU154" s="22">
        <f t="shared" si="53"/>
        <v>4.7425543343575072E-2</v>
      </c>
    </row>
    <row r="155" spans="2:87" ht="4" customHeight="1" x14ac:dyDescent="0.15"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1"/>
      <c r="U155" s="51"/>
      <c r="V155" s="51"/>
      <c r="W155" s="51"/>
      <c r="X155" s="51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93"/>
      <c r="AN155" s="93"/>
      <c r="AO155" s="93"/>
      <c r="AP155" s="93"/>
      <c r="AQ155" s="94"/>
      <c r="AR155" s="94"/>
      <c r="AS155" s="94"/>
      <c r="AT155" s="94"/>
      <c r="AU155" s="94"/>
    </row>
    <row r="156" spans="2:87" ht="4" customHeight="1" x14ac:dyDescent="0.15">
      <c r="B156" s="95"/>
      <c r="C156" s="95"/>
      <c r="D156" s="95"/>
      <c r="E156" s="95"/>
      <c r="T156" s="11"/>
      <c r="U156" s="11"/>
      <c r="V156" s="11"/>
      <c r="W156" s="11"/>
      <c r="X156" s="11"/>
      <c r="Z156" s="95"/>
      <c r="AM156" s="32"/>
      <c r="AN156" s="32"/>
      <c r="AO156" s="32"/>
      <c r="AP156" s="32"/>
      <c r="AQ156" s="33"/>
      <c r="AR156" s="33"/>
      <c r="AS156" s="33"/>
      <c r="AT156" s="33"/>
      <c r="AU156" s="33"/>
    </row>
    <row r="157" spans="2:87" ht="12.5" customHeight="1" x14ac:dyDescent="0.15">
      <c r="B157" s="79" t="s">
        <v>6</v>
      </c>
      <c r="M157" s="45">
        <v>6.5425467671709967</v>
      </c>
      <c r="N157" s="45">
        <v>1.400225419671943</v>
      </c>
      <c r="O157" s="45">
        <v>0.77229638497572906</v>
      </c>
      <c r="P157" s="45">
        <v>2.9103122732302111</v>
      </c>
      <c r="Q157" s="45">
        <v>4.0809312334060124</v>
      </c>
      <c r="R157" s="45">
        <v>5.8787734156319935</v>
      </c>
      <c r="S157" s="45">
        <v>5.7909466635134912</v>
      </c>
      <c r="T157" s="66">
        <v>6.0336625751778996</v>
      </c>
      <c r="U157" s="66">
        <v>6.4869087019318954</v>
      </c>
      <c r="V157" s="66">
        <v>6.7993604072016041</v>
      </c>
      <c r="W157" s="66">
        <v>7.2776872106292814</v>
      </c>
      <c r="X157" s="66">
        <v>7.7307786498846589</v>
      </c>
      <c r="Z157" s="79" t="s">
        <v>6</v>
      </c>
      <c r="AK157" s="21">
        <f t="shared" ref="AK157:AU158" si="56">N157/M157-1</f>
        <v>-0.78598159562298364</v>
      </c>
      <c r="AL157" s="21">
        <f t="shared" si="56"/>
        <v>-0.44844853255365891</v>
      </c>
      <c r="AM157" s="20">
        <f t="shared" si="56"/>
        <v>2.768387797544428</v>
      </c>
      <c r="AN157" s="20">
        <f t="shared" si="56"/>
        <v>0.40223139315442213</v>
      </c>
      <c r="AO157" s="20">
        <f t="shared" si="56"/>
        <v>0.44054704169211711</v>
      </c>
      <c r="AP157" s="20">
        <f t="shared" si="56"/>
        <v>-1.4939638919398757E-2</v>
      </c>
      <c r="AQ157" s="22">
        <f t="shared" si="56"/>
        <v>4.1912993810436339E-2</v>
      </c>
      <c r="AR157" s="22">
        <f t="shared" si="56"/>
        <v>7.5119568107540724E-2</v>
      </c>
      <c r="AS157" s="22">
        <f t="shared" si="56"/>
        <v>4.8166502663534727E-2</v>
      </c>
      <c r="AT157" s="22">
        <f t="shared" si="56"/>
        <v>7.0348793824938749E-2</v>
      </c>
      <c r="AU157" s="22">
        <f t="shared" si="56"/>
        <v>6.2257613736631079E-2</v>
      </c>
    </row>
    <row r="158" spans="2:87" ht="12.5" customHeight="1" x14ac:dyDescent="0.15">
      <c r="B158" s="79" t="s">
        <v>7</v>
      </c>
      <c r="M158" s="45">
        <v>21.594269232828999</v>
      </c>
      <c r="N158" s="45">
        <v>3.8997334225033038</v>
      </c>
      <c r="O158" s="45">
        <v>4.401555447454041</v>
      </c>
      <c r="P158" s="45">
        <v>14.675684676544893</v>
      </c>
      <c r="Q158" s="45">
        <v>18.467808185571201</v>
      </c>
      <c r="R158" s="45">
        <v>20.156538433933964</v>
      </c>
      <c r="S158" s="45">
        <v>19.623770675853521</v>
      </c>
      <c r="T158" s="66">
        <v>19.971804374386515</v>
      </c>
      <c r="U158" s="66">
        <v>20.79730066016613</v>
      </c>
      <c r="V158" s="66">
        <v>22.051134934135963</v>
      </c>
      <c r="W158" s="66">
        <v>23.548601079218852</v>
      </c>
      <c r="X158" s="66">
        <v>25.100659255462293</v>
      </c>
      <c r="Z158" s="79" t="s">
        <v>7</v>
      </c>
      <c r="AK158" s="21">
        <f t="shared" si="56"/>
        <v>-0.81940887276821217</v>
      </c>
      <c r="AL158" s="21">
        <f t="shared" si="56"/>
        <v>0.1286811098561218</v>
      </c>
      <c r="AM158" s="20">
        <f t="shared" si="56"/>
        <v>2.3342042038874329</v>
      </c>
      <c r="AN158" s="20">
        <f t="shared" si="56"/>
        <v>0.25839499775346009</v>
      </c>
      <c r="AO158" s="20">
        <f t="shared" si="56"/>
        <v>9.1441833887042412E-2</v>
      </c>
      <c r="AP158" s="20">
        <f t="shared" si="56"/>
        <v>-2.6431510540694703E-2</v>
      </c>
      <c r="AQ158" s="22">
        <f t="shared" si="56"/>
        <v>1.7735312151871074E-2</v>
      </c>
      <c r="AR158" s="22">
        <f t="shared" si="56"/>
        <v>4.1333084898342864E-2</v>
      </c>
      <c r="AS158" s="22">
        <f t="shared" si="56"/>
        <v>6.0288317914802825E-2</v>
      </c>
      <c r="AT158" s="22">
        <f t="shared" si="56"/>
        <v>6.7908801499588778E-2</v>
      </c>
      <c r="AU158" s="22">
        <f t="shared" si="56"/>
        <v>6.5908720905425655E-2</v>
      </c>
    </row>
    <row r="159" spans="2:87" ht="4" customHeight="1" x14ac:dyDescent="0.15">
      <c r="T159" s="11"/>
      <c r="U159" s="11"/>
      <c r="V159" s="11"/>
      <c r="W159" s="11"/>
      <c r="X159" s="11"/>
      <c r="AQ159" s="11"/>
      <c r="AR159" s="11"/>
      <c r="AS159" s="11"/>
      <c r="AT159" s="51"/>
      <c r="AU159" s="51"/>
    </row>
    <row r="160" spans="2:87" x14ac:dyDescent="0.15">
      <c r="B160" s="52" t="s">
        <v>68</v>
      </c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Z160" s="131" t="s">
        <v>68</v>
      </c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95"/>
      <c r="AQ160" s="95"/>
      <c r="AR160" s="95"/>
      <c r="AS160" s="95"/>
    </row>
    <row r="161" spans="2:24" x14ac:dyDescent="0.15">
      <c r="B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</row>
    <row r="162" spans="2:24" x14ac:dyDescent="0.15">
      <c r="B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</row>
    <row r="163" spans="2:24" x14ac:dyDescent="0.15"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 spans="2:24" x14ac:dyDescent="0.15">
      <c r="B164" s="27"/>
    </row>
    <row r="165" spans="2:24" x14ac:dyDescent="0.15">
      <c r="B165" s="27"/>
    </row>
    <row r="166" spans="2:24" x14ac:dyDescent="0.15">
      <c r="D166" s="27"/>
      <c r="E166" s="27"/>
    </row>
  </sheetData>
  <mergeCells count="6">
    <mergeCell ref="Z160:AO160"/>
    <mergeCell ref="Z4:AK4"/>
    <mergeCell ref="B39:B40"/>
    <mergeCell ref="Z39:Z40"/>
    <mergeCell ref="B100:S100"/>
    <mergeCell ref="Z128:AO1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B228-390D-418E-9F2D-D2C8EBF1322E}">
  <dimension ref="A1:BI175"/>
  <sheetViews>
    <sheetView workbookViewId="0">
      <pane xSplit="2" ySplit="2" topLeftCell="C3" activePane="bottomRight" state="frozen"/>
      <selection activeCell="M7" sqref="M7"/>
      <selection pane="topRight" activeCell="M7" sqref="M7"/>
      <selection pane="bottomLeft" activeCell="M7" sqref="M7"/>
      <selection pane="bottomRight" activeCell="I7" sqref="I7"/>
    </sheetView>
  </sheetViews>
  <sheetFormatPr baseColWidth="10" defaultColWidth="8.75" defaultRowHeight="13" x14ac:dyDescent="0.15"/>
  <cols>
    <col min="1" max="1" width="4.75" style="2" customWidth="1"/>
    <col min="2" max="2" width="25.75" style="2" customWidth="1"/>
    <col min="3" max="9" width="9.75" style="2" customWidth="1"/>
    <col min="10" max="10" width="2.75" style="2" customWidth="1"/>
    <col min="11" max="17" width="8.75" style="2" customWidth="1"/>
    <col min="18" max="24" width="9.75" style="2" customWidth="1"/>
    <col min="25" max="25" width="2.75" style="2" customWidth="1"/>
    <col min="26" max="39" width="8.75" style="2" customWidth="1"/>
    <col min="40" max="40" width="4.75" style="2" customWidth="1"/>
    <col min="41" max="47" width="8.75" style="2" customWidth="1"/>
    <col min="48" max="16384" width="8.75" style="2"/>
  </cols>
  <sheetData>
    <row r="1" spans="2:47" x14ac:dyDescent="0.15">
      <c r="C1" s="3"/>
      <c r="D1" s="3"/>
      <c r="E1" s="3"/>
      <c r="F1" s="3"/>
      <c r="G1" s="3"/>
      <c r="H1" s="3"/>
      <c r="I1" s="3"/>
      <c r="R1" s="3"/>
      <c r="S1" s="3"/>
      <c r="T1" s="3"/>
      <c r="U1" s="3"/>
      <c r="V1" s="3"/>
      <c r="W1" s="3"/>
      <c r="X1" s="3"/>
      <c r="AG1" s="3"/>
      <c r="AH1" s="3"/>
      <c r="AI1" s="3"/>
      <c r="AJ1" s="3"/>
      <c r="AK1" s="3"/>
      <c r="AL1" s="3"/>
      <c r="AM1" s="3"/>
      <c r="AO1" s="3"/>
      <c r="AP1" s="3"/>
      <c r="AQ1" s="3"/>
      <c r="AR1" s="3"/>
      <c r="AS1" s="3"/>
      <c r="AT1" s="3"/>
      <c r="AU1" s="3"/>
    </row>
    <row r="2" spans="2:47" x14ac:dyDescent="0.15">
      <c r="C2" s="97"/>
      <c r="D2" s="98" t="s">
        <v>69</v>
      </c>
      <c r="E2" s="98"/>
      <c r="F2" s="98"/>
      <c r="G2" s="98"/>
      <c r="H2" s="98"/>
      <c r="I2" s="98"/>
      <c r="J2" s="99"/>
      <c r="K2" s="99"/>
      <c r="L2" s="99"/>
      <c r="M2" s="99"/>
      <c r="N2" s="99"/>
      <c r="O2" s="99"/>
      <c r="P2" s="99"/>
      <c r="R2" s="100"/>
      <c r="S2" s="101" t="s">
        <v>70</v>
      </c>
      <c r="T2" s="101"/>
      <c r="U2" s="101"/>
      <c r="V2" s="101"/>
      <c r="W2" s="101"/>
      <c r="X2" s="101"/>
      <c r="Y2" s="102"/>
      <c r="Z2" s="102"/>
      <c r="AA2" s="102"/>
      <c r="AB2" s="102"/>
      <c r="AC2" s="102"/>
      <c r="AD2" s="102"/>
      <c r="AE2" s="102"/>
      <c r="AG2" s="103"/>
      <c r="AH2" s="104" t="s">
        <v>71</v>
      </c>
      <c r="AI2" s="104"/>
      <c r="AJ2" s="104"/>
      <c r="AK2" s="104"/>
      <c r="AL2" s="104"/>
      <c r="AM2" s="104"/>
      <c r="AO2" s="103"/>
      <c r="AP2" s="104" t="s">
        <v>72</v>
      </c>
      <c r="AQ2" s="104"/>
      <c r="AR2" s="104"/>
      <c r="AS2" s="104"/>
      <c r="AT2" s="104"/>
      <c r="AU2" s="104"/>
    </row>
    <row r="3" spans="2:47" ht="16" x14ac:dyDescent="0.2">
      <c r="B3" s="4" t="s">
        <v>2</v>
      </c>
      <c r="C3" s="6"/>
      <c r="D3" s="7"/>
      <c r="K3" s="8"/>
      <c r="L3" s="8"/>
      <c r="M3" s="8"/>
      <c r="N3" s="8"/>
      <c r="O3" s="8"/>
      <c r="P3" s="8"/>
      <c r="Q3" s="8"/>
      <c r="R3" s="6"/>
      <c r="S3" s="7"/>
      <c r="Z3" s="8"/>
      <c r="AA3" s="8"/>
      <c r="AB3" s="8"/>
      <c r="AC3" s="8"/>
      <c r="AD3" s="8"/>
      <c r="AE3" s="8"/>
      <c r="AG3" s="6"/>
      <c r="AH3" s="7"/>
      <c r="AO3" s="6"/>
      <c r="AP3" s="7"/>
    </row>
    <row r="4" spans="2:47" ht="4" customHeight="1" x14ac:dyDescent="0.2">
      <c r="B4" s="4"/>
    </row>
    <row r="5" spans="2:47" x14ac:dyDescent="0.15">
      <c r="C5" s="9">
        <v>2024</v>
      </c>
      <c r="D5" s="9">
        <v>2025</v>
      </c>
      <c r="E5" s="10">
        <v>2026</v>
      </c>
      <c r="F5" s="10">
        <v>2027</v>
      </c>
      <c r="G5" s="10">
        <v>2028</v>
      </c>
      <c r="H5" s="10">
        <v>2029</v>
      </c>
      <c r="I5" s="10">
        <v>2030</v>
      </c>
      <c r="K5" s="9">
        <v>2025</v>
      </c>
      <c r="L5" s="9">
        <v>2026</v>
      </c>
      <c r="M5" s="9">
        <v>2027</v>
      </c>
      <c r="N5" s="9">
        <v>2028</v>
      </c>
      <c r="O5" s="9">
        <v>2029</v>
      </c>
      <c r="P5" s="9">
        <v>2030</v>
      </c>
      <c r="Q5" s="9"/>
      <c r="R5" s="9">
        <v>2024</v>
      </c>
      <c r="S5" s="9">
        <v>2025</v>
      </c>
      <c r="T5" s="10">
        <v>2026</v>
      </c>
      <c r="U5" s="10">
        <v>2027</v>
      </c>
      <c r="V5" s="10">
        <v>2028</v>
      </c>
      <c r="W5" s="10">
        <v>2029</v>
      </c>
      <c r="X5" s="10">
        <v>2030</v>
      </c>
      <c r="Z5" s="9">
        <v>2025</v>
      </c>
      <c r="AA5" s="9">
        <v>2026</v>
      </c>
      <c r="AB5" s="9">
        <v>2027</v>
      </c>
      <c r="AC5" s="9">
        <v>2028</v>
      </c>
      <c r="AD5" s="9">
        <v>2029</v>
      </c>
      <c r="AE5" s="9">
        <v>2030</v>
      </c>
      <c r="AG5" s="9">
        <v>2024</v>
      </c>
      <c r="AH5" s="9">
        <v>2025</v>
      </c>
      <c r="AI5" s="10">
        <v>2026</v>
      </c>
      <c r="AJ5" s="10">
        <v>2027</v>
      </c>
      <c r="AK5" s="10">
        <v>2028</v>
      </c>
      <c r="AL5" s="10">
        <v>2029</v>
      </c>
      <c r="AM5" s="10">
        <v>2030</v>
      </c>
      <c r="AO5" s="9">
        <v>2024</v>
      </c>
      <c r="AP5" s="9">
        <v>2025</v>
      </c>
      <c r="AQ5" s="9">
        <v>2026</v>
      </c>
      <c r="AR5" s="9">
        <v>2027</v>
      </c>
      <c r="AS5" s="9">
        <v>2028</v>
      </c>
      <c r="AT5" s="9">
        <v>2029</v>
      </c>
      <c r="AU5" s="9">
        <v>2030</v>
      </c>
    </row>
    <row r="6" spans="2:47" ht="4" customHeight="1" x14ac:dyDescent="0.15">
      <c r="E6" s="11"/>
      <c r="F6" s="11"/>
      <c r="G6" s="11"/>
      <c r="H6" s="11"/>
      <c r="I6" s="11"/>
      <c r="T6" s="11"/>
      <c r="U6" s="11"/>
      <c r="V6" s="11"/>
      <c r="W6" s="11"/>
      <c r="X6" s="11"/>
      <c r="AG6" s="5"/>
      <c r="AI6" s="11"/>
      <c r="AJ6" s="11"/>
      <c r="AK6" s="11"/>
      <c r="AL6" s="11"/>
      <c r="AM6" s="11"/>
      <c r="AO6" s="5"/>
    </row>
    <row r="7" spans="2:47" x14ac:dyDescent="0.15">
      <c r="B7" s="12" t="s">
        <v>5</v>
      </c>
      <c r="C7" s="13">
        <f>tbl_model!R8</f>
        <v>269.50541943468352</v>
      </c>
      <c r="D7" s="13">
        <f>tbl_model!S8</f>
        <v>271.40345634632916</v>
      </c>
      <c r="E7" s="14">
        <f>tbl_model!T8</f>
        <v>276.33703781053242</v>
      </c>
      <c r="F7" s="14">
        <f>tbl_model!U8</f>
        <v>282.50111679940574</v>
      </c>
      <c r="G7" s="14">
        <f>tbl_model!V8</f>
        <v>289.55265899933642</v>
      </c>
      <c r="H7" s="14">
        <f>tbl_model!W8</f>
        <v>296.4839755779609</v>
      </c>
      <c r="I7" s="14">
        <f>tbl_model!X8</f>
        <v>304.46597017530405</v>
      </c>
      <c r="K7" s="15">
        <f>D7/C7-1</f>
        <v>7.0426669549985554E-3</v>
      </c>
      <c r="L7" s="15">
        <f t="shared" ref="L7:P22" si="0">E7/D7-1</f>
        <v>1.817803476278379E-2</v>
      </c>
      <c r="M7" s="15">
        <f t="shared" si="0"/>
        <v>2.2306380055719055E-2</v>
      </c>
      <c r="N7" s="15">
        <f t="shared" si="0"/>
        <v>2.4961112649114714E-2</v>
      </c>
      <c r="O7" s="15">
        <f t="shared" si="0"/>
        <v>2.393801736298462E-2</v>
      </c>
      <c r="P7" s="15">
        <f t="shared" si="0"/>
        <v>2.6922178784816841E-2</v>
      </c>
      <c r="Q7" s="16"/>
      <c r="R7" s="13">
        <v>269.50541943468352</v>
      </c>
      <c r="S7" s="13">
        <v>271.40345634632916</v>
      </c>
      <c r="T7" s="14">
        <v>275.4887540802066</v>
      </c>
      <c r="U7" s="14">
        <v>282.48908170250888</v>
      </c>
      <c r="V7" s="14">
        <v>289.155996057864</v>
      </c>
      <c r="W7" s="14">
        <v>296.00454248454577</v>
      </c>
      <c r="X7" s="14">
        <v>304.31471958775847</v>
      </c>
      <c r="Z7" s="15">
        <f>S7/R7-1</f>
        <v>7.0426669549985554E-3</v>
      </c>
      <c r="AA7" s="15">
        <f t="shared" ref="AA7:AE9" si="1">T7/S7-1</f>
        <v>1.5052489709874273E-2</v>
      </c>
      <c r="AB7" s="15">
        <f t="shared" si="1"/>
        <v>2.5410574909581207E-2</v>
      </c>
      <c r="AC7" s="15">
        <f t="shared" si="1"/>
        <v>2.3600608969291281E-2</v>
      </c>
      <c r="AD7" s="15">
        <f t="shared" si="1"/>
        <v>2.3684608031822707E-2</v>
      </c>
      <c r="AE7" s="15">
        <f t="shared" si="1"/>
        <v>2.807449180833621E-2</v>
      </c>
      <c r="AG7" s="13">
        <f>C7-R7</f>
        <v>0</v>
      </c>
      <c r="AH7" s="13">
        <f t="shared" ref="AH7:AM22" si="2">D7-S7</f>
        <v>0</v>
      </c>
      <c r="AI7" s="14">
        <f t="shared" si="2"/>
        <v>0.84828373032581794</v>
      </c>
      <c r="AJ7" s="14">
        <f t="shared" si="2"/>
        <v>1.2035096896852338E-2</v>
      </c>
      <c r="AK7" s="14">
        <f t="shared" si="2"/>
        <v>0.39666294147241388</v>
      </c>
      <c r="AL7" s="14">
        <f t="shared" si="2"/>
        <v>0.47943309341513896</v>
      </c>
      <c r="AM7" s="14">
        <f t="shared" si="2"/>
        <v>0.15125058754557585</v>
      </c>
      <c r="AO7" s="15">
        <f>C7/R7-1</f>
        <v>0</v>
      </c>
      <c r="AP7" s="15">
        <f t="shared" ref="AP7:AU22" si="3">D7/S7-1</f>
        <v>0</v>
      </c>
      <c r="AQ7" s="15">
        <f t="shared" si="3"/>
        <v>3.0791954944151545E-3</v>
      </c>
      <c r="AR7" s="15">
        <f t="shared" si="3"/>
        <v>4.2603759495163374E-5</v>
      </c>
      <c r="AS7" s="15">
        <f t="shared" si="3"/>
        <v>1.3717956635179718E-3</v>
      </c>
      <c r="AT7" s="15">
        <f t="shared" si="3"/>
        <v>1.6196815406648302E-3</v>
      </c>
      <c r="AU7" s="15">
        <f t="shared" si="3"/>
        <v>4.9702028134057663E-4</v>
      </c>
    </row>
    <row r="8" spans="2:47" x14ac:dyDescent="0.15">
      <c r="B8" s="18" t="s">
        <v>6</v>
      </c>
      <c r="C8" s="5">
        <f>tbl_model!R9</f>
        <v>44.199676439321358</v>
      </c>
      <c r="D8" s="5">
        <f>tbl_model!S9</f>
        <v>44.320416761366843</v>
      </c>
      <c r="E8" s="19">
        <f>tbl_model!T9</f>
        <v>45.419953090008981</v>
      </c>
      <c r="F8" s="19">
        <f>tbl_model!U9</f>
        <v>47.07001850336097</v>
      </c>
      <c r="G8" s="19">
        <f>tbl_model!V9</f>
        <v>47.991487666766709</v>
      </c>
      <c r="H8" s="19">
        <f>tbl_model!W9</f>
        <v>49.399005708516569</v>
      </c>
      <c r="I8" s="19">
        <f>tbl_model!X9</f>
        <v>50.968474651371423</v>
      </c>
      <c r="K8" s="20">
        <f t="shared" ref="K8:P46" si="4">D8/C8-1</f>
        <v>2.7317014913275095E-3</v>
      </c>
      <c r="L8" s="20">
        <f t="shared" si="0"/>
        <v>2.4808799397405101E-2</v>
      </c>
      <c r="M8" s="20">
        <f t="shared" si="0"/>
        <v>3.632908669196655E-2</v>
      </c>
      <c r="N8" s="20">
        <f t="shared" si="0"/>
        <v>1.9576562591322233E-2</v>
      </c>
      <c r="O8" s="20">
        <f t="shared" si="0"/>
        <v>2.9328493659606769E-2</v>
      </c>
      <c r="P8" s="20">
        <f t="shared" si="0"/>
        <v>3.177126584522072E-2</v>
      </c>
      <c r="Q8" s="21"/>
      <c r="R8" s="5">
        <v>44.199676439321358</v>
      </c>
      <c r="S8" s="5">
        <v>44.320416761366843</v>
      </c>
      <c r="T8" s="19">
        <v>44.742452186960911</v>
      </c>
      <c r="U8" s="19">
        <v>46.522557345988574</v>
      </c>
      <c r="V8" s="19">
        <v>47.37025844196927</v>
      </c>
      <c r="W8" s="19">
        <v>48.745880107821009</v>
      </c>
      <c r="X8" s="19">
        <v>50.349850553260765</v>
      </c>
      <c r="Z8" s="20">
        <f t="shared" ref="Z8:Z9" si="5">S8/R8-1</f>
        <v>2.7317014913275095E-3</v>
      </c>
      <c r="AA8" s="20">
        <f t="shared" si="1"/>
        <v>9.5223704205313897E-3</v>
      </c>
      <c r="AB8" s="20">
        <f t="shared" si="1"/>
        <v>3.9785596721192418E-2</v>
      </c>
      <c r="AC8" s="20">
        <f t="shared" si="1"/>
        <v>1.8221291870873291E-2</v>
      </c>
      <c r="AD8" s="20">
        <f t="shared" si="1"/>
        <v>2.9039775401203283E-2</v>
      </c>
      <c r="AE8" s="20">
        <f t="shared" si="1"/>
        <v>3.2904738654670584E-2</v>
      </c>
      <c r="AG8" s="5">
        <f t="shared" ref="AG8:AM46" si="6">C8-R8</f>
        <v>0</v>
      </c>
      <c r="AH8" s="5">
        <f t="shared" si="2"/>
        <v>0</v>
      </c>
      <c r="AI8" s="19">
        <f t="shared" si="2"/>
        <v>0.67750090304807031</v>
      </c>
      <c r="AJ8" s="19">
        <f t="shared" si="2"/>
        <v>0.5474611573723962</v>
      </c>
      <c r="AK8" s="19">
        <f t="shared" si="2"/>
        <v>0.62122922479743892</v>
      </c>
      <c r="AL8" s="19">
        <f t="shared" si="2"/>
        <v>0.65312560069556014</v>
      </c>
      <c r="AM8" s="19">
        <f t="shared" si="2"/>
        <v>0.61862409811065788</v>
      </c>
      <c r="AO8" s="20">
        <f t="shared" ref="AO8:AU46" si="7">C8/R8-1</f>
        <v>0</v>
      </c>
      <c r="AP8" s="20">
        <f t="shared" si="3"/>
        <v>0</v>
      </c>
      <c r="AQ8" s="20">
        <f t="shared" si="3"/>
        <v>1.5142238968420152E-2</v>
      </c>
      <c r="AR8" s="20">
        <f t="shared" si="3"/>
        <v>1.1767649686600823E-2</v>
      </c>
      <c r="AS8" s="20">
        <f t="shared" si="3"/>
        <v>1.3114330494068849E-2</v>
      </c>
      <c r="AT8" s="20">
        <f t="shared" si="3"/>
        <v>1.3398580541594818E-2</v>
      </c>
      <c r="AU8" s="20">
        <f t="shared" si="3"/>
        <v>1.2286513094140528E-2</v>
      </c>
    </row>
    <row r="9" spans="2:47" x14ac:dyDescent="0.15">
      <c r="B9" s="18" t="s">
        <v>7</v>
      </c>
      <c r="C9" s="5">
        <f>tbl_model!R10</f>
        <v>225.30574299536212</v>
      </c>
      <c r="D9" s="5">
        <f>tbl_model!S10</f>
        <v>227.08303958496234</v>
      </c>
      <c r="E9" s="19">
        <f>tbl_model!T10</f>
        <v>230.91708472052343</v>
      </c>
      <c r="F9" s="19">
        <f>tbl_model!U10</f>
        <v>235.43109829604475</v>
      </c>
      <c r="G9" s="19">
        <f>tbl_model!V10</f>
        <v>241.5611713325697</v>
      </c>
      <c r="H9" s="19">
        <f>tbl_model!W10</f>
        <v>247.08496986944436</v>
      </c>
      <c r="I9" s="19">
        <f>tbl_model!X10</f>
        <v>253.49749552393266</v>
      </c>
      <c r="K9" s="20">
        <f t="shared" si="4"/>
        <v>7.8883767718109787E-3</v>
      </c>
      <c r="L9" s="20">
        <f t="shared" si="0"/>
        <v>1.6883890327382245E-2</v>
      </c>
      <c r="M9" s="20">
        <f t="shared" si="0"/>
        <v>1.954820095266907E-2</v>
      </c>
      <c r="N9" s="20">
        <f t="shared" si="0"/>
        <v>2.60376521236656E-2</v>
      </c>
      <c r="O9" s="20">
        <f t="shared" si="0"/>
        <v>2.2867079615497277E-2</v>
      </c>
      <c r="P9" s="20">
        <f t="shared" si="0"/>
        <v>2.5952714395685694E-2</v>
      </c>
      <c r="Q9" s="21"/>
      <c r="R9" s="5">
        <v>225.30574299536212</v>
      </c>
      <c r="S9" s="5">
        <v>227.08303958496234</v>
      </c>
      <c r="T9" s="19">
        <v>230.74630189324571</v>
      </c>
      <c r="U9" s="19">
        <v>235.96652435652032</v>
      </c>
      <c r="V9" s="19">
        <v>241.78573761589476</v>
      </c>
      <c r="W9" s="19">
        <v>247.25866237672477</v>
      </c>
      <c r="X9" s="19">
        <v>253.96486903449772</v>
      </c>
      <c r="Z9" s="20">
        <f t="shared" si="5"/>
        <v>7.8883767718109787E-3</v>
      </c>
      <c r="AA9" s="20">
        <f t="shared" si="1"/>
        <v>1.6131818188529934E-2</v>
      </c>
      <c r="AB9" s="20">
        <f t="shared" si="1"/>
        <v>2.2623211815068434E-2</v>
      </c>
      <c r="AC9" s="20">
        <f t="shared" si="1"/>
        <v>2.4661181391061326E-2</v>
      </c>
      <c r="AD9" s="20">
        <f t="shared" si="1"/>
        <v>2.2635432572637448E-2</v>
      </c>
      <c r="AE9" s="20">
        <f t="shared" si="1"/>
        <v>2.712223140459824E-2</v>
      </c>
      <c r="AG9" s="5">
        <f t="shared" si="6"/>
        <v>0</v>
      </c>
      <c r="AH9" s="5">
        <f t="shared" si="2"/>
        <v>0</v>
      </c>
      <c r="AI9" s="19">
        <f t="shared" si="2"/>
        <v>0.17078282727771921</v>
      </c>
      <c r="AJ9" s="19">
        <f t="shared" si="2"/>
        <v>-0.53542606047557229</v>
      </c>
      <c r="AK9" s="19">
        <f t="shared" si="2"/>
        <v>-0.22456628332506057</v>
      </c>
      <c r="AL9" s="19">
        <f t="shared" si="2"/>
        <v>-0.17369250728040697</v>
      </c>
      <c r="AM9" s="19">
        <f t="shared" si="2"/>
        <v>-0.46737351056506782</v>
      </c>
      <c r="AO9" s="20">
        <f t="shared" si="7"/>
        <v>0</v>
      </c>
      <c r="AP9" s="20">
        <f t="shared" si="3"/>
        <v>0</v>
      </c>
      <c r="AQ9" s="20">
        <f t="shared" si="3"/>
        <v>7.4013245662651883E-4</v>
      </c>
      <c r="AR9" s="20">
        <f t="shared" si="3"/>
        <v>-2.2690763528244728E-3</v>
      </c>
      <c r="AS9" s="20">
        <f t="shared" si="3"/>
        <v>-9.2878217524061668E-4</v>
      </c>
      <c r="AT9" s="20">
        <f t="shared" si="3"/>
        <v>-7.024728905786759E-4</v>
      </c>
      <c r="AU9" s="20">
        <f t="shared" si="3"/>
        <v>-1.840307725796464E-3</v>
      </c>
    </row>
    <row r="10" spans="2:47" ht="4" customHeight="1" x14ac:dyDescent="0.15">
      <c r="C10" s="23"/>
      <c r="D10" s="23"/>
      <c r="E10" s="24"/>
      <c r="F10" s="24"/>
      <c r="G10" s="24"/>
      <c r="H10" s="24"/>
      <c r="I10" s="24"/>
      <c r="K10" s="20"/>
      <c r="L10" s="20"/>
      <c r="M10" s="20"/>
      <c r="N10" s="20"/>
      <c r="O10" s="20"/>
      <c r="P10" s="20"/>
      <c r="Q10" s="25"/>
      <c r="R10" s="23"/>
      <c r="S10" s="23"/>
      <c r="T10" s="24"/>
      <c r="U10" s="24"/>
      <c r="V10" s="24"/>
      <c r="W10" s="24"/>
      <c r="X10" s="24"/>
      <c r="Z10" s="20"/>
      <c r="AA10" s="20"/>
      <c r="AB10" s="20"/>
      <c r="AC10" s="20"/>
      <c r="AD10" s="20"/>
      <c r="AE10" s="20"/>
      <c r="AG10" s="23"/>
      <c r="AH10" s="23"/>
      <c r="AI10" s="24"/>
      <c r="AJ10" s="24"/>
      <c r="AK10" s="24"/>
      <c r="AL10" s="24"/>
      <c r="AM10" s="24"/>
      <c r="AO10" s="20"/>
      <c r="AP10" s="20"/>
      <c r="AQ10" s="20"/>
      <c r="AR10" s="20"/>
      <c r="AS10" s="20"/>
      <c r="AT10" s="20"/>
      <c r="AU10" s="20"/>
    </row>
    <row r="11" spans="2:47" x14ac:dyDescent="0.15">
      <c r="B11" s="27" t="s">
        <v>8</v>
      </c>
      <c r="C11" s="23"/>
      <c r="D11" s="23"/>
      <c r="E11" s="24"/>
      <c r="F11" s="24"/>
      <c r="G11" s="24"/>
      <c r="H11" s="24"/>
      <c r="I11" s="24"/>
      <c r="K11" s="20"/>
      <c r="L11" s="20"/>
      <c r="M11" s="20"/>
      <c r="N11" s="20"/>
      <c r="O11" s="20"/>
      <c r="P11" s="20"/>
      <c r="Q11" s="25"/>
      <c r="R11" s="23"/>
      <c r="S11" s="23"/>
      <c r="T11" s="24"/>
      <c r="U11" s="24"/>
      <c r="V11" s="24"/>
      <c r="W11" s="24"/>
      <c r="X11" s="24"/>
      <c r="Z11" s="20"/>
      <c r="AA11" s="20"/>
      <c r="AB11" s="20"/>
      <c r="AC11" s="20"/>
      <c r="AD11" s="20"/>
      <c r="AE11" s="20"/>
      <c r="AG11" s="23"/>
      <c r="AH11" s="23"/>
      <c r="AI11" s="24"/>
      <c r="AJ11" s="24"/>
      <c r="AK11" s="24"/>
      <c r="AL11" s="24"/>
      <c r="AM11" s="24"/>
      <c r="AO11" s="20"/>
      <c r="AP11" s="20"/>
      <c r="AQ11" s="20"/>
      <c r="AR11" s="20"/>
      <c r="AS11" s="20"/>
      <c r="AT11" s="20"/>
      <c r="AU11" s="20"/>
    </row>
    <row r="12" spans="2:47" x14ac:dyDescent="0.15">
      <c r="B12" s="28" t="s">
        <v>9</v>
      </c>
      <c r="C12" s="13">
        <f>tbl_model!R13</f>
        <v>252.98901310126922</v>
      </c>
      <c r="D12" s="13">
        <f>tbl_model!S13</f>
        <v>254.99636746355526</v>
      </c>
      <c r="E12" s="14">
        <f>tbl_model!T13</f>
        <v>259.54197715507331</v>
      </c>
      <c r="F12" s="14">
        <f>tbl_model!U13</f>
        <v>265.20869234067595</v>
      </c>
      <c r="G12" s="14">
        <f>tbl_model!V13</f>
        <v>271.58768986738846</v>
      </c>
      <c r="H12" s="14">
        <f>tbl_model!W13</f>
        <v>277.72021825385326</v>
      </c>
      <c r="I12" s="14">
        <f>tbl_model!X13</f>
        <v>284.91771286285973</v>
      </c>
      <c r="K12" s="15">
        <f t="shared" si="4"/>
        <v>7.9345515351787466E-3</v>
      </c>
      <c r="L12" s="15">
        <f t="shared" si="0"/>
        <v>1.7826174297042474E-2</v>
      </c>
      <c r="M12" s="15">
        <f t="shared" si="0"/>
        <v>2.1833520911404891E-2</v>
      </c>
      <c r="N12" s="15">
        <f t="shared" si="0"/>
        <v>2.4052746802575742E-2</v>
      </c>
      <c r="O12" s="15">
        <f t="shared" si="0"/>
        <v>2.2580288486047317E-2</v>
      </c>
      <c r="P12" s="15">
        <f t="shared" si="0"/>
        <v>2.5916350830559765E-2</v>
      </c>
      <c r="Q12" s="16"/>
      <c r="R12" s="13">
        <v>252.98901310126922</v>
      </c>
      <c r="S12" s="13">
        <v>254.99636746355526</v>
      </c>
      <c r="T12" s="14">
        <v>258.68456224606894</v>
      </c>
      <c r="U12" s="14">
        <v>265.03272403230005</v>
      </c>
      <c r="V12" s="14">
        <v>270.96917467107858</v>
      </c>
      <c r="W12" s="14">
        <v>277.08751456439626</v>
      </c>
      <c r="X12" s="14">
        <v>284.66331857754778</v>
      </c>
      <c r="Z12" s="15">
        <f t="shared" ref="Z12:AE15" si="8">S12/R12-1</f>
        <v>7.9345515351787466E-3</v>
      </c>
      <c r="AA12" s="15">
        <f t="shared" si="8"/>
        <v>1.4463714990139209E-2</v>
      </c>
      <c r="AB12" s="15">
        <f t="shared" si="8"/>
        <v>2.4540164790323171E-2</v>
      </c>
      <c r="AC12" s="15">
        <f t="shared" si="8"/>
        <v>2.23989345483806E-2</v>
      </c>
      <c r="AD12" s="15">
        <f t="shared" si="8"/>
        <v>2.25794683131193E-2</v>
      </c>
      <c r="AE12" s="15">
        <f t="shared" si="8"/>
        <v>2.7340834988762719E-2</v>
      </c>
      <c r="AG12" s="13">
        <f t="shared" si="6"/>
        <v>0</v>
      </c>
      <c r="AH12" s="13">
        <f t="shared" si="2"/>
        <v>0</v>
      </c>
      <c r="AI12" s="14">
        <f t="shared" si="2"/>
        <v>0.85741490900437611</v>
      </c>
      <c r="AJ12" s="14">
        <f t="shared" si="2"/>
        <v>0.17596830837590005</v>
      </c>
      <c r="AK12" s="14">
        <f t="shared" si="2"/>
        <v>0.61851519630988605</v>
      </c>
      <c r="AL12" s="14">
        <f t="shared" si="2"/>
        <v>0.63270368945700284</v>
      </c>
      <c r="AM12" s="14">
        <f t="shared" si="2"/>
        <v>0.25439428531194608</v>
      </c>
      <c r="AO12" s="15">
        <f t="shared" si="7"/>
        <v>0</v>
      </c>
      <c r="AP12" s="15">
        <f t="shared" si="3"/>
        <v>0</v>
      </c>
      <c r="AQ12" s="15">
        <f t="shared" si="3"/>
        <v>3.3145190480627917E-3</v>
      </c>
      <c r="AR12" s="15">
        <f t="shared" si="3"/>
        <v>6.6394936330382848E-4</v>
      </c>
      <c r="AS12" s="15">
        <f t="shared" si="3"/>
        <v>2.2826035362164543E-3</v>
      </c>
      <c r="AT12" s="15">
        <f t="shared" si="3"/>
        <v>2.283407429785056E-3</v>
      </c>
      <c r="AU12" s="15">
        <f t="shared" si="3"/>
        <v>8.9366725078288134E-4</v>
      </c>
    </row>
    <row r="13" spans="2:47" x14ac:dyDescent="0.15">
      <c r="B13" s="29" t="s">
        <v>6</v>
      </c>
      <c r="C13" s="5">
        <f>tbl_model!R14</f>
        <v>40.73123110930436</v>
      </c>
      <c r="D13" s="5">
        <f>tbl_model!S14</f>
        <v>40.840473209330497</v>
      </c>
      <c r="E13" s="19">
        <f>tbl_model!T14</f>
        <v>41.786476077685649</v>
      </c>
      <c r="F13" s="19">
        <f>tbl_model!U14</f>
        <v>43.366351588032956</v>
      </c>
      <c r="G13" s="19">
        <f>tbl_model!V14</f>
        <v>44.182253204126511</v>
      </c>
      <c r="H13" s="19">
        <f>tbl_model!W14</f>
        <v>45.412441544465707</v>
      </c>
      <c r="I13" s="19">
        <f>tbl_model!X14</f>
        <v>46.827694658155622</v>
      </c>
      <c r="K13" s="20">
        <f t="shared" si="4"/>
        <v>2.6820230337005757E-3</v>
      </c>
      <c r="L13" s="20">
        <f t="shared" si="0"/>
        <v>2.316336697438226E-2</v>
      </c>
      <c r="M13" s="20">
        <f t="shared" si="0"/>
        <v>3.7808297292409643E-2</v>
      </c>
      <c r="N13" s="20">
        <f t="shared" si="0"/>
        <v>1.88141631983334E-2</v>
      </c>
      <c r="O13" s="20">
        <f t="shared" si="0"/>
        <v>2.7843494867851204E-2</v>
      </c>
      <c r="P13" s="20">
        <f t="shared" si="0"/>
        <v>3.1164435682326408E-2</v>
      </c>
      <c r="Q13" s="21"/>
      <c r="R13" s="5">
        <v>40.73123110930436</v>
      </c>
      <c r="S13" s="5">
        <v>40.840473209330497</v>
      </c>
      <c r="T13" s="19">
        <v>41.21392478982051</v>
      </c>
      <c r="U13" s="19">
        <v>42.893743504028123</v>
      </c>
      <c r="V13" s="19">
        <v>43.627403000296169</v>
      </c>
      <c r="W13" s="19">
        <v>44.844961591925482</v>
      </c>
      <c r="X13" s="19">
        <v>46.30965254517838</v>
      </c>
      <c r="Z13" s="20">
        <f t="shared" si="8"/>
        <v>2.6820230337005757E-3</v>
      </c>
      <c r="AA13" s="20">
        <f t="shared" si="8"/>
        <v>9.1441540987016179E-3</v>
      </c>
      <c r="AB13" s="20">
        <f t="shared" si="8"/>
        <v>4.075852330915386E-2</v>
      </c>
      <c r="AC13" s="20">
        <f t="shared" si="8"/>
        <v>1.7104114407714199E-2</v>
      </c>
      <c r="AD13" s="20">
        <f t="shared" si="8"/>
        <v>2.7908115264643429E-2</v>
      </c>
      <c r="AE13" s="20">
        <f t="shared" si="8"/>
        <v>3.2661215468999805E-2</v>
      </c>
      <c r="AG13" s="5">
        <f t="shared" si="6"/>
        <v>0</v>
      </c>
      <c r="AH13" s="5">
        <f t="shared" si="2"/>
        <v>0</v>
      </c>
      <c r="AI13" s="19">
        <f t="shared" si="2"/>
        <v>0.57255128786513865</v>
      </c>
      <c r="AJ13" s="19">
        <f t="shared" si="2"/>
        <v>0.47260808400483256</v>
      </c>
      <c r="AK13" s="19">
        <f t="shared" si="2"/>
        <v>0.55485020383034112</v>
      </c>
      <c r="AL13" s="19">
        <f t="shared" si="2"/>
        <v>0.56747995254022499</v>
      </c>
      <c r="AM13" s="19">
        <f t="shared" si="2"/>
        <v>0.51804211297724123</v>
      </c>
      <c r="AO13" s="20">
        <f t="shared" si="7"/>
        <v>0</v>
      </c>
      <c r="AP13" s="20">
        <f t="shared" si="3"/>
        <v>0</v>
      </c>
      <c r="AQ13" s="20">
        <f t="shared" si="3"/>
        <v>1.3892180635185492E-2</v>
      </c>
      <c r="AR13" s="20">
        <f t="shared" si="3"/>
        <v>1.1018112325879237E-2</v>
      </c>
      <c r="AS13" s="20">
        <f t="shared" si="3"/>
        <v>1.2717928771203146E-2</v>
      </c>
      <c r="AT13" s="20">
        <f t="shared" si="3"/>
        <v>1.2654263319569869E-2</v>
      </c>
      <c r="AU13" s="20">
        <f t="shared" si="3"/>
        <v>1.1186482396339681E-2</v>
      </c>
    </row>
    <row r="14" spans="2:47" x14ac:dyDescent="0.15">
      <c r="B14" s="30" t="s">
        <v>10</v>
      </c>
      <c r="C14" s="5">
        <f>tbl_model!R15</f>
        <v>7.083692366835538</v>
      </c>
      <c r="D14" s="5">
        <f>tbl_model!S15</f>
        <v>7.2802582677502157</v>
      </c>
      <c r="E14" s="19">
        <f>tbl_model!T15</f>
        <v>7.4190979874276968</v>
      </c>
      <c r="F14" s="19">
        <f>tbl_model!U15</f>
        <v>7.6611034425289928</v>
      </c>
      <c r="G14" s="19">
        <f>tbl_model!V15</f>
        <v>7.8130459336690219</v>
      </c>
      <c r="H14" s="19">
        <f>tbl_model!W15</f>
        <v>8.0386190264634454</v>
      </c>
      <c r="I14" s="19">
        <f>tbl_model!X15</f>
        <v>8.2974271901404784</v>
      </c>
      <c r="K14" s="20">
        <f t="shared" si="4"/>
        <v>2.7749073609543151E-2</v>
      </c>
      <c r="L14" s="20">
        <f t="shared" si="0"/>
        <v>1.9070713506484704E-2</v>
      </c>
      <c r="M14" s="20">
        <f t="shared" si="0"/>
        <v>3.2619255805947711E-2</v>
      </c>
      <c r="N14" s="20">
        <f t="shared" si="0"/>
        <v>1.9832977361531556E-2</v>
      </c>
      <c r="O14" s="20">
        <f t="shared" si="0"/>
        <v>2.8871338362718824E-2</v>
      </c>
      <c r="P14" s="20">
        <f t="shared" si="0"/>
        <v>3.2195600118008594E-2</v>
      </c>
      <c r="Q14" s="21"/>
      <c r="R14" s="5">
        <v>7.083692366835538</v>
      </c>
      <c r="S14" s="5">
        <v>7.2802582677502157</v>
      </c>
      <c r="T14" s="19">
        <v>7.4202983719411586</v>
      </c>
      <c r="U14" s="19">
        <v>7.6841250822143241</v>
      </c>
      <c r="V14" s="19">
        <v>7.8233707919804472</v>
      </c>
      <c r="W14" s="19">
        <v>8.0497480321268817</v>
      </c>
      <c r="X14" s="19">
        <v>8.3209752496624088</v>
      </c>
      <c r="Z14" s="20">
        <f t="shared" si="8"/>
        <v>2.7749073609543151E-2</v>
      </c>
      <c r="AA14" s="20">
        <f t="shared" si="8"/>
        <v>1.9235595639688574E-2</v>
      </c>
      <c r="AB14" s="20">
        <f t="shared" si="8"/>
        <v>3.5554730692608061E-2</v>
      </c>
      <c r="AC14" s="20">
        <f t="shared" si="8"/>
        <v>1.8121218522121785E-2</v>
      </c>
      <c r="AD14" s="20">
        <f t="shared" si="8"/>
        <v>2.893602337990786E-2</v>
      </c>
      <c r="AE14" s="20">
        <f t="shared" si="8"/>
        <v>3.3693876684468549E-2</v>
      </c>
      <c r="AG14" s="5">
        <f t="shared" si="6"/>
        <v>0</v>
      </c>
      <c r="AH14" s="5">
        <f t="shared" si="2"/>
        <v>0</v>
      </c>
      <c r="AI14" s="19">
        <f t="shared" si="2"/>
        <v>-1.2003845134618274E-3</v>
      </c>
      <c r="AJ14" s="19">
        <f t="shared" si="2"/>
        <v>-2.302163968533133E-2</v>
      </c>
      <c r="AK14" s="19">
        <f t="shared" si="2"/>
        <v>-1.0324858311425267E-2</v>
      </c>
      <c r="AL14" s="19">
        <f t="shared" si="2"/>
        <v>-1.1129005663436331E-2</v>
      </c>
      <c r="AM14" s="19">
        <f t="shared" si="2"/>
        <v>-2.3548059521930398E-2</v>
      </c>
      <c r="AO14" s="20">
        <f t="shared" si="7"/>
        <v>0</v>
      </c>
      <c r="AP14" s="20">
        <f t="shared" si="3"/>
        <v>0</v>
      </c>
      <c r="AQ14" s="20">
        <f t="shared" si="3"/>
        <v>-1.6177038352005457E-4</v>
      </c>
      <c r="AR14" s="20">
        <f t="shared" si="3"/>
        <v>-2.996000122202247E-3</v>
      </c>
      <c r="AS14" s="20">
        <f t="shared" si="3"/>
        <v>-1.3197454889916083E-3</v>
      </c>
      <c r="AT14" s="20">
        <f t="shared" si="3"/>
        <v>-1.3825284492160472E-3</v>
      </c>
      <c r="AU14" s="20">
        <f t="shared" si="3"/>
        <v>-2.8299638943026784E-3</v>
      </c>
    </row>
    <row r="15" spans="2:47" x14ac:dyDescent="0.15">
      <c r="B15" s="29" t="s">
        <v>7</v>
      </c>
      <c r="C15" s="5">
        <f>tbl_model!R16</f>
        <v>212.25778199196486</v>
      </c>
      <c r="D15" s="5">
        <f>tbl_model!S16</f>
        <v>214.15589425422476</v>
      </c>
      <c r="E15" s="19">
        <f>tbl_model!T16</f>
        <v>217.75550107738766</v>
      </c>
      <c r="F15" s="19">
        <f>tbl_model!U16</f>
        <v>221.842340752643</v>
      </c>
      <c r="G15" s="19">
        <f>tbl_model!V16</f>
        <v>227.40543666326195</v>
      </c>
      <c r="H15" s="19">
        <f>tbl_model!W16</f>
        <v>232.30777670938755</v>
      </c>
      <c r="I15" s="19">
        <f>tbl_model!X16</f>
        <v>238.09001820470411</v>
      </c>
      <c r="K15" s="20">
        <f t="shared" si="4"/>
        <v>8.9424860867139966E-3</v>
      </c>
      <c r="L15" s="20">
        <f t="shared" si="0"/>
        <v>1.6808348122745675E-2</v>
      </c>
      <c r="M15" s="20">
        <f t="shared" si="0"/>
        <v>1.8768020348670422E-2</v>
      </c>
      <c r="N15" s="20">
        <f t="shared" si="0"/>
        <v>2.5076799549378581E-2</v>
      </c>
      <c r="O15" s="20">
        <f t="shared" si="0"/>
        <v>2.1557708197561309E-2</v>
      </c>
      <c r="P15" s="20">
        <f t="shared" si="0"/>
        <v>2.4890434479729162E-2</v>
      </c>
      <c r="Q15" s="21"/>
      <c r="R15" s="5">
        <v>212.25778199196486</v>
      </c>
      <c r="S15" s="5">
        <v>214.15589425422476</v>
      </c>
      <c r="T15" s="19">
        <v>217.47063745624843</v>
      </c>
      <c r="U15" s="19">
        <v>222.13898052827193</v>
      </c>
      <c r="V15" s="19">
        <v>227.34177167078241</v>
      </c>
      <c r="W15" s="19">
        <v>232.24255297247078</v>
      </c>
      <c r="X15" s="19">
        <v>238.3536660323694</v>
      </c>
      <c r="Z15" s="20">
        <f t="shared" si="8"/>
        <v>8.9424860867139966E-3</v>
      </c>
      <c r="AA15" s="20">
        <f t="shared" si="8"/>
        <v>1.5478178705129242E-2</v>
      </c>
      <c r="AB15" s="20">
        <f t="shared" si="8"/>
        <v>2.1466544295952072E-2</v>
      </c>
      <c r="AC15" s="20">
        <f t="shared" si="8"/>
        <v>2.3421333482928741E-2</v>
      </c>
      <c r="AD15" s="20">
        <f t="shared" si="8"/>
        <v>2.155688884480611E-2</v>
      </c>
      <c r="AE15" s="20">
        <f t="shared" si="8"/>
        <v>2.6313494153773931E-2</v>
      </c>
      <c r="AG15" s="5">
        <f t="shared" si="6"/>
        <v>0</v>
      </c>
      <c r="AH15" s="5">
        <f t="shared" si="2"/>
        <v>0</v>
      </c>
      <c r="AI15" s="19">
        <f t="shared" si="2"/>
        <v>0.28486362113923747</v>
      </c>
      <c r="AJ15" s="19">
        <f t="shared" si="2"/>
        <v>-0.29663977562893251</v>
      </c>
      <c r="AK15" s="19">
        <f t="shared" si="2"/>
        <v>6.3664992479544935E-2</v>
      </c>
      <c r="AL15" s="19">
        <f t="shared" si="2"/>
        <v>6.5223736916777852E-2</v>
      </c>
      <c r="AM15" s="19">
        <f t="shared" si="2"/>
        <v>-0.26364782766529515</v>
      </c>
      <c r="AO15" s="20">
        <f t="shared" si="7"/>
        <v>0</v>
      </c>
      <c r="AP15" s="20">
        <f t="shared" si="3"/>
        <v>0</v>
      </c>
      <c r="AQ15" s="20">
        <f t="shared" si="3"/>
        <v>1.3098946343803597E-3</v>
      </c>
      <c r="AR15" s="20">
        <f t="shared" si="3"/>
        <v>-1.3353792068527826E-3</v>
      </c>
      <c r="AS15" s="20">
        <f t="shared" si="3"/>
        <v>2.800408917889019E-4</v>
      </c>
      <c r="AT15" s="20">
        <f t="shared" si="3"/>
        <v>2.8084317917609347E-4</v>
      </c>
      <c r="AU15" s="20">
        <f t="shared" si="3"/>
        <v>-1.10612029617152E-3</v>
      </c>
    </row>
    <row r="16" spans="2:47" ht="4" customHeight="1" x14ac:dyDescent="0.15">
      <c r="B16" s="29"/>
      <c r="C16" s="23"/>
      <c r="D16" s="23"/>
      <c r="E16" s="24"/>
      <c r="F16" s="24"/>
      <c r="G16" s="24"/>
      <c r="H16" s="24"/>
      <c r="I16" s="24"/>
      <c r="K16" s="20"/>
      <c r="L16" s="20"/>
      <c r="M16" s="20"/>
      <c r="N16" s="20"/>
      <c r="O16" s="20"/>
      <c r="P16" s="20"/>
      <c r="Q16" s="25"/>
      <c r="R16" s="23"/>
      <c r="S16" s="23"/>
      <c r="T16" s="24"/>
      <c r="U16" s="24"/>
      <c r="V16" s="24"/>
      <c r="W16" s="24"/>
      <c r="X16" s="24"/>
      <c r="Z16" s="20"/>
      <c r="AA16" s="20"/>
      <c r="AB16" s="20"/>
      <c r="AC16" s="20"/>
      <c r="AD16" s="20"/>
      <c r="AE16" s="20"/>
      <c r="AG16" s="23"/>
      <c r="AH16" s="23"/>
      <c r="AI16" s="24"/>
      <c r="AJ16" s="24"/>
      <c r="AK16" s="24"/>
      <c r="AL16" s="24"/>
      <c r="AM16" s="24"/>
      <c r="AO16" s="20"/>
      <c r="AP16" s="20"/>
      <c r="AQ16" s="20"/>
      <c r="AR16" s="20"/>
      <c r="AS16" s="20"/>
      <c r="AT16" s="20"/>
      <c r="AU16" s="20"/>
    </row>
    <row r="17" spans="1:47" x14ac:dyDescent="0.15">
      <c r="A17" s="21"/>
      <c r="B17" s="29" t="s">
        <v>12</v>
      </c>
      <c r="C17" s="5">
        <f>tbl_model!R18</f>
        <v>86.028913905086597</v>
      </c>
      <c r="D17" s="5">
        <f>tbl_model!S18</f>
        <v>87.216369314104668</v>
      </c>
      <c r="E17" s="19">
        <f>tbl_model!T18</f>
        <v>88.258790894133085</v>
      </c>
      <c r="F17" s="19">
        <f>tbl_model!U18</f>
        <v>90.098279600090478</v>
      </c>
      <c r="G17" s="19">
        <f>tbl_model!V18</f>
        <v>92.086068407498431</v>
      </c>
      <c r="H17" s="19">
        <f>tbl_model!W18</f>
        <v>94.348953217541805</v>
      </c>
      <c r="I17" s="19">
        <f>tbl_model!X18</f>
        <v>96.982257368696935</v>
      </c>
      <c r="K17" s="20">
        <f t="shared" si="4"/>
        <v>1.3802980359930661E-2</v>
      </c>
      <c r="L17" s="20">
        <f t="shared" si="0"/>
        <v>1.1952132245659053E-2</v>
      </c>
      <c r="M17" s="20">
        <f t="shared" si="0"/>
        <v>2.0841988512666942E-2</v>
      </c>
      <c r="N17" s="20">
        <f t="shared" si="0"/>
        <v>2.2062450206939976E-2</v>
      </c>
      <c r="O17" s="20">
        <f t="shared" si="0"/>
        <v>2.4573584790586134E-2</v>
      </c>
      <c r="P17" s="20">
        <f t="shared" si="0"/>
        <v>2.7910263562580084E-2</v>
      </c>
      <c r="Q17" s="21"/>
      <c r="R17" s="5">
        <v>86.028913905086597</v>
      </c>
      <c r="S17" s="5">
        <v>87.216369314104668</v>
      </c>
      <c r="T17" s="19">
        <v>88.137428581891129</v>
      </c>
      <c r="U17" s="19">
        <v>90.212969409271693</v>
      </c>
      <c r="V17" s="19">
        <v>92.054908275620477</v>
      </c>
      <c r="W17" s="19">
        <v>94.316413215501257</v>
      </c>
      <c r="X17" s="19">
        <v>97.082870921829823</v>
      </c>
      <c r="Z17" s="20">
        <f t="shared" ref="Z17:AE20" si="9">S17/R17-1</f>
        <v>1.3802980359930661E-2</v>
      </c>
      <c r="AA17" s="20">
        <f t="shared" si="9"/>
        <v>1.0560623825893511E-2</v>
      </c>
      <c r="AB17" s="20">
        <f t="shared" si="9"/>
        <v>2.3548915151888172E-2</v>
      </c>
      <c r="AC17" s="20">
        <f t="shared" si="9"/>
        <v>2.041767251881943E-2</v>
      </c>
      <c r="AD17" s="20">
        <f t="shared" si="9"/>
        <v>2.4566913185222417E-2</v>
      </c>
      <c r="AE17" s="20">
        <f t="shared" si="9"/>
        <v>2.9331667861536959E-2</v>
      </c>
      <c r="AG17" s="5">
        <f t="shared" si="6"/>
        <v>0</v>
      </c>
      <c r="AH17" s="5">
        <f t="shared" si="2"/>
        <v>0</v>
      </c>
      <c r="AI17" s="19">
        <f t="shared" si="2"/>
        <v>0.12136231224195626</v>
      </c>
      <c r="AJ17" s="19">
        <f t="shared" si="2"/>
        <v>-0.11468980918121474</v>
      </c>
      <c r="AK17" s="19">
        <f t="shared" si="2"/>
        <v>3.1160131877953745E-2</v>
      </c>
      <c r="AL17" s="19">
        <f t="shared" si="2"/>
        <v>3.2540002040548188E-2</v>
      </c>
      <c r="AM17" s="19">
        <f t="shared" si="2"/>
        <v>-0.100613553132888</v>
      </c>
      <c r="AO17" s="20">
        <f t="shared" si="7"/>
        <v>0</v>
      </c>
      <c r="AP17" s="20">
        <f t="shared" si="3"/>
        <v>0</v>
      </c>
      <c r="AQ17" s="20">
        <f t="shared" si="3"/>
        <v>1.3769667914602657E-3</v>
      </c>
      <c r="AR17" s="20">
        <f t="shared" si="3"/>
        <v>-1.2713228478368199E-3</v>
      </c>
      <c r="AS17" s="20">
        <f t="shared" si="3"/>
        <v>3.3849506193250889E-4</v>
      </c>
      <c r="AT17" s="20">
        <f t="shared" si="3"/>
        <v>3.4500890069044665E-4</v>
      </c>
      <c r="AU17" s="20">
        <f t="shared" si="3"/>
        <v>-1.0363677153089057E-3</v>
      </c>
    </row>
    <row r="18" spans="1:47" x14ac:dyDescent="0.15">
      <c r="A18" s="21"/>
      <c r="B18" s="29" t="s">
        <v>13</v>
      </c>
      <c r="C18" s="5">
        <f>tbl_model!R19</f>
        <v>166.96009919618263</v>
      </c>
      <c r="D18" s="5">
        <f>tbl_model!S19</f>
        <v>167.77999814945059</v>
      </c>
      <c r="E18" s="19">
        <f>tbl_model!T19</f>
        <v>171.28318626094023</v>
      </c>
      <c r="F18" s="19">
        <f>tbl_model!U19</f>
        <v>175.11041274058547</v>
      </c>
      <c r="G18" s="19">
        <f>tbl_model!V19</f>
        <v>179.50162145989003</v>
      </c>
      <c r="H18" s="19">
        <f>tbl_model!W19</f>
        <v>183.37126503631146</v>
      </c>
      <c r="I18" s="19">
        <f>tbl_model!X19</f>
        <v>187.9354554941628</v>
      </c>
      <c r="K18" s="20">
        <f t="shared" si="4"/>
        <v>4.9107478805732185E-3</v>
      </c>
      <c r="L18" s="20">
        <f t="shared" si="0"/>
        <v>2.0879652819933536E-2</v>
      </c>
      <c r="M18" s="20">
        <f t="shared" si="0"/>
        <v>2.2344437671860451E-2</v>
      </c>
      <c r="N18" s="20">
        <f t="shared" si="0"/>
        <v>2.5076799549378359E-2</v>
      </c>
      <c r="O18" s="20">
        <f t="shared" si="0"/>
        <v>2.1557708197561309E-2</v>
      </c>
      <c r="P18" s="20">
        <f t="shared" si="0"/>
        <v>2.489043447972894E-2</v>
      </c>
      <c r="Q18" s="21"/>
      <c r="R18" s="5">
        <v>166.96009919618263</v>
      </c>
      <c r="S18" s="5">
        <v>167.77999814945059</v>
      </c>
      <c r="T18" s="19">
        <v>170.54713366417781</v>
      </c>
      <c r="U18" s="19">
        <v>174.81975462302836</v>
      </c>
      <c r="V18" s="19">
        <v>178.9142663954581</v>
      </c>
      <c r="W18" s="19">
        <v>182.771101348895</v>
      </c>
      <c r="X18" s="19">
        <v>187.58044765571796</v>
      </c>
      <c r="Z18" s="20">
        <f t="shared" si="9"/>
        <v>4.9107478805732185E-3</v>
      </c>
      <c r="AA18" s="20">
        <f t="shared" si="9"/>
        <v>1.6492642420119497E-2</v>
      </c>
      <c r="AB18" s="20">
        <f t="shared" si="9"/>
        <v>2.5052434872718132E-2</v>
      </c>
      <c r="AC18" s="20">
        <f t="shared" si="9"/>
        <v>2.3421333482928963E-2</v>
      </c>
      <c r="AD18" s="20">
        <f t="shared" si="9"/>
        <v>2.155688884480611E-2</v>
      </c>
      <c r="AE18" s="20">
        <f t="shared" si="9"/>
        <v>2.6313494153773931E-2</v>
      </c>
      <c r="AG18" s="5">
        <f t="shared" si="6"/>
        <v>0</v>
      </c>
      <c r="AH18" s="5">
        <f t="shared" si="2"/>
        <v>0</v>
      </c>
      <c r="AI18" s="19">
        <f t="shared" si="2"/>
        <v>0.73605259676241985</v>
      </c>
      <c r="AJ18" s="19">
        <f t="shared" si="2"/>
        <v>0.29065811755711479</v>
      </c>
      <c r="AK18" s="19">
        <f t="shared" si="2"/>
        <v>0.58735506443193231</v>
      </c>
      <c r="AL18" s="19">
        <f t="shared" si="2"/>
        <v>0.60016368741645465</v>
      </c>
      <c r="AM18" s="19">
        <f t="shared" si="2"/>
        <v>0.35500783844483408</v>
      </c>
      <c r="AO18" s="20">
        <f t="shared" si="7"/>
        <v>0</v>
      </c>
      <c r="AP18" s="20">
        <f t="shared" si="3"/>
        <v>0</v>
      </c>
      <c r="AQ18" s="20">
        <f t="shared" si="3"/>
        <v>4.3158309433202202E-3</v>
      </c>
      <c r="AR18" s="20">
        <f t="shared" si="3"/>
        <v>1.662615979434845E-3</v>
      </c>
      <c r="AS18" s="20">
        <f t="shared" si="3"/>
        <v>3.2828855756739106E-3</v>
      </c>
      <c r="AT18" s="20">
        <f t="shared" si="3"/>
        <v>3.2836902715314142E-3</v>
      </c>
      <c r="AU18" s="20">
        <f t="shared" si="3"/>
        <v>1.8925631262827203E-3</v>
      </c>
    </row>
    <row r="19" spans="1:47" x14ac:dyDescent="0.15">
      <c r="B19" s="30" t="s">
        <v>14</v>
      </c>
      <c r="C19" s="5">
        <f>tbl_model!R20</f>
        <v>111.19542606465764</v>
      </c>
      <c r="D19" s="5">
        <f>tbl_model!S20</f>
        <v>111.57369876938465</v>
      </c>
      <c r="E19" s="19">
        <f>tbl_model!T20</f>
        <v>114.07460204978619</v>
      </c>
      <c r="F19" s="19">
        <f>tbl_model!U20</f>
        <v>116.79864529797052</v>
      </c>
      <c r="G19" s="19">
        <f>tbl_model!V20</f>
        <v>119.54807989228676</v>
      </c>
      <c r="H19" s="19">
        <f>tbl_model!W20</f>
        <v>122.30863377921975</v>
      </c>
      <c r="I19" s="19">
        <f>tbl_model!X20</f>
        <v>125.35294881460659</v>
      </c>
      <c r="K19" s="20">
        <f t="shared" si="4"/>
        <v>3.4018728837557077E-3</v>
      </c>
      <c r="L19" s="20">
        <f t="shared" si="0"/>
        <v>2.2414810192595169E-2</v>
      </c>
      <c r="M19" s="20">
        <f t="shared" si="0"/>
        <v>2.3879489380076668E-2</v>
      </c>
      <c r="N19" s="20">
        <f t="shared" si="0"/>
        <v>2.3539952773442119E-2</v>
      </c>
      <c r="O19" s="20">
        <f t="shared" si="0"/>
        <v>2.3091578630290321E-2</v>
      </c>
      <c r="P19" s="20">
        <f t="shared" si="0"/>
        <v>2.4890434479729162E-2</v>
      </c>
      <c r="Q19" s="21"/>
      <c r="R19" s="5">
        <v>111.19542606465764</v>
      </c>
      <c r="S19" s="5">
        <v>111.57369876938465</v>
      </c>
      <c r="T19" s="19">
        <v>113.58439102034242</v>
      </c>
      <c r="U19" s="19">
        <v>116.60477633355993</v>
      </c>
      <c r="V19" s="19">
        <v>119.1569014193751</v>
      </c>
      <c r="W19" s="19">
        <v>121.90832459971297</v>
      </c>
      <c r="X19" s="19">
        <v>125.11615858636388</v>
      </c>
      <c r="Z19" s="20">
        <f t="shared" si="9"/>
        <v>3.4018728837557077E-3</v>
      </c>
      <c r="AA19" s="20">
        <f t="shared" si="9"/>
        <v>1.8021202784661128E-2</v>
      </c>
      <c r="AB19" s="20">
        <f t="shared" si="9"/>
        <v>2.6591552642797334E-2</v>
      </c>
      <c r="AC19" s="20">
        <f t="shared" si="9"/>
        <v>2.1886968665113304E-2</v>
      </c>
      <c r="AD19" s="20">
        <f t="shared" si="9"/>
        <v>2.3090758047275672E-2</v>
      </c>
      <c r="AE19" s="20">
        <f t="shared" si="9"/>
        <v>2.6313494153773931E-2</v>
      </c>
      <c r="AG19" s="5">
        <f t="shared" si="6"/>
        <v>0</v>
      </c>
      <c r="AH19" s="5">
        <f t="shared" si="2"/>
        <v>0</v>
      </c>
      <c r="AI19" s="19">
        <f t="shared" si="2"/>
        <v>0.49021102944377049</v>
      </c>
      <c r="AJ19" s="19">
        <f t="shared" si="2"/>
        <v>0.19386896441059775</v>
      </c>
      <c r="AK19" s="19">
        <f t="shared" si="2"/>
        <v>0.39117847291166186</v>
      </c>
      <c r="AL19" s="19">
        <f t="shared" si="2"/>
        <v>0.40030917950677747</v>
      </c>
      <c r="AM19" s="19">
        <f t="shared" si="2"/>
        <v>0.23679022824271101</v>
      </c>
      <c r="AO19" s="20">
        <f t="shared" si="7"/>
        <v>0</v>
      </c>
      <c r="AP19" s="20">
        <f t="shared" si="3"/>
        <v>0</v>
      </c>
      <c r="AQ19" s="20">
        <f t="shared" si="3"/>
        <v>4.3158309433202202E-3</v>
      </c>
      <c r="AR19" s="20">
        <f t="shared" si="3"/>
        <v>1.662615979434845E-3</v>
      </c>
      <c r="AS19" s="20">
        <f t="shared" si="3"/>
        <v>3.2828855756739106E-3</v>
      </c>
      <c r="AT19" s="20">
        <f t="shared" si="3"/>
        <v>3.2836902715314142E-3</v>
      </c>
      <c r="AU19" s="20">
        <f t="shared" si="3"/>
        <v>1.8925631262829423E-3</v>
      </c>
    </row>
    <row r="20" spans="1:47" x14ac:dyDescent="0.15">
      <c r="B20" s="30" t="s">
        <v>15</v>
      </c>
      <c r="C20" s="5">
        <f>tbl_model!R21</f>
        <v>55.764673131524987</v>
      </c>
      <c r="D20" s="5">
        <f>tbl_model!S21</f>
        <v>56.206299380065943</v>
      </c>
      <c r="E20" s="19">
        <f>tbl_model!T21</f>
        <v>57.208584211154033</v>
      </c>
      <c r="F20" s="19">
        <f>tbl_model!U21</f>
        <v>58.311767442614951</v>
      </c>
      <c r="G20" s="19">
        <f>tbl_model!V21</f>
        <v>59.953541567603267</v>
      </c>
      <c r="H20" s="19">
        <f>tbl_model!W21</f>
        <v>61.062631257091709</v>
      </c>
      <c r="I20" s="19">
        <f>tbl_model!X21</f>
        <v>62.582506679556204</v>
      </c>
      <c r="K20" s="20">
        <f t="shared" si="4"/>
        <v>7.9194626945870983E-3</v>
      </c>
      <c r="L20" s="20">
        <f t="shared" si="0"/>
        <v>1.7832250871217425E-2</v>
      </c>
      <c r="M20" s="20">
        <f t="shared" si="0"/>
        <v>1.9283526181824717E-2</v>
      </c>
      <c r="N20" s="20">
        <f t="shared" si="0"/>
        <v>2.8155108256733952E-2</v>
      </c>
      <c r="O20" s="20">
        <f t="shared" si="0"/>
        <v>1.8499152184993761E-2</v>
      </c>
      <c r="P20" s="20">
        <f t="shared" si="0"/>
        <v>2.489043447972894E-2</v>
      </c>
      <c r="Q20" s="21"/>
      <c r="R20" s="5">
        <v>55.764673131524987</v>
      </c>
      <c r="S20" s="5">
        <v>56.206299380065943</v>
      </c>
      <c r="T20" s="19">
        <v>56.962742643835384</v>
      </c>
      <c r="U20" s="19">
        <v>58.214978289468434</v>
      </c>
      <c r="V20" s="19">
        <v>59.757364976082997</v>
      </c>
      <c r="W20" s="19">
        <v>60.862776749182032</v>
      </c>
      <c r="X20" s="19">
        <v>62.464289069354081</v>
      </c>
      <c r="Z20" s="20">
        <f t="shared" si="9"/>
        <v>7.9194626945870983E-3</v>
      </c>
      <c r="AA20" s="20">
        <f t="shared" si="9"/>
        <v>1.3458336024835704E-2</v>
      </c>
      <c r="AB20" s="20">
        <f t="shared" si="9"/>
        <v>2.1983415606631862E-2</v>
      </c>
      <c r="AC20" s="20">
        <f t="shared" si="9"/>
        <v>2.6494670820715438E-2</v>
      </c>
      <c r="AD20" s="20">
        <f t="shared" si="9"/>
        <v>1.8498335285390466E-2</v>
      </c>
      <c r="AE20" s="20">
        <f t="shared" si="9"/>
        <v>2.6313494153773931E-2</v>
      </c>
      <c r="AG20" s="5">
        <f t="shared" si="6"/>
        <v>0</v>
      </c>
      <c r="AH20" s="5">
        <f t="shared" si="2"/>
        <v>0</v>
      </c>
      <c r="AI20" s="19">
        <f t="shared" si="2"/>
        <v>0.24584156731864937</v>
      </c>
      <c r="AJ20" s="19">
        <f t="shared" si="2"/>
        <v>9.6789153146517037E-2</v>
      </c>
      <c r="AK20" s="19">
        <f t="shared" si="2"/>
        <v>0.19617659152027045</v>
      </c>
      <c r="AL20" s="19">
        <f t="shared" si="2"/>
        <v>0.19985450790967718</v>
      </c>
      <c r="AM20" s="19">
        <f t="shared" si="2"/>
        <v>0.11821761020212307</v>
      </c>
      <c r="AO20" s="20">
        <f t="shared" si="7"/>
        <v>0</v>
      </c>
      <c r="AP20" s="20">
        <f t="shared" si="3"/>
        <v>0</v>
      </c>
      <c r="AQ20" s="20">
        <f t="shared" si="3"/>
        <v>4.3158309433202202E-3</v>
      </c>
      <c r="AR20" s="20">
        <f t="shared" si="3"/>
        <v>1.662615979434845E-3</v>
      </c>
      <c r="AS20" s="20">
        <f t="shared" si="3"/>
        <v>3.2828855756739106E-3</v>
      </c>
      <c r="AT20" s="20">
        <f t="shared" si="3"/>
        <v>3.2836902715314142E-3</v>
      </c>
      <c r="AU20" s="20">
        <f t="shared" si="3"/>
        <v>1.8925631262827203E-3</v>
      </c>
    </row>
    <row r="21" spans="1:47" ht="4" customHeight="1" x14ac:dyDescent="0.15">
      <c r="B21" s="30"/>
      <c r="C21" s="5"/>
      <c r="D21" s="5"/>
      <c r="E21" s="19"/>
      <c r="F21" s="19"/>
      <c r="G21" s="19"/>
      <c r="H21" s="19"/>
      <c r="I21" s="19"/>
      <c r="K21" s="20"/>
      <c r="L21" s="20"/>
      <c r="M21" s="20"/>
      <c r="N21" s="20"/>
      <c r="O21" s="20"/>
      <c r="P21" s="20"/>
      <c r="Q21" s="21"/>
      <c r="R21" s="5"/>
      <c r="S21" s="5"/>
      <c r="T21" s="19"/>
      <c r="U21" s="19"/>
      <c r="V21" s="19"/>
      <c r="W21" s="19"/>
      <c r="X21" s="19"/>
      <c r="Z21" s="20"/>
      <c r="AA21" s="20"/>
      <c r="AB21" s="20"/>
      <c r="AC21" s="20"/>
      <c r="AD21" s="20"/>
      <c r="AE21" s="20"/>
      <c r="AG21" s="5"/>
      <c r="AH21" s="5"/>
      <c r="AI21" s="19"/>
      <c r="AJ21" s="19"/>
      <c r="AK21" s="19"/>
      <c r="AL21" s="19"/>
      <c r="AM21" s="19"/>
      <c r="AO21" s="20"/>
      <c r="AP21" s="20"/>
      <c r="AQ21" s="20"/>
      <c r="AR21" s="20"/>
      <c r="AS21" s="20"/>
      <c r="AT21" s="20"/>
      <c r="AU21" s="20"/>
    </row>
    <row r="22" spans="1:47" x14ac:dyDescent="0.15">
      <c r="B22" s="29" t="s">
        <v>1</v>
      </c>
      <c r="C22" s="5">
        <f>tbl_model!R23</f>
        <v>114.35103392177369</v>
      </c>
      <c r="D22" s="5">
        <f>tbl_model!S23</f>
        <v>115.03943678420536</v>
      </c>
      <c r="E22" s="19">
        <f>tbl_model!T23</f>
        <v>117.46188837176963</v>
      </c>
      <c r="F22" s="19">
        <f>tbl_model!U23</f>
        <v>119.83154649818191</v>
      </c>
      <c r="G22" s="19">
        <f>tbl_model!V23</f>
        <v>122.83254506057328</v>
      </c>
      <c r="H22" s="19">
        <f>tbl_model!W23</f>
        <v>125.67012026749002</v>
      </c>
      <c r="I22" s="19">
        <f>tbl_model!X23</f>
        <v>128.92703119326092</v>
      </c>
      <c r="K22" s="20">
        <f t="shared" si="4"/>
        <v>6.0200842862740966E-3</v>
      </c>
      <c r="L22" s="20">
        <f t="shared" si="0"/>
        <v>2.1057575169707965E-2</v>
      </c>
      <c r="M22" s="20">
        <f t="shared" si="0"/>
        <v>2.0173846677079332E-2</v>
      </c>
      <c r="N22" s="20">
        <f t="shared" si="0"/>
        <v>2.5043476864724523E-2</v>
      </c>
      <c r="O22" s="20">
        <f t="shared" si="0"/>
        <v>2.3101167573442494E-2</v>
      </c>
      <c r="P22" s="20">
        <f t="shared" si="0"/>
        <v>2.5916350830559542E-2</v>
      </c>
      <c r="Q22" s="21"/>
      <c r="R22" s="5">
        <v>114.35103392177369</v>
      </c>
      <c r="S22" s="5">
        <v>115.03943678420536</v>
      </c>
      <c r="T22" s="19">
        <v>116.77449423472591</v>
      </c>
      <c r="U22" s="19">
        <v>119.36828555056816</v>
      </c>
      <c r="V22" s="19">
        <v>122.12141898312923</v>
      </c>
      <c r="W22" s="19">
        <v>124.93696189832505</v>
      </c>
      <c r="X22" s="19">
        <v>128.35284275758448</v>
      </c>
      <c r="Z22" s="20">
        <f t="shared" ref="Z22:AE23" si="10">S22/R22-1</f>
        <v>6.0200842862740966E-3</v>
      </c>
      <c r="AA22" s="20">
        <f t="shared" si="10"/>
        <v>1.5082283945593522E-2</v>
      </c>
      <c r="AB22" s="20">
        <f t="shared" si="10"/>
        <v>2.2211967885971129E-2</v>
      </c>
      <c r="AC22" s="20">
        <f t="shared" si="10"/>
        <v>2.306419514917768E-2</v>
      </c>
      <c r="AD22" s="20">
        <f t="shared" si="10"/>
        <v>2.3055275140430265E-2</v>
      </c>
      <c r="AE22" s="20">
        <f t="shared" si="10"/>
        <v>2.7340834988762719E-2</v>
      </c>
      <c r="AG22" s="5">
        <f t="shared" si="6"/>
        <v>0</v>
      </c>
      <c r="AH22" s="5">
        <f t="shared" si="2"/>
        <v>0</v>
      </c>
      <c r="AI22" s="19">
        <f t="shared" si="2"/>
        <v>0.6873941370437251</v>
      </c>
      <c r="AJ22" s="19">
        <f t="shared" si="2"/>
        <v>0.46326094761374748</v>
      </c>
      <c r="AK22" s="19">
        <f t="shared" si="2"/>
        <v>0.71112607744404954</v>
      </c>
      <c r="AL22" s="19">
        <f t="shared" si="2"/>
        <v>0.73315836916496835</v>
      </c>
      <c r="AM22" s="19">
        <f t="shared" si="2"/>
        <v>0.57418843567643307</v>
      </c>
      <c r="AO22" s="20">
        <f t="shared" si="7"/>
        <v>0</v>
      </c>
      <c r="AP22" s="20">
        <f t="shared" si="3"/>
        <v>0</v>
      </c>
      <c r="AQ22" s="20">
        <f t="shared" si="3"/>
        <v>5.8865092206008551E-3</v>
      </c>
      <c r="AR22" s="20">
        <f t="shared" si="3"/>
        <v>3.8809382699687145E-3</v>
      </c>
      <c r="AS22" s="20">
        <f t="shared" si="3"/>
        <v>5.8231068993908064E-3</v>
      </c>
      <c r="AT22" s="20">
        <f t="shared" si="3"/>
        <v>5.8682263281031322E-3</v>
      </c>
      <c r="AU22" s="20">
        <f t="shared" si="3"/>
        <v>4.4735155321871112E-3</v>
      </c>
    </row>
    <row r="23" spans="1:47" x14ac:dyDescent="0.15">
      <c r="B23" s="29" t="s">
        <v>16</v>
      </c>
      <c r="C23" s="5">
        <f>tbl_model!R24</f>
        <v>138.63797917949552</v>
      </c>
      <c r="D23" s="5">
        <f>tbl_model!S24</f>
        <v>139.95693067934991</v>
      </c>
      <c r="E23" s="19">
        <f>tbl_model!T24</f>
        <v>142.08008878330367</v>
      </c>
      <c r="F23" s="19">
        <f>tbl_model!U24</f>
        <v>145.37714584249403</v>
      </c>
      <c r="G23" s="19">
        <f>tbl_model!V24</f>
        <v>148.75514480681517</v>
      </c>
      <c r="H23" s="19">
        <f>tbl_model!W24</f>
        <v>152.05009798636326</v>
      </c>
      <c r="I23" s="19">
        <f>tbl_model!X24</f>
        <v>155.99068166959881</v>
      </c>
      <c r="K23" s="20">
        <f t="shared" si="4"/>
        <v>9.5136376601878681E-3</v>
      </c>
      <c r="L23" s="20">
        <f t="shared" si="4"/>
        <v>1.5170081921973777E-2</v>
      </c>
      <c r="M23" s="20">
        <f t="shared" si="4"/>
        <v>2.3205623584729995E-2</v>
      </c>
      <c r="N23" s="20">
        <f t="shared" si="4"/>
        <v>2.32361073313474E-2</v>
      </c>
      <c r="O23" s="20">
        <f t="shared" si="4"/>
        <v>2.2150179638002809E-2</v>
      </c>
      <c r="P23" s="20">
        <f t="shared" si="4"/>
        <v>2.5916350830559542E-2</v>
      </c>
      <c r="Q23" s="21"/>
      <c r="R23" s="5">
        <v>138.63797917949552</v>
      </c>
      <c r="S23" s="5">
        <v>139.95693067934991</v>
      </c>
      <c r="T23" s="19">
        <v>141.91006801134301</v>
      </c>
      <c r="U23" s="19">
        <v>145.66443848173191</v>
      </c>
      <c r="V23" s="19">
        <v>148.84775568794936</v>
      </c>
      <c r="W23" s="19">
        <v>152.15055266607121</v>
      </c>
      <c r="X23" s="19">
        <v>156.3104758199633</v>
      </c>
      <c r="Z23" s="20">
        <f t="shared" si="10"/>
        <v>9.5136376601878681E-3</v>
      </c>
      <c r="AA23" s="20">
        <f t="shared" si="10"/>
        <v>1.3955274115491134E-2</v>
      </c>
      <c r="AB23" s="20">
        <f t="shared" si="10"/>
        <v>2.6455983870635524E-2</v>
      </c>
      <c r="AC23" s="20">
        <f t="shared" si="10"/>
        <v>2.1853770483704515E-2</v>
      </c>
      <c r="AD23" s="20">
        <f t="shared" si="10"/>
        <v>2.218909491014398E-2</v>
      </c>
      <c r="AE23" s="20">
        <f t="shared" si="10"/>
        <v>2.7340834988762719E-2</v>
      </c>
      <c r="AG23" s="5">
        <f t="shared" si="6"/>
        <v>0</v>
      </c>
      <c r="AH23" s="5">
        <f t="shared" si="6"/>
        <v>0</v>
      </c>
      <c r="AI23" s="19">
        <f t="shared" si="6"/>
        <v>0.17002077196065102</v>
      </c>
      <c r="AJ23" s="19">
        <f t="shared" si="6"/>
        <v>-0.28729263923787585</v>
      </c>
      <c r="AK23" s="19">
        <f t="shared" si="6"/>
        <v>-9.2610881134191914E-2</v>
      </c>
      <c r="AL23" s="19">
        <f t="shared" si="6"/>
        <v>-0.1004546797079513</v>
      </c>
      <c r="AM23" s="19">
        <f t="shared" si="6"/>
        <v>-0.319794150364487</v>
      </c>
      <c r="AO23" s="20">
        <f t="shared" si="7"/>
        <v>0</v>
      </c>
      <c r="AP23" s="20">
        <f t="shared" si="7"/>
        <v>0</v>
      </c>
      <c r="AQ23" s="20">
        <f t="shared" si="7"/>
        <v>1.1980881578259606E-3</v>
      </c>
      <c r="AR23" s="20">
        <f t="shared" si="7"/>
        <v>-1.9722908503430059E-3</v>
      </c>
      <c r="AS23" s="20">
        <f t="shared" si="7"/>
        <v>-6.2218527048774064E-4</v>
      </c>
      <c r="AT23" s="20">
        <f t="shared" si="7"/>
        <v>-6.6023210529131404E-4</v>
      </c>
      <c r="AU23" s="20">
        <f t="shared" si="7"/>
        <v>-2.0458907100558976E-3</v>
      </c>
    </row>
    <row r="24" spans="1:47" ht="4" customHeight="1" x14ac:dyDescent="0.15">
      <c r="B24" s="30"/>
      <c r="C24" s="5"/>
      <c r="D24" s="5"/>
      <c r="E24" s="19"/>
      <c r="F24" s="19"/>
      <c r="G24" s="19"/>
      <c r="H24" s="19"/>
      <c r="I24" s="19"/>
      <c r="K24" s="20"/>
      <c r="L24" s="20"/>
      <c r="M24" s="20"/>
      <c r="N24" s="20"/>
      <c r="O24" s="20"/>
      <c r="P24" s="20"/>
      <c r="Q24" s="21"/>
      <c r="R24" s="5"/>
      <c r="S24" s="5"/>
      <c r="T24" s="19"/>
      <c r="U24" s="19"/>
      <c r="V24" s="19"/>
      <c r="W24" s="19"/>
      <c r="X24" s="19"/>
      <c r="Z24" s="20"/>
      <c r="AA24" s="20"/>
      <c r="AB24" s="20"/>
      <c r="AC24" s="20"/>
      <c r="AD24" s="20"/>
      <c r="AE24" s="20"/>
      <c r="AG24" s="5"/>
      <c r="AH24" s="5"/>
      <c r="AI24" s="19"/>
      <c r="AJ24" s="19"/>
      <c r="AK24" s="19"/>
      <c r="AL24" s="19"/>
      <c r="AM24" s="19"/>
      <c r="AO24" s="20"/>
      <c r="AP24" s="20"/>
      <c r="AQ24" s="20"/>
      <c r="AR24" s="20"/>
      <c r="AS24" s="20"/>
      <c r="AT24" s="20"/>
      <c r="AU24" s="20"/>
    </row>
    <row r="25" spans="1:47" x14ac:dyDescent="0.15">
      <c r="B25" s="29" t="s">
        <v>17</v>
      </c>
      <c r="C25" s="5">
        <f>tbl_model!R26</f>
        <v>49.587149461266236</v>
      </c>
      <c r="D25" s="5">
        <f>tbl_model!S26</f>
        <v>50.130543057911709</v>
      </c>
      <c r="E25" s="19">
        <f>tbl_model!T26</f>
        <v>50.692521693503004</v>
      </c>
      <c r="F25" s="19">
        <f>tbl_model!U26</f>
        <v>51.85111724387589</v>
      </c>
      <c r="G25" s="19">
        <f>tbl_model!V26</f>
        <v>53.257573875488625</v>
      </c>
      <c r="H25" s="19">
        <f>tbl_model!W26</f>
        <v>54.514605402921795</v>
      </c>
      <c r="I25" s="19">
        <f>tbl_model!X26</f>
        <v>55.983352466975369</v>
      </c>
      <c r="K25" s="20">
        <f t="shared" si="4"/>
        <v>1.0958355189784275E-2</v>
      </c>
      <c r="L25" s="20">
        <f t="shared" si="4"/>
        <v>1.1210304164111839E-2</v>
      </c>
      <c r="M25" s="20">
        <f t="shared" si="4"/>
        <v>2.2855354432316233E-2</v>
      </c>
      <c r="N25" s="20">
        <f t="shared" si="4"/>
        <v>2.7124905042983372E-2</v>
      </c>
      <c r="O25" s="20">
        <f t="shared" si="4"/>
        <v>2.3602868774533325E-2</v>
      </c>
      <c r="P25" s="20">
        <f t="shared" si="4"/>
        <v>2.6942267181390145E-2</v>
      </c>
      <c r="Q25" s="21"/>
      <c r="R25" s="5">
        <v>49.587149461266236</v>
      </c>
      <c r="S25" s="5">
        <v>50.130543057911709</v>
      </c>
      <c r="T25" s="19">
        <v>50.90647256194724</v>
      </c>
      <c r="U25" s="19">
        <v>52.207881513298993</v>
      </c>
      <c r="V25" s="19">
        <v>53.53741428152766</v>
      </c>
      <c r="W25" s="19">
        <v>54.801006891494609</v>
      </c>
      <c r="X25" s="19">
        <v>56.355611490311126</v>
      </c>
      <c r="Z25" s="20">
        <f t="shared" ref="Z25:AE26" si="11">S25/R25-1</f>
        <v>1.0958355189784275E-2</v>
      </c>
      <c r="AA25" s="20">
        <f t="shared" si="11"/>
        <v>1.5478178705129242E-2</v>
      </c>
      <c r="AB25" s="20">
        <f t="shared" si="11"/>
        <v>2.5564704955113315E-2</v>
      </c>
      <c r="AC25" s="20">
        <f t="shared" si="11"/>
        <v>2.5466131352025689E-2</v>
      </c>
      <c r="AD25" s="20">
        <f t="shared" si="11"/>
        <v>2.3602047781432267E-2</v>
      </c>
      <c r="AE25" s="20">
        <f t="shared" si="11"/>
        <v>2.8368175823751063E-2</v>
      </c>
      <c r="AG25" s="5">
        <f t="shared" si="6"/>
        <v>0</v>
      </c>
      <c r="AH25" s="5">
        <f t="shared" si="6"/>
        <v>0</v>
      </c>
      <c r="AI25" s="19">
        <f t="shared" si="6"/>
        <v>-0.21395086844423616</v>
      </c>
      <c r="AJ25" s="19">
        <f t="shared" si="6"/>
        <v>-0.35676426942310258</v>
      </c>
      <c r="AK25" s="19">
        <f t="shared" si="6"/>
        <v>-0.27984040603903537</v>
      </c>
      <c r="AL25" s="19">
        <f t="shared" si="6"/>
        <v>-0.28640148857281389</v>
      </c>
      <c r="AM25" s="19">
        <f t="shared" si="6"/>
        <v>-0.37225902333575789</v>
      </c>
      <c r="AO25" s="20">
        <f t="shared" si="7"/>
        <v>0</v>
      </c>
      <c r="AP25" s="20">
        <f t="shared" si="7"/>
        <v>0</v>
      </c>
      <c r="AQ25" s="20">
        <f t="shared" si="7"/>
        <v>-4.2028225032462174E-3</v>
      </c>
      <c r="AR25" s="20">
        <f t="shared" si="7"/>
        <v>-6.8335327747827135E-3</v>
      </c>
      <c r="AS25" s="20">
        <f t="shared" si="7"/>
        <v>-5.2270063803883104E-3</v>
      </c>
      <c r="AT25" s="20">
        <f t="shared" si="7"/>
        <v>-5.2262085099984423E-3</v>
      </c>
      <c r="AU25" s="20">
        <f t="shared" si="7"/>
        <v>-6.6055360502965677E-3</v>
      </c>
    </row>
    <row r="26" spans="1:47" x14ac:dyDescent="0.15">
      <c r="B26" s="29" t="s">
        <v>19</v>
      </c>
      <c r="C26" s="5">
        <f>tbl_model!R27</f>
        <v>203.401863640003</v>
      </c>
      <c r="D26" s="5">
        <f>tbl_model!S27</f>
        <v>204.86582440564354</v>
      </c>
      <c r="E26" s="19">
        <f>tbl_model!T27</f>
        <v>208.8494554615703</v>
      </c>
      <c r="F26" s="19">
        <f>tbl_model!U27</f>
        <v>213.35757509680008</v>
      </c>
      <c r="G26" s="19">
        <f>tbl_model!V27</f>
        <v>218.33011599189985</v>
      </c>
      <c r="H26" s="19">
        <f>tbl_model!W27</f>
        <v>223.20561285093146</v>
      </c>
      <c r="I26" s="19">
        <f>tbl_model!X27</f>
        <v>228.93436039588437</v>
      </c>
      <c r="K26" s="20">
        <f t="shared" si="4"/>
        <v>7.1973812798076242E-3</v>
      </c>
      <c r="L26" s="20">
        <f t="shared" si="4"/>
        <v>1.9445073708531213E-2</v>
      </c>
      <c r="M26" s="20">
        <f t="shared" si="4"/>
        <v>2.1585498632335609E-2</v>
      </c>
      <c r="N26" s="20">
        <f t="shared" si="4"/>
        <v>2.330613709329854E-2</v>
      </c>
      <c r="O26" s="20">
        <f t="shared" si="4"/>
        <v>2.2330849030522737E-2</v>
      </c>
      <c r="P26" s="20">
        <f t="shared" si="4"/>
        <v>2.5665786230827825E-2</v>
      </c>
      <c r="Q26" s="21"/>
      <c r="R26" s="5">
        <v>203.401863640003</v>
      </c>
      <c r="S26" s="5">
        <v>204.86582440564354</v>
      </c>
      <c r="T26" s="19">
        <v>207.77808968412171</v>
      </c>
      <c r="U26" s="19">
        <v>212.82484251900107</v>
      </c>
      <c r="V26" s="19">
        <v>217.4317603895509</v>
      </c>
      <c r="W26" s="19">
        <v>222.28650767290165</v>
      </c>
      <c r="X26" s="19">
        <v>228.30770708723665</v>
      </c>
      <c r="Z26" s="20">
        <f t="shared" si="11"/>
        <v>7.1973812798076242E-3</v>
      </c>
      <c r="AA26" s="20">
        <f t="shared" si="11"/>
        <v>1.4215476333972354E-2</v>
      </c>
      <c r="AB26" s="20">
        <f t="shared" si="11"/>
        <v>2.4289148305058461E-2</v>
      </c>
      <c r="AC26" s="20">
        <f t="shared" si="11"/>
        <v>2.1646523103328708E-2</v>
      </c>
      <c r="AD26" s="20">
        <f t="shared" si="11"/>
        <v>2.2327682371025226E-2</v>
      </c>
      <c r="AE26" s="20">
        <f t="shared" si="11"/>
        <v>2.7087561352105549E-2</v>
      </c>
      <c r="AG26" s="5">
        <f t="shared" si="6"/>
        <v>0</v>
      </c>
      <c r="AH26" s="5">
        <f t="shared" si="6"/>
        <v>0</v>
      </c>
      <c r="AI26" s="19">
        <f t="shared" si="6"/>
        <v>1.071365777448591</v>
      </c>
      <c r="AJ26" s="19">
        <f t="shared" si="6"/>
        <v>0.53273257779900973</v>
      </c>
      <c r="AK26" s="19">
        <f t="shared" si="6"/>
        <v>0.89835560234894274</v>
      </c>
      <c r="AL26" s="19">
        <f t="shared" si="6"/>
        <v>0.91910517802980962</v>
      </c>
      <c r="AM26" s="19">
        <f t="shared" si="6"/>
        <v>0.62665330864771818</v>
      </c>
      <c r="AO26" s="20">
        <f t="shared" si="7"/>
        <v>0</v>
      </c>
      <c r="AP26" s="20">
        <f t="shared" si="7"/>
        <v>0</v>
      </c>
      <c r="AQ26" s="20">
        <f t="shared" si="7"/>
        <v>5.1562981403734387E-3</v>
      </c>
      <c r="AR26" s="20">
        <f t="shared" si="7"/>
        <v>2.50315034416837E-3</v>
      </c>
      <c r="AS26" s="20">
        <f t="shared" si="7"/>
        <v>4.1316668767223952E-3</v>
      </c>
      <c r="AT26" s="20">
        <f t="shared" si="7"/>
        <v>4.1347771740707362E-3</v>
      </c>
      <c r="AU26" s="20">
        <f t="shared" si="7"/>
        <v>2.744775096042984E-3</v>
      </c>
    </row>
    <row r="27" spans="1:47" ht="4" customHeight="1" x14ac:dyDescent="0.15">
      <c r="B27" s="34"/>
      <c r="C27" s="35"/>
      <c r="D27" s="35"/>
      <c r="E27" s="36"/>
      <c r="F27" s="36"/>
      <c r="G27" s="36"/>
      <c r="H27" s="36"/>
      <c r="I27" s="36"/>
      <c r="K27" s="76"/>
      <c r="L27" s="76"/>
      <c r="M27" s="76"/>
      <c r="N27" s="76"/>
      <c r="O27" s="76"/>
      <c r="P27" s="76"/>
      <c r="Q27" s="37"/>
      <c r="R27" s="35"/>
      <c r="S27" s="35"/>
      <c r="T27" s="36"/>
      <c r="U27" s="36"/>
      <c r="V27" s="36"/>
      <c r="W27" s="36"/>
      <c r="X27" s="36"/>
      <c r="Z27" s="76"/>
      <c r="AA27" s="76"/>
      <c r="AB27" s="76"/>
      <c r="AC27" s="76"/>
      <c r="AD27" s="76"/>
      <c r="AE27" s="76"/>
      <c r="AG27" s="35"/>
      <c r="AH27" s="35"/>
      <c r="AI27" s="36"/>
      <c r="AJ27" s="36"/>
      <c r="AK27" s="36"/>
      <c r="AL27" s="36"/>
      <c r="AM27" s="36"/>
      <c r="AO27" s="76"/>
      <c r="AP27" s="76"/>
      <c r="AQ27" s="76"/>
      <c r="AR27" s="76"/>
      <c r="AS27" s="76"/>
      <c r="AT27" s="76"/>
      <c r="AU27" s="76"/>
    </row>
    <row r="28" spans="1:47" x14ac:dyDescent="0.15">
      <c r="B28" s="27" t="s">
        <v>20</v>
      </c>
      <c r="C28" s="23"/>
      <c r="D28" s="23"/>
      <c r="E28" s="24"/>
      <c r="F28" s="24"/>
      <c r="G28" s="24"/>
      <c r="H28" s="24"/>
      <c r="I28" s="24"/>
      <c r="K28" s="20"/>
      <c r="L28" s="20"/>
      <c r="M28" s="20"/>
      <c r="N28" s="20"/>
      <c r="O28" s="20"/>
      <c r="P28" s="20"/>
      <c r="Q28" s="25"/>
      <c r="R28" s="23"/>
      <c r="S28" s="23"/>
      <c r="T28" s="24"/>
      <c r="U28" s="24"/>
      <c r="V28" s="24"/>
      <c r="W28" s="24"/>
      <c r="X28" s="24"/>
      <c r="Z28" s="20"/>
      <c r="AA28" s="20"/>
      <c r="AB28" s="20"/>
      <c r="AC28" s="20"/>
      <c r="AD28" s="20"/>
      <c r="AE28" s="20"/>
      <c r="AG28" s="23"/>
      <c r="AH28" s="23"/>
      <c r="AI28" s="24"/>
      <c r="AJ28" s="24"/>
      <c r="AK28" s="24"/>
      <c r="AL28" s="24"/>
      <c r="AM28" s="24"/>
      <c r="AO28" s="20"/>
      <c r="AP28" s="20"/>
      <c r="AQ28" s="20"/>
      <c r="AR28" s="20"/>
      <c r="AS28" s="20"/>
      <c r="AT28" s="20"/>
      <c r="AU28" s="20"/>
    </row>
    <row r="29" spans="1:47" x14ac:dyDescent="0.15">
      <c r="B29" s="28" t="s">
        <v>9</v>
      </c>
      <c r="C29" s="13">
        <f>tbl_model!R30</f>
        <v>16.516406333414267</v>
      </c>
      <c r="D29" s="13">
        <f>tbl_model!S30</f>
        <v>16.407088882773927</v>
      </c>
      <c r="E29" s="14">
        <f>tbl_model!T30</f>
        <v>16.795060655459093</v>
      </c>
      <c r="F29" s="14">
        <f>tbl_model!U30</f>
        <v>17.292424458729773</v>
      </c>
      <c r="G29" s="14">
        <f>tbl_model!V30</f>
        <v>17.964969131947935</v>
      </c>
      <c r="H29" s="14">
        <f>tbl_model!W30</f>
        <v>18.763757324107669</v>
      </c>
      <c r="I29" s="14">
        <f>tbl_model!X30</f>
        <v>19.548257312444346</v>
      </c>
      <c r="K29" s="15">
        <f t="shared" si="4"/>
        <v>-6.6187188928127361E-3</v>
      </c>
      <c r="L29" s="15">
        <f t="shared" si="4"/>
        <v>2.3646594192130221E-2</v>
      </c>
      <c r="M29" s="15">
        <f t="shared" si="4"/>
        <v>2.961369497102817E-2</v>
      </c>
      <c r="N29" s="15">
        <f t="shared" si="4"/>
        <v>3.8892445349306692E-2</v>
      </c>
      <c r="O29" s="15">
        <f t="shared" si="4"/>
        <v>4.4463655144233449E-2</v>
      </c>
      <c r="P29" s="15">
        <f t="shared" si="4"/>
        <v>4.1809322876327659E-2</v>
      </c>
      <c r="Q29" s="16"/>
      <c r="R29" s="13">
        <v>16.516406333414267</v>
      </c>
      <c r="S29" s="13">
        <v>16.407088882773927</v>
      </c>
      <c r="T29" s="14">
        <v>16.804191834137693</v>
      </c>
      <c r="U29" s="14">
        <v>17.456357670208838</v>
      </c>
      <c r="V29" s="14">
        <v>18.186821386785443</v>
      </c>
      <c r="W29" s="14">
        <v>18.917027920149518</v>
      </c>
      <c r="X29" s="14">
        <v>19.651401010210705</v>
      </c>
      <c r="Z29" s="15">
        <f t="shared" ref="Z29:AE32" si="12">S29/R29-1</f>
        <v>-6.6187188928127361E-3</v>
      </c>
      <c r="AA29" s="15">
        <f t="shared" si="12"/>
        <v>2.4203132816613904E-2</v>
      </c>
      <c r="AB29" s="15">
        <f t="shared" si="12"/>
        <v>3.8809711440348504E-2</v>
      </c>
      <c r="AC29" s="15">
        <f t="shared" si="12"/>
        <v>4.1845139196661885E-2</v>
      </c>
      <c r="AD29" s="15">
        <f t="shared" si="12"/>
        <v>4.0150310922096866E-2</v>
      </c>
      <c r="AE29" s="15">
        <f t="shared" si="12"/>
        <v>3.8820743573517058E-2</v>
      </c>
      <c r="AG29" s="13">
        <f t="shared" si="6"/>
        <v>0</v>
      </c>
      <c r="AH29" s="13">
        <f t="shared" si="6"/>
        <v>0</v>
      </c>
      <c r="AI29" s="14">
        <f t="shared" si="6"/>
        <v>-9.1311786786008042E-3</v>
      </c>
      <c r="AJ29" s="14">
        <f t="shared" si="6"/>
        <v>-0.16393321147906548</v>
      </c>
      <c r="AK29" s="14">
        <f t="shared" si="6"/>
        <v>-0.2218522548375077</v>
      </c>
      <c r="AL29" s="14">
        <f t="shared" si="6"/>
        <v>-0.15327059604184967</v>
      </c>
      <c r="AM29" s="14">
        <f t="shared" si="6"/>
        <v>-0.10314369776635957</v>
      </c>
      <c r="AO29" s="15">
        <f t="shared" si="7"/>
        <v>0</v>
      </c>
      <c r="AP29" s="15">
        <f t="shared" si="7"/>
        <v>0</v>
      </c>
      <c r="AQ29" s="15">
        <f t="shared" si="7"/>
        <v>-5.4338695777389479E-4</v>
      </c>
      <c r="AR29" s="15">
        <f t="shared" si="7"/>
        <v>-9.3910318851243568E-3</v>
      </c>
      <c r="AS29" s="15">
        <f t="shared" si="7"/>
        <v>-1.2198517273541043E-2</v>
      </c>
      <c r="AT29" s="15">
        <f t="shared" si="7"/>
        <v>-8.1022556338563589E-3</v>
      </c>
      <c r="AU29" s="15">
        <f t="shared" si="7"/>
        <v>-5.2486689225245131E-3</v>
      </c>
    </row>
    <row r="30" spans="1:47" ht="13.25" customHeight="1" x14ac:dyDescent="0.15">
      <c r="B30" s="29" t="s">
        <v>21</v>
      </c>
      <c r="C30" s="5">
        <f>tbl_model!R31</f>
        <v>6.9640000000000004</v>
      </c>
      <c r="D30" s="5">
        <f>tbl_model!S31</f>
        <v>6.6159999999999997</v>
      </c>
      <c r="E30" s="19">
        <f>tbl_model!T31</f>
        <v>6.3678526469901335</v>
      </c>
      <c r="F30" s="19">
        <f>tbl_model!U31</f>
        <v>6.5856762308898285</v>
      </c>
      <c r="G30" s="19">
        <f>tbl_model!V31</f>
        <v>6.9358246532313936</v>
      </c>
      <c r="H30" s="19">
        <f>tbl_model!W31</f>
        <v>7.3967461175891236</v>
      </c>
      <c r="I30" s="19">
        <f>tbl_model!X31</f>
        <v>7.8659209905336178</v>
      </c>
      <c r="K30" s="20">
        <f t="shared" si="4"/>
        <v>-4.9971280873061574E-2</v>
      </c>
      <c r="L30" s="20">
        <f t="shared" si="4"/>
        <v>-3.7507157347319575E-2</v>
      </c>
      <c r="M30" s="20">
        <f t="shared" si="4"/>
        <v>3.4206756339227207E-2</v>
      </c>
      <c r="N30" s="20">
        <f t="shared" si="4"/>
        <v>5.3168180467058068E-2</v>
      </c>
      <c r="O30" s="20">
        <f t="shared" si="4"/>
        <v>6.6455178353303168E-2</v>
      </c>
      <c r="P30" s="20">
        <f t="shared" si="4"/>
        <v>6.3429900862599364E-2</v>
      </c>
      <c r="Q30" s="21"/>
      <c r="R30" s="5">
        <v>6.9640000000000004</v>
      </c>
      <c r="S30" s="5">
        <v>6.6159999999999997</v>
      </c>
      <c r="T30" s="19">
        <v>6.7381291912005015</v>
      </c>
      <c r="U30" s="19">
        <v>7.1115000603081295</v>
      </c>
      <c r="V30" s="19">
        <v>7.5267902024882662</v>
      </c>
      <c r="W30" s="19">
        <v>7.9248800042178953</v>
      </c>
      <c r="X30" s="19">
        <v>8.3898294942328171</v>
      </c>
      <c r="Z30" s="20">
        <f t="shared" si="12"/>
        <v>-4.9971280873061574E-2</v>
      </c>
      <c r="AA30" s="20">
        <f t="shared" si="12"/>
        <v>1.8459672188709364E-2</v>
      </c>
      <c r="AB30" s="20">
        <f t="shared" si="12"/>
        <v>5.5411651886286606E-2</v>
      </c>
      <c r="AC30" s="20">
        <f t="shared" si="12"/>
        <v>5.8396982163864797E-2</v>
      </c>
      <c r="AD30" s="20">
        <f t="shared" si="12"/>
        <v>5.2889716734501935E-2</v>
      </c>
      <c r="AE30" s="20">
        <f t="shared" si="12"/>
        <v>5.8669593705830136E-2</v>
      </c>
      <c r="AG30" s="5">
        <f t="shared" si="6"/>
        <v>0</v>
      </c>
      <c r="AH30" s="5">
        <f t="shared" si="6"/>
        <v>0</v>
      </c>
      <c r="AI30" s="19">
        <f t="shared" si="6"/>
        <v>-0.37027654421036793</v>
      </c>
      <c r="AJ30" s="19">
        <f t="shared" si="6"/>
        <v>-0.52582382941830108</v>
      </c>
      <c r="AK30" s="19">
        <f t="shared" si="6"/>
        <v>-0.59096554925687261</v>
      </c>
      <c r="AL30" s="19">
        <f t="shared" si="6"/>
        <v>-0.5281338866287717</v>
      </c>
      <c r="AM30" s="19">
        <f t="shared" si="6"/>
        <v>-0.52390850369919928</v>
      </c>
      <c r="AO30" s="20">
        <f t="shared" si="7"/>
        <v>0</v>
      </c>
      <c r="AP30" s="20">
        <f t="shared" si="7"/>
        <v>0</v>
      </c>
      <c r="AQ30" s="20">
        <f t="shared" si="7"/>
        <v>-5.4952425770334212E-2</v>
      </c>
      <c r="AR30" s="20">
        <f t="shared" si="7"/>
        <v>-7.3939931794856473E-2</v>
      </c>
      <c r="AS30" s="20">
        <f t="shared" si="7"/>
        <v>-7.851494904979639E-2</v>
      </c>
      <c r="AT30" s="20">
        <f t="shared" si="7"/>
        <v>-6.6642508952524326E-2</v>
      </c>
      <c r="AU30" s="20">
        <f t="shared" si="7"/>
        <v>-6.2445667585894871E-2</v>
      </c>
    </row>
    <row r="31" spans="1:47" ht="13.25" customHeight="1" x14ac:dyDescent="0.15">
      <c r="B31" s="29" t="s">
        <v>22</v>
      </c>
      <c r="C31" s="5">
        <f>tbl_model!R32</f>
        <v>7.8261018177054638</v>
      </c>
      <c r="D31" s="5">
        <f>tbl_model!S32</f>
        <v>8.4112546996478397</v>
      </c>
      <c r="E31" s="19">
        <f>tbl_model!T32</f>
        <v>9.1373260925844981</v>
      </c>
      <c r="F31" s="19">
        <f>tbl_model!U32</f>
        <v>9.3928568394904826</v>
      </c>
      <c r="G31" s="19">
        <f>tbl_model!V32</f>
        <v>9.6637419338463904</v>
      </c>
      <c r="H31" s="19">
        <f>tbl_model!W32</f>
        <v>9.9081521274384468</v>
      </c>
      <c r="I31" s="19">
        <f>tbl_model!X32</f>
        <v>10.13729414052937</v>
      </c>
      <c r="K31" s="20">
        <f t="shared" si="4"/>
        <v>7.4769392933088152E-2</v>
      </c>
      <c r="L31" s="20">
        <f t="shared" si="4"/>
        <v>8.6321413256818635E-2</v>
      </c>
      <c r="M31" s="20">
        <f t="shared" si="4"/>
        <v>2.7965593469774896E-2</v>
      </c>
      <c r="N31" s="20">
        <f t="shared" si="4"/>
        <v>2.8839478657549877E-2</v>
      </c>
      <c r="O31" s="20">
        <f t="shared" si="4"/>
        <v>2.5291465279720704E-2</v>
      </c>
      <c r="P31" s="20">
        <f t="shared" si="4"/>
        <v>2.3126614341776763E-2</v>
      </c>
      <c r="Q31" s="21"/>
      <c r="R31" s="5">
        <v>7.8261018177054638</v>
      </c>
      <c r="S31" s="5">
        <v>8.4112546996478397</v>
      </c>
      <c r="T31" s="19">
        <v>8.6507700825688545</v>
      </c>
      <c r="U31" s="19">
        <v>8.8494537988818909</v>
      </c>
      <c r="V31" s="19">
        <v>9.0776177267501765</v>
      </c>
      <c r="W31" s="19">
        <v>9.3344298943603778</v>
      </c>
      <c r="X31" s="19">
        <v>9.5317997285246978</v>
      </c>
      <c r="Z31" s="20">
        <f t="shared" si="12"/>
        <v>7.4769392933088152E-2</v>
      </c>
      <c r="AA31" s="20">
        <f t="shared" si="12"/>
        <v>2.8475583188682041E-2</v>
      </c>
      <c r="AB31" s="20">
        <f t="shared" si="12"/>
        <v>2.2967171062999503E-2</v>
      </c>
      <c r="AC31" s="20">
        <f t="shared" si="12"/>
        <v>2.5782826042564766E-2</v>
      </c>
      <c r="AD31" s="20">
        <f t="shared" si="12"/>
        <v>2.8290700857937612E-2</v>
      </c>
      <c r="AE31" s="20">
        <f t="shared" si="12"/>
        <v>2.1144283732160929E-2</v>
      </c>
      <c r="AG31" s="5">
        <f t="shared" si="6"/>
        <v>0</v>
      </c>
      <c r="AH31" s="5">
        <f t="shared" si="6"/>
        <v>0</v>
      </c>
      <c r="AI31" s="19">
        <f t="shared" si="6"/>
        <v>0.48655601001564364</v>
      </c>
      <c r="AJ31" s="19">
        <f t="shared" si="6"/>
        <v>0.54340304060859168</v>
      </c>
      <c r="AK31" s="19">
        <f t="shared" si="6"/>
        <v>0.58612420709621382</v>
      </c>
      <c r="AL31" s="19">
        <f t="shared" si="6"/>
        <v>0.57372223307806891</v>
      </c>
      <c r="AM31" s="19">
        <f t="shared" si="6"/>
        <v>0.60549441200467236</v>
      </c>
      <c r="AO31" s="20">
        <f t="shared" si="7"/>
        <v>0</v>
      </c>
      <c r="AP31" s="20">
        <f t="shared" si="7"/>
        <v>0</v>
      </c>
      <c r="AQ31" s="20">
        <f t="shared" si="7"/>
        <v>5.6244242462996974E-2</v>
      </c>
      <c r="AR31" s="20">
        <f t="shared" si="7"/>
        <v>6.1405263303058177E-2</v>
      </c>
      <c r="AS31" s="20">
        <f t="shared" si="7"/>
        <v>6.4568064523030877E-2</v>
      </c>
      <c r="AT31" s="20">
        <f t="shared" si="7"/>
        <v>6.1463018049414897E-2</v>
      </c>
      <c r="AU31" s="20">
        <f t="shared" si="7"/>
        <v>6.3523618755089828E-2</v>
      </c>
    </row>
    <row r="32" spans="1:47" x14ac:dyDescent="0.15">
      <c r="B32" s="29" t="s">
        <v>23</v>
      </c>
      <c r="C32" s="5">
        <f>tbl_model!R33</f>
        <v>1.7263045157088026</v>
      </c>
      <c r="D32" s="5">
        <f>tbl_model!S33</f>
        <v>1.3798341831260867</v>
      </c>
      <c r="E32" s="19">
        <f>tbl_model!T33</f>
        <v>1.2898819158844606</v>
      </c>
      <c r="F32" s="19">
        <f>tbl_model!U33</f>
        <v>1.3138913883494603</v>
      </c>
      <c r="G32" s="19">
        <f>tbl_model!V33</f>
        <v>1.3654025448701514</v>
      </c>
      <c r="H32" s="19">
        <f>tbl_model!W33</f>
        <v>1.4588590790800977</v>
      </c>
      <c r="I32" s="19">
        <f>tbl_model!X33</f>
        <v>1.5450421813813568</v>
      </c>
      <c r="K32" s="20">
        <f t="shared" si="4"/>
        <v>-0.20070058870260143</v>
      </c>
      <c r="L32" s="20">
        <f t="shared" si="4"/>
        <v>-6.519063547029591E-2</v>
      </c>
      <c r="M32" s="20">
        <f t="shared" si="4"/>
        <v>1.8613698020982561E-2</v>
      </c>
      <c r="N32" s="20">
        <f t="shared" si="4"/>
        <v>3.9205033975753922E-2</v>
      </c>
      <c r="O32" s="20">
        <f t="shared" si="4"/>
        <v>6.8446140342322215E-2</v>
      </c>
      <c r="P32" s="20">
        <f t="shared" si="4"/>
        <v>5.9075686978349529E-2</v>
      </c>
      <c r="Q32" s="21"/>
      <c r="R32" s="5">
        <v>1.7263045157088026</v>
      </c>
      <c r="S32" s="5">
        <v>1.3798341831260867</v>
      </c>
      <c r="T32" s="19">
        <v>1.4152925603683377</v>
      </c>
      <c r="U32" s="19">
        <v>1.4954038110188197</v>
      </c>
      <c r="V32" s="19">
        <v>1.5824134575469992</v>
      </c>
      <c r="W32" s="19">
        <v>1.6577180215712455</v>
      </c>
      <c r="X32" s="19">
        <v>1.7297717874531904</v>
      </c>
      <c r="Z32" s="20">
        <f t="shared" si="12"/>
        <v>-0.20070058870260143</v>
      </c>
      <c r="AA32" s="20">
        <f t="shared" si="12"/>
        <v>2.5697564008682727E-2</v>
      </c>
      <c r="AB32" s="20">
        <f t="shared" si="12"/>
        <v>5.6604021595105802E-2</v>
      </c>
      <c r="AC32" s="20">
        <f t="shared" si="12"/>
        <v>5.8184716320135443E-2</v>
      </c>
      <c r="AD32" s="20">
        <f t="shared" si="12"/>
        <v>4.7588424924659423E-2</v>
      </c>
      <c r="AE32" s="20">
        <f t="shared" si="12"/>
        <v>4.3465634652176677E-2</v>
      </c>
      <c r="AG32" s="5">
        <f t="shared" si="6"/>
        <v>0</v>
      </c>
      <c r="AH32" s="5">
        <f t="shared" si="6"/>
        <v>0</v>
      </c>
      <c r="AI32" s="19">
        <f t="shared" si="6"/>
        <v>-0.12541064448387718</v>
      </c>
      <c r="AJ32" s="19">
        <f t="shared" si="6"/>
        <v>-0.18151242266935941</v>
      </c>
      <c r="AK32" s="19">
        <f t="shared" si="6"/>
        <v>-0.2170109126768478</v>
      </c>
      <c r="AL32" s="19">
        <f t="shared" si="6"/>
        <v>-0.19885894249114777</v>
      </c>
      <c r="AM32" s="19">
        <f t="shared" si="6"/>
        <v>-0.18472960607183353</v>
      </c>
      <c r="AO32" s="20">
        <f t="shared" si="7"/>
        <v>0</v>
      </c>
      <c r="AP32" s="20">
        <f t="shared" si="7"/>
        <v>0</v>
      </c>
      <c r="AQ32" s="20">
        <f t="shared" si="7"/>
        <v>-8.8611109812686606E-2</v>
      </c>
      <c r="AR32" s="20">
        <f t="shared" si="7"/>
        <v>-0.12138020602321109</v>
      </c>
      <c r="AS32" s="20">
        <f t="shared" si="7"/>
        <v>-0.13713919812919839</v>
      </c>
      <c r="AT32" s="20">
        <f t="shared" si="7"/>
        <v>-0.11995945022221699</v>
      </c>
      <c r="AU32" s="20">
        <f t="shared" si="7"/>
        <v>-0.10679420684957408</v>
      </c>
    </row>
    <row r="33" spans="2:61" ht="4" customHeight="1" x14ac:dyDescent="0.15">
      <c r="B33" s="29"/>
      <c r="C33" s="5"/>
      <c r="D33" s="5"/>
      <c r="E33" s="19"/>
      <c r="F33" s="19"/>
      <c r="G33" s="19"/>
      <c r="H33" s="19"/>
      <c r="I33" s="19"/>
      <c r="K33" s="20"/>
      <c r="L33" s="20"/>
      <c r="M33" s="20"/>
      <c r="N33" s="20"/>
      <c r="O33" s="20"/>
      <c r="P33" s="20"/>
      <c r="Q33" s="21"/>
      <c r="R33" s="5"/>
      <c r="S33" s="5"/>
      <c r="T33" s="19"/>
      <c r="U33" s="19"/>
      <c r="V33" s="19"/>
      <c r="W33" s="19"/>
      <c r="X33" s="19"/>
      <c r="Z33" s="20"/>
      <c r="AA33" s="20"/>
      <c r="AB33" s="20"/>
      <c r="AC33" s="20"/>
      <c r="AD33" s="20"/>
      <c r="AE33" s="20"/>
      <c r="AG33" s="5"/>
      <c r="AH33" s="5"/>
      <c r="AI33" s="19"/>
      <c r="AJ33" s="19"/>
      <c r="AK33" s="19"/>
      <c r="AL33" s="19"/>
      <c r="AM33" s="19"/>
      <c r="AO33" s="20"/>
      <c r="AP33" s="20"/>
      <c r="AQ33" s="20"/>
      <c r="AR33" s="20"/>
      <c r="AS33" s="20"/>
      <c r="AT33" s="20"/>
      <c r="AU33" s="20"/>
    </row>
    <row r="34" spans="2:61" x14ac:dyDescent="0.15">
      <c r="B34" s="29" t="s">
        <v>6</v>
      </c>
      <c r="C34" s="5">
        <f>tbl_model!R35</f>
        <v>3.468445330016996</v>
      </c>
      <c r="D34" s="5">
        <f>tbl_model!S35</f>
        <v>3.4799435520363495</v>
      </c>
      <c r="E34" s="19">
        <f>tbl_model!T35</f>
        <v>3.6334770123233309</v>
      </c>
      <c r="F34" s="19">
        <f>tbl_model!U35</f>
        <v>3.7036669153280108</v>
      </c>
      <c r="G34" s="19">
        <f>tbl_model!V35</f>
        <v>3.8092344626401968</v>
      </c>
      <c r="H34" s="19">
        <f>tbl_model!W35</f>
        <v>3.9865641640508609</v>
      </c>
      <c r="I34" s="19">
        <f>tbl_model!X35</f>
        <v>4.1407799932158023</v>
      </c>
      <c r="K34" s="20">
        <f t="shared" si="4"/>
        <v>3.3150939182591266E-3</v>
      </c>
      <c r="L34" s="20">
        <f t="shared" si="4"/>
        <v>4.4119526075972804E-2</v>
      </c>
      <c r="M34" s="20">
        <f t="shared" si="4"/>
        <v>1.9317558021317627E-2</v>
      </c>
      <c r="N34" s="20">
        <f t="shared" si="4"/>
        <v>2.8503520895813761E-2</v>
      </c>
      <c r="O34" s="20">
        <f t="shared" si="4"/>
        <v>4.6552582454521874E-2</v>
      </c>
      <c r="P34" s="20">
        <f t="shared" si="4"/>
        <v>3.8683894907698635E-2</v>
      </c>
      <c r="Q34" s="21"/>
      <c r="R34" s="5">
        <v>3.468445330016996</v>
      </c>
      <c r="S34" s="5">
        <v>3.4799435520363495</v>
      </c>
      <c r="T34" s="19">
        <v>3.5285273971403983</v>
      </c>
      <c r="U34" s="19">
        <v>3.6288138419604539</v>
      </c>
      <c r="V34" s="19">
        <v>3.7428554416731012</v>
      </c>
      <c r="W34" s="19">
        <v>3.9009185158955235</v>
      </c>
      <c r="X34" s="19">
        <v>4.0401980080823812</v>
      </c>
      <c r="Z34" s="20">
        <f t="shared" ref="Z34:AE35" si="13">S34/R34-1</f>
        <v>3.3150939182591266E-3</v>
      </c>
      <c r="AA34" s="20">
        <f t="shared" si="13"/>
        <v>1.3961101488447758E-2</v>
      </c>
      <c r="AB34" s="20">
        <f t="shared" si="13"/>
        <v>2.8421614325945255E-2</v>
      </c>
      <c r="AC34" s="20">
        <f t="shared" si="13"/>
        <v>3.1426687804695153E-2</v>
      </c>
      <c r="AD34" s="20">
        <f t="shared" si="13"/>
        <v>4.2230611543941032E-2</v>
      </c>
      <c r="AE34" s="20">
        <f t="shared" si="13"/>
        <v>3.5704281342796351E-2</v>
      </c>
      <c r="AG34" s="5">
        <f t="shared" si="6"/>
        <v>0</v>
      </c>
      <c r="AH34" s="5">
        <f t="shared" si="6"/>
        <v>0</v>
      </c>
      <c r="AI34" s="19">
        <f t="shared" si="6"/>
        <v>0.10494961518293255</v>
      </c>
      <c r="AJ34" s="19">
        <f t="shared" si="6"/>
        <v>7.4853073367556977E-2</v>
      </c>
      <c r="AK34" s="19">
        <f t="shared" si="6"/>
        <v>6.6379020967095581E-2</v>
      </c>
      <c r="AL34" s="19">
        <f t="shared" si="6"/>
        <v>8.5645648155337373E-2</v>
      </c>
      <c r="AM34" s="19">
        <f t="shared" si="6"/>
        <v>0.10058198513342109</v>
      </c>
      <c r="AO34" s="20">
        <f t="shared" si="7"/>
        <v>0</v>
      </c>
      <c r="AP34" s="20">
        <f t="shared" si="7"/>
        <v>0</v>
      </c>
      <c r="AQ34" s="20">
        <f t="shared" si="7"/>
        <v>2.9743177073808802E-2</v>
      </c>
      <c r="AR34" s="20">
        <f t="shared" si="7"/>
        <v>2.0627421694114245E-2</v>
      </c>
      <c r="AS34" s="20">
        <f t="shared" si="7"/>
        <v>1.7734860990897161E-2</v>
      </c>
      <c r="AT34" s="20">
        <f t="shared" si="7"/>
        <v>2.1955251771178297E-2</v>
      </c>
      <c r="AU34" s="20">
        <f t="shared" si="7"/>
        <v>2.4895310807095949E-2</v>
      </c>
    </row>
    <row r="35" spans="2:61" x14ac:dyDescent="0.15">
      <c r="B35" s="29" t="s">
        <v>7</v>
      </c>
      <c r="C35" s="5">
        <f>tbl_model!R36</f>
        <v>13.047961003397271</v>
      </c>
      <c r="D35" s="5">
        <f>tbl_model!S36</f>
        <v>12.927145330737575</v>
      </c>
      <c r="E35" s="19">
        <f>tbl_model!T36</f>
        <v>13.161583643135762</v>
      </c>
      <c r="F35" s="19">
        <f>tbl_model!U36</f>
        <v>13.588757543401762</v>
      </c>
      <c r="G35" s="19">
        <f>tbl_model!V36</f>
        <v>14.155734669307737</v>
      </c>
      <c r="H35" s="19">
        <f>tbl_model!W36</f>
        <v>14.777193160056806</v>
      </c>
      <c r="I35" s="19">
        <f>tbl_model!X36</f>
        <v>15.407477319228542</v>
      </c>
      <c r="K35" s="20">
        <f t="shared" si="4"/>
        <v>-9.2593526780344604E-3</v>
      </c>
      <c r="L35" s="20">
        <f t="shared" si="4"/>
        <v>1.8135350566590214E-2</v>
      </c>
      <c r="M35" s="20">
        <f t="shared" si="4"/>
        <v>3.2456117124536554E-2</v>
      </c>
      <c r="N35" s="20">
        <f t="shared" si="4"/>
        <v>4.1723985735640623E-2</v>
      </c>
      <c r="O35" s="20">
        <f t="shared" si="4"/>
        <v>4.3901535686205362E-2</v>
      </c>
      <c r="P35" s="20">
        <f t="shared" si="4"/>
        <v>4.2652495121699774E-2</v>
      </c>
      <c r="Q35" s="21"/>
      <c r="R35" s="5">
        <v>13.047961003397271</v>
      </c>
      <c r="S35" s="5">
        <v>12.927145330737575</v>
      </c>
      <c r="T35" s="19">
        <v>13.275664436997296</v>
      </c>
      <c r="U35" s="19">
        <v>13.827543828248384</v>
      </c>
      <c r="V35" s="19">
        <v>14.443965945112341</v>
      </c>
      <c r="W35" s="19">
        <v>15.016109404253996</v>
      </c>
      <c r="X35" s="19">
        <v>15.611203002128324</v>
      </c>
      <c r="Z35" s="20">
        <f t="shared" si="13"/>
        <v>-9.2593526780344604E-3</v>
      </c>
      <c r="AA35" s="20">
        <f t="shared" si="13"/>
        <v>2.6960252812430863E-2</v>
      </c>
      <c r="AB35" s="20">
        <f t="shared" si="13"/>
        <v>4.1570754810063004E-2</v>
      </c>
      <c r="AC35" s="20">
        <f t="shared" si="13"/>
        <v>4.4579292209847354E-2</v>
      </c>
      <c r="AD35" s="20">
        <f t="shared" si="13"/>
        <v>3.9611243983530775E-2</v>
      </c>
      <c r="AE35" s="20">
        <f t="shared" si="13"/>
        <v>3.963034510828356E-2</v>
      </c>
      <c r="AG35" s="5">
        <f t="shared" si="6"/>
        <v>0</v>
      </c>
      <c r="AH35" s="5">
        <f t="shared" si="6"/>
        <v>0</v>
      </c>
      <c r="AI35" s="19">
        <f t="shared" si="6"/>
        <v>-0.11408079386153425</v>
      </c>
      <c r="AJ35" s="19">
        <f t="shared" si="6"/>
        <v>-0.23878628484662201</v>
      </c>
      <c r="AK35" s="19">
        <f t="shared" si="6"/>
        <v>-0.28823127580460373</v>
      </c>
      <c r="AL35" s="19">
        <f t="shared" si="6"/>
        <v>-0.23891624419719015</v>
      </c>
      <c r="AM35" s="19">
        <f t="shared" si="6"/>
        <v>-0.20372568289978155</v>
      </c>
      <c r="AO35" s="20">
        <f t="shared" si="7"/>
        <v>0</v>
      </c>
      <c r="AP35" s="20">
        <f t="shared" si="7"/>
        <v>0</v>
      </c>
      <c r="AQ35" s="20">
        <f t="shared" si="7"/>
        <v>-8.5932266820188952E-3</v>
      </c>
      <c r="AR35" s="20">
        <f t="shared" si="7"/>
        <v>-1.7268886492972424E-2</v>
      </c>
      <c r="AS35" s="20">
        <f t="shared" si="7"/>
        <v>-1.9955133991584773E-2</v>
      </c>
      <c r="AT35" s="20">
        <f t="shared" si="7"/>
        <v>-1.5910662193864056E-2</v>
      </c>
      <c r="AU35" s="20">
        <f t="shared" si="7"/>
        <v>-1.3049966929006507E-2</v>
      </c>
    </row>
    <row r="36" spans="2:61" ht="4" customHeight="1" x14ac:dyDescent="0.15">
      <c r="B36" s="34"/>
      <c r="C36" s="35"/>
      <c r="D36" s="35"/>
      <c r="E36" s="36"/>
      <c r="F36" s="36"/>
      <c r="G36" s="36"/>
      <c r="H36" s="36"/>
      <c r="I36" s="36"/>
      <c r="K36" s="76"/>
      <c r="L36" s="76"/>
      <c r="M36" s="76"/>
      <c r="N36" s="76"/>
      <c r="O36" s="76"/>
      <c r="P36" s="76"/>
      <c r="Q36" s="37"/>
      <c r="R36" s="35"/>
      <c r="S36" s="35"/>
      <c r="T36" s="36"/>
      <c r="U36" s="36"/>
      <c r="V36" s="36"/>
      <c r="W36" s="36"/>
      <c r="X36" s="36"/>
      <c r="Z36" s="76"/>
      <c r="AA36" s="76"/>
      <c r="AB36" s="76"/>
      <c r="AC36" s="76"/>
      <c r="AD36" s="76"/>
      <c r="AE36" s="76"/>
      <c r="AG36" s="35"/>
      <c r="AH36" s="35"/>
      <c r="AI36" s="36"/>
      <c r="AJ36" s="36"/>
      <c r="AK36" s="36"/>
      <c r="AL36" s="36"/>
      <c r="AM36" s="36"/>
      <c r="AO36" s="76"/>
      <c r="AP36" s="76"/>
      <c r="AQ36" s="76"/>
      <c r="AR36" s="76"/>
      <c r="AS36" s="76"/>
      <c r="AT36" s="76"/>
      <c r="AU36" s="76"/>
    </row>
    <row r="37" spans="2:61" ht="4" customHeight="1" x14ac:dyDescent="0.15">
      <c r="B37" s="27"/>
      <c r="C37" s="23"/>
      <c r="D37" s="23"/>
      <c r="E37" s="24"/>
      <c r="F37" s="24"/>
      <c r="G37" s="24"/>
      <c r="H37" s="24"/>
      <c r="I37" s="24"/>
      <c r="K37" s="20"/>
      <c r="L37" s="20"/>
      <c r="M37" s="20"/>
      <c r="N37" s="20"/>
      <c r="O37" s="20"/>
      <c r="P37" s="20"/>
      <c r="Q37" s="25"/>
      <c r="R37" s="23"/>
      <c r="S37" s="23"/>
      <c r="T37" s="24"/>
      <c r="U37" s="24"/>
      <c r="V37" s="24"/>
      <c r="W37" s="24"/>
      <c r="X37" s="24"/>
      <c r="Z37" s="20"/>
      <c r="AA37" s="20"/>
      <c r="AB37" s="20"/>
      <c r="AC37" s="20"/>
      <c r="AD37" s="20"/>
      <c r="AE37" s="20"/>
      <c r="AG37" s="23"/>
      <c r="AH37" s="23"/>
      <c r="AI37" s="24"/>
      <c r="AJ37" s="24"/>
      <c r="AK37" s="24"/>
      <c r="AL37" s="24"/>
      <c r="AM37" s="24"/>
      <c r="AO37" s="105"/>
      <c r="AP37" s="105"/>
      <c r="AQ37" s="105"/>
      <c r="AR37" s="105"/>
      <c r="AS37" s="105"/>
      <c r="AT37" s="105"/>
      <c r="AU37" s="105"/>
    </row>
    <row r="38" spans="2:61" x14ac:dyDescent="0.15">
      <c r="B38" s="130" t="s">
        <v>24</v>
      </c>
      <c r="E38" s="11"/>
      <c r="F38" s="11"/>
      <c r="G38" s="11"/>
      <c r="H38" s="11"/>
      <c r="I38" s="11"/>
      <c r="K38" s="20"/>
      <c r="L38" s="20"/>
      <c r="M38" s="20"/>
      <c r="N38" s="20"/>
      <c r="O38" s="20"/>
      <c r="P38" s="20"/>
      <c r="Q38" s="25"/>
      <c r="T38" s="11"/>
      <c r="U38" s="11"/>
      <c r="V38" s="11"/>
      <c r="W38" s="11"/>
      <c r="X38" s="11"/>
      <c r="Z38" s="20"/>
      <c r="AA38" s="20"/>
      <c r="AB38" s="20"/>
      <c r="AC38" s="20"/>
      <c r="AD38" s="20"/>
      <c r="AE38" s="20"/>
      <c r="AI38" s="11"/>
      <c r="AJ38" s="11"/>
      <c r="AK38" s="11"/>
      <c r="AL38" s="11"/>
      <c r="AM38" s="11"/>
      <c r="AO38" s="20"/>
      <c r="AP38" s="20"/>
      <c r="AQ38" s="20"/>
      <c r="AR38" s="20"/>
      <c r="AS38" s="20"/>
      <c r="AT38" s="20"/>
      <c r="AU38" s="20"/>
    </row>
    <row r="39" spans="2:61" x14ac:dyDescent="0.15">
      <c r="B39" s="130"/>
      <c r="C39" s="39">
        <f>tbl_model!R40</f>
        <v>156.18956691599999</v>
      </c>
      <c r="D39" s="39">
        <f>tbl_model!S40</f>
        <v>158.864619602</v>
      </c>
      <c r="E39" s="40">
        <f>tbl_model!T40</f>
        <v>166.25502387019625</v>
      </c>
      <c r="F39" s="40">
        <f>tbl_model!U40</f>
        <v>171.73652286029147</v>
      </c>
      <c r="G39" s="40">
        <f>tbl_model!V40</f>
        <v>178.87832226456905</v>
      </c>
      <c r="H39" s="40">
        <f>tbl_model!W40</f>
        <v>187.2233045071585</v>
      </c>
      <c r="I39" s="40">
        <f>tbl_model!X40</f>
        <v>196.29328823581594</v>
      </c>
      <c r="K39" s="20">
        <f t="shared" si="4"/>
        <v>1.7126961415026454E-2</v>
      </c>
      <c r="L39" s="20">
        <f t="shared" si="4"/>
        <v>4.6520139516975201E-2</v>
      </c>
      <c r="M39" s="20">
        <f t="shared" si="4"/>
        <v>3.2970426171150757E-2</v>
      </c>
      <c r="N39" s="20">
        <f t="shared" si="4"/>
        <v>4.1585792499639007E-2</v>
      </c>
      <c r="O39" s="20">
        <f t="shared" si="4"/>
        <v>4.6651724686051388E-2</v>
      </c>
      <c r="P39" s="20">
        <f t="shared" si="4"/>
        <v>4.8444736901386287E-2</v>
      </c>
      <c r="Q39" s="21"/>
      <c r="R39" s="39">
        <v>156.18956691599999</v>
      </c>
      <c r="S39" s="39">
        <v>158.864619602</v>
      </c>
      <c r="T39" s="40">
        <v>166.51448708152989</v>
      </c>
      <c r="U39" s="40">
        <v>172.02341629076639</v>
      </c>
      <c r="V39" s="40">
        <v>179.24903187566687</v>
      </c>
      <c r="W39" s="40">
        <v>187.36830622552611</v>
      </c>
      <c r="X39" s="40">
        <v>196.08745707160568</v>
      </c>
      <c r="Z39" s="20">
        <f t="shared" ref="Z39:AE46" si="14">S39/R39-1</f>
        <v>1.7126961415026454E-2</v>
      </c>
      <c r="AA39" s="20">
        <f t="shared" si="14"/>
        <v>4.8153374229547907E-2</v>
      </c>
      <c r="AB39" s="20">
        <f t="shared" si="14"/>
        <v>3.3083783313935911E-2</v>
      </c>
      <c r="AC39" s="20">
        <f t="shared" si="14"/>
        <v>4.2003674503750199E-2</v>
      </c>
      <c r="AD39" s="20">
        <f t="shared" si="14"/>
        <v>4.5296056915336891E-2</v>
      </c>
      <c r="AE39" s="20">
        <f t="shared" si="14"/>
        <v>4.6534822359896699E-2</v>
      </c>
      <c r="AG39" s="39">
        <f t="shared" si="6"/>
        <v>0</v>
      </c>
      <c r="AH39" s="39">
        <f t="shared" si="6"/>
        <v>0</v>
      </c>
      <c r="AI39" s="40">
        <f t="shared" si="6"/>
        <v>-0.25946321133363881</v>
      </c>
      <c r="AJ39" s="40">
        <f t="shared" si="6"/>
        <v>-0.28689343047491889</v>
      </c>
      <c r="AK39" s="40">
        <f t="shared" si="6"/>
        <v>-0.37070961109782274</v>
      </c>
      <c r="AL39" s="40">
        <f t="shared" si="6"/>
        <v>-0.14500171836760956</v>
      </c>
      <c r="AM39" s="40">
        <f t="shared" si="6"/>
        <v>0.20583116421025238</v>
      </c>
      <c r="AO39" s="15">
        <f t="shared" si="7"/>
        <v>0</v>
      </c>
      <c r="AP39" s="15">
        <f t="shared" si="7"/>
        <v>0</v>
      </c>
      <c r="AQ39" s="15">
        <f t="shared" si="7"/>
        <v>-1.5582020272302266E-3</v>
      </c>
      <c r="AR39" s="15">
        <f t="shared" si="7"/>
        <v>-1.667758010281517E-3</v>
      </c>
      <c r="AS39" s="15">
        <f t="shared" si="7"/>
        <v>-2.0681261550966612E-3</v>
      </c>
      <c r="AT39" s="15">
        <f t="shared" si="7"/>
        <v>-7.7388604982675524E-4</v>
      </c>
      <c r="AU39" s="15">
        <f t="shared" si="7"/>
        <v>1.0496906190948785E-3</v>
      </c>
    </row>
    <row r="40" spans="2:61" ht="13" customHeight="1" x14ac:dyDescent="0.15">
      <c r="B40" s="41" t="s">
        <v>8</v>
      </c>
      <c r="C40" s="42">
        <f>tbl_model!R41</f>
        <v>130.15425506643405</v>
      </c>
      <c r="D40" s="42">
        <f>tbl_model!S41</f>
        <v>133.449902262633</v>
      </c>
      <c r="E40" s="43">
        <f>tbl_model!T41</f>
        <v>140.24955692063185</v>
      </c>
      <c r="F40" s="43">
        <f>tbl_model!U41</f>
        <v>144.45231349819346</v>
      </c>
      <c r="G40" s="43">
        <f>tbl_model!V41</f>
        <v>150.02782692323149</v>
      </c>
      <c r="H40" s="43">
        <f>tbl_model!W41</f>
        <v>156.39701621731038</v>
      </c>
      <c r="I40" s="43">
        <f>tbl_model!X41</f>
        <v>163.46185033046899</v>
      </c>
      <c r="K40" s="20">
        <f t="shared" si="4"/>
        <v>2.5321086848192342E-2</v>
      </c>
      <c r="L40" s="20">
        <f t="shared" si="4"/>
        <v>5.0952863529393433E-2</v>
      </c>
      <c r="M40" s="20">
        <f t="shared" si="4"/>
        <v>2.9966273475929617E-2</v>
      </c>
      <c r="N40" s="20">
        <f t="shared" si="4"/>
        <v>3.8597605604342E-2</v>
      </c>
      <c r="O40" s="20">
        <f t="shared" si="4"/>
        <v>4.2453386313046959E-2</v>
      </c>
      <c r="P40" s="20">
        <f t="shared" si="4"/>
        <v>4.5172435408500133E-2</v>
      </c>
      <c r="Q40" s="21"/>
      <c r="R40" s="42">
        <v>130.15425506643405</v>
      </c>
      <c r="S40" s="42">
        <v>133.449902262633</v>
      </c>
      <c r="T40" s="43">
        <v>139.88547629525937</v>
      </c>
      <c r="U40" s="43">
        <v>143.62312385496057</v>
      </c>
      <c r="V40" s="43">
        <v>148.94485267698329</v>
      </c>
      <c r="W40" s="43">
        <v>155.2119556327977</v>
      </c>
      <c r="X40" s="43">
        <v>161.97158386402617</v>
      </c>
      <c r="Z40" s="20">
        <f t="shared" si="14"/>
        <v>2.5321086848192342E-2</v>
      </c>
      <c r="AA40" s="20">
        <f t="shared" si="14"/>
        <v>4.8224644031293229E-2</v>
      </c>
      <c r="AB40" s="20">
        <f t="shared" si="14"/>
        <v>2.6719339696224642E-2</v>
      </c>
      <c r="AC40" s="20">
        <f t="shared" si="14"/>
        <v>3.7053426211484775E-2</v>
      </c>
      <c r="AD40" s="20">
        <f t="shared" si="14"/>
        <v>4.2076666921856409E-2</v>
      </c>
      <c r="AE40" s="20">
        <f t="shared" si="14"/>
        <v>4.3550950721995108E-2</v>
      </c>
      <c r="AG40" s="42">
        <f t="shared" si="6"/>
        <v>0</v>
      </c>
      <c r="AH40" s="42">
        <f t="shared" si="6"/>
        <v>0</v>
      </c>
      <c r="AI40" s="43">
        <f t="shared" si="6"/>
        <v>0.36408062537248043</v>
      </c>
      <c r="AJ40" s="43">
        <f t="shared" si="6"/>
        <v>0.82918964323289401</v>
      </c>
      <c r="AK40" s="43">
        <f t="shared" si="6"/>
        <v>1.0829742462481988</v>
      </c>
      <c r="AL40" s="43">
        <f t="shared" si="6"/>
        <v>1.1850605845126836</v>
      </c>
      <c r="AM40" s="43">
        <f t="shared" si="6"/>
        <v>1.4902664664428187</v>
      </c>
      <c r="AO40" s="20">
        <f t="shared" si="7"/>
        <v>0</v>
      </c>
      <c r="AP40" s="20">
        <f t="shared" si="7"/>
        <v>0</v>
      </c>
      <c r="AQ40" s="20">
        <f t="shared" si="7"/>
        <v>2.6027049770629418E-3</v>
      </c>
      <c r="AR40" s="20">
        <f t="shared" si="7"/>
        <v>5.7733714528467317E-3</v>
      </c>
      <c r="AS40" s="20">
        <f t="shared" si="7"/>
        <v>7.2709746378201157E-3</v>
      </c>
      <c r="AT40" s="20">
        <f t="shared" si="7"/>
        <v>7.6351114814654508E-3</v>
      </c>
      <c r="AU40" s="20">
        <f t="shared" si="7"/>
        <v>9.2007896131576228E-3</v>
      </c>
      <c r="BF40" s="46"/>
      <c r="BH40" s="45"/>
      <c r="BI40" s="45"/>
    </row>
    <row r="41" spans="2:61" ht="13" customHeight="1" x14ac:dyDescent="0.15">
      <c r="B41" s="47" t="s">
        <v>6</v>
      </c>
      <c r="C41" s="42">
        <f>tbl_model!R42</f>
        <v>28.351607222657602</v>
      </c>
      <c r="D41" s="42">
        <f>tbl_model!S42</f>
        <v>28.706106123031521</v>
      </c>
      <c r="E41" s="43">
        <f>tbl_model!T42</f>
        <v>30.501767232095379</v>
      </c>
      <c r="F41" s="43">
        <f>tbl_model!U42</f>
        <v>31.880928175619029</v>
      </c>
      <c r="G41" s="43">
        <f>tbl_model!V42</f>
        <v>32.946301848427304</v>
      </c>
      <c r="H41" s="43">
        <f>tbl_model!W42</f>
        <v>34.613148810655254</v>
      </c>
      <c r="I41" s="43">
        <f>tbl_model!X42</f>
        <v>36.255019471698617</v>
      </c>
      <c r="K41" s="20">
        <f t="shared" si="4"/>
        <v>1.2503661524014609E-2</v>
      </c>
      <c r="L41" s="20">
        <f t="shared" si="4"/>
        <v>6.2553280523935717E-2</v>
      </c>
      <c r="M41" s="20">
        <f t="shared" si="4"/>
        <v>4.5215771697071805E-2</v>
      </c>
      <c r="N41" s="20">
        <f t="shared" si="4"/>
        <v>3.3417272763815564E-2</v>
      </c>
      <c r="O41" s="20">
        <f t="shared" si="4"/>
        <v>5.0592839521001354E-2</v>
      </c>
      <c r="P41" s="20">
        <f t="shared" si="4"/>
        <v>4.7434882911835397E-2</v>
      </c>
      <c r="Q41" s="21"/>
      <c r="R41" s="42">
        <v>28.351607222657602</v>
      </c>
      <c r="S41" s="42">
        <v>28.706106123031521</v>
      </c>
      <c r="T41" s="43">
        <v>30.083837132451855</v>
      </c>
      <c r="U41" s="43">
        <v>31.533488655584954</v>
      </c>
      <c r="V41" s="43">
        <v>32.532555129544519</v>
      </c>
      <c r="W41" s="43">
        <v>34.180618266682949</v>
      </c>
      <c r="X41" s="43">
        <v>35.853940003015467</v>
      </c>
      <c r="Z41" s="20">
        <f t="shared" si="14"/>
        <v>1.2503661524014609E-2</v>
      </c>
      <c r="AA41" s="20">
        <f t="shared" si="14"/>
        <v>4.7994353658260547E-2</v>
      </c>
      <c r="AB41" s="20">
        <f t="shared" si="14"/>
        <v>4.8187055286552427E-2</v>
      </c>
      <c r="AC41" s="20">
        <f t="shared" si="14"/>
        <v>3.1682713095007253E-2</v>
      </c>
      <c r="AD41" s="20">
        <f t="shared" si="14"/>
        <v>5.0658890166353387E-2</v>
      </c>
      <c r="AE41" s="20">
        <f t="shared" si="14"/>
        <v>4.8955279956523379E-2</v>
      </c>
      <c r="AG41" s="42">
        <f t="shared" si="6"/>
        <v>0</v>
      </c>
      <c r="AH41" s="42">
        <f t="shared" si="6"/>
        <v>0</v>
      </c>
      <c r="AI41" s="43">
        <f t="shared" si="6"/>
        <v>0.41793009964352379</v>
      </c>
      <c r="AJ41" s="43">
        <f t="shared" si="6"/>
        <v>0.34743952003407585</v>
      </c>
      <c r="AK41" s="43">
        <f t="shared" si="6"/>
        <v>0.41374671888278414</v>
      </c>
      <c r="AL41" s="43">
        <f t="shared" si="6"/>
        <v>0.43253054397230528</v>
      </c>
      <c r="AM41" s="43">
        <f t="shared" si="6"/>
        <v>0.40107946868315025</v>
      </c>
      <c r="AO41" s="20">
        <f t="shared" si="7"/>
        <v>0</v>
      </c>
      <c r="AP41" s="20">
        <f t="shared" si="7"/>
        <v>0</v>
      </c>
      <c r="AQ41" s="20">
        <f t="shared" si="7"/>
        <v>1.3892180635185492E-2</v>
      </c>
      <c r="AR41" s="20">
        <f t="shared" si="7"/>
        <v>1.1018112325879237E-2</v>
      </c>
      <c r="AS41" s="20">
        <f t="shared" si="7"/>
        <v>1.2717928771203146E-2</v>
      </c>
      <c r="AT41" s="20">
        <f t="shared" si="7"/>
        <v>1.2654263319569869E-2</v>
      </c>
      <c r="AU41" s="20">
        <f t="shared" si="7"/>
        <v>1.1186482396339681E-2</v>
      </c>
      <c r="BH41" s="45"/>
      <c r="BI41" s="45"/>
    </row>
    <row r="42" spans="2:61" ht="13" customHeight="1" x14ac:dyDescent="0.15">
      <c r="B42" s="29" t="s">
        <v>10</v>
      </c>
      <c r="C42" s="42">
        <f>tbl_model!R43</f>
        <v>4.8713201381751983</v>
      </c>
      <c r="D42" s="42">
        <f>tbl_model!S43</f>
        <v>5.0605907484802728</v>
      </c>
      <c r="E42" s="43">
        <f>tbl_model!T43</f>
        <v>5.3609943506940283</v>
      </c>
      <c r="F42" s="43">
        <f>tbl_model!U43</f>
        <v>5.564228110351503</v>
      </c>
      <c r="G42" s="43">
        <f>tbl_model!V43</f>
        <v>5.7501636886657694</v>
      </c>
      <c r="H42" s="43">
        <f>tbl_model!W43</f>
        <v>6.0531690000614935</v>
      </c>
      <c r="I42" s="43">
        <f>tbl_model!X43</f>
        <v>6.3402940225245974</v>
      </c>
      <c r="K42" s="20">
        <f t="shared" si="4"/>
        <v>3.8854069315176654E-2</v>
      </c>
      <c r="L42" s="20">
        <f t="shared" si="4"/>
        <v>5.9361370469241947E-2</v>
      </c>
      <c r="M42" s="20">
        <f t="shared" si="4"/>
        <v>3.7909713452908944E-2</v>
      </c>
      <c r="N42" s="20">
        <f t="shared" si="4"/>
        <v>3.3416239346542698E-2</v>
      </c>
      <c r="O42" s="20">
        <f t="shared" si="4"/>
        <v>5.2695075792882573E-2</v>
      </c>
      <c r="P42" s="20">
        <f t="shared" si="4"/>
        <v>4.7433835476952124E-2</v>
      </c>
      <c r="Q42" s="21"/>
      <c r="R42" s="42">
        <v>4.8713201381751983</v>
      </c>
      <c r="S42" s="42">
        <v>5.0605907484802728</v>
      </c>
      <c r="T42" s="43">
        <v>5.3618617411242715</v>
      </c>
      <c r="U42" s="43">
        <v>5.58094863313839</v>
      </c>
      <c r="V42" s="43">
        <v>5.7577624697118575</v>
      </c>
      <c r="W42" s="43">
        <v>6.0615492643658042</v>
      </c>
      <c r="X42" s="43">
        <v>6.3582877472789843</v>
      </c>
      <c r="Z42" s="20">
        <f t="shared" si="14"/>
        <v>3.8854069315176654E-2</v>
      </c>
      <c r="AA42" s="20">
        <f t="shared" si="14"/>
        <v>5.9532771492038172E-2</v>
      </c>
      <c r="AB42" s="20">
        <f t="shared" si="14"/>
        <v>4.0860227770099122E-2</v>
      </c>
      <c r="AC42" s="20">
        <f t="shared" si="14"/>
        <v>3.1681681412293994E-2</v>
      </c>
      <c r="AD42" s="20">
        <f t="shared" si="14"/>
        <v>5.27612586055759E-2</v>
      </c>
      <c r="AE42" s="20">
        <f t="shared" si="14"/>
        <v>4.8954231001243409E-2</v>
      </c>
      <c r="AG42" s="42">
        <f t="shared" si="6"/>
        <v>0</v>
      </c>
      <c r="AH42" s="42">
        <f t="shared" si="6"/>
        <v>0</v>
      </c>
      <c r="AI42" s="43">
        <f t="shared" si="6"/>
        <v>-8.6739043024319784E-4</v>
      </c>
      <c r="AJ42" s="43">
        <f t="shared" si="6"/>
        <v>-1.672052278688696E-2</v>
      </c>
      <c r="AK42" s="43">
        <f t="shared" si="6"/>
        <v>-7.5987810460880212E-3</v>
      </c>
      <c r="AL42" s="43">
        <f t="shared" si="6"/>
        <v>-8.3802643043107139E-3</v>
      </c>
      <c r="AM42" s="43">
        <f t="shared" si="6"/>
        <v>-1.7993724754386875E-2</v>
      </c>
      <c r="AO42" s="20">
        <f t="shared" si="7"/>
        <v>0</v>
      </c>
      <c r="AP42" s="20">
        <f t="shared" si="7"/>
        <v>0</v>
      </c>
      <c r="AQ42" s="20">
        <f t="shared" si="7"/>
        <v>-1.6177038352005457E-4</v>
      </c>
      <c r="AR42" s="20">
        <f t="shared" si="7"/>
        <v>-2.996000122202247E-3</v>
      </c>
      <c r="AS42" s="20">
        <f t="shared" si="7"/>
        <v>-1.3197454889917193E-3</v>
      </c>
      <c r="AT42" s="20">
        <f t="shared" si="7"/>
        <v>-1.3825284492161583E-3</v>
      </c>
      <c r="AU42" s="20">
        <f t="shared" si="7"/>
        <v>-2.8299638943026784E-3</v>
      </c>
      <c r="BH42" s="45"/>
      <c r="BI42" s="45"/>
    </row>
    <row r="43" spans="2:61" ht="13" customHeight="1" x14ac:dyDescent="0.15">
      <c r="B43" s="47" t="s">
        <v>7</v>
      </c>
      <c r="C43" s="42">
        <f>tbl_model!R44</f>
        <v>101.80264784377644</v>
      </c>
      <c r="D43" s="42">
        <f>tbl_model!S44</f>
        <v>104.74379613960149</v>
      </c>
      <c r="E43" s="43">
        <f>tbl_model!T44</f>
        <v>109.74778968853647</v>
      </c>
      <c r="F43" s="43">
        <f>tbl_model!U44</f>
        <v>112.57138532257443</v>
      </c>
      <c r="G43" s="43">
        <f>tbl_model!V44</f>
        <v>117.08152507480418</v>
      </c>
      <c r="H43" s="43">
        <f>tbl_model!W44</f>
        <v>121.78386740665513</v>
      </c>
      <c r="I43" s="43">
        <f>tbl_model!X44</f>
        <v>127.20683085877037</v>
      </c>
      <c r="K43" s="20">
        <f t="shared" si="4"/>
        <v>2.889068563657049E-2</v>
      </c>
      <c r="L43" s="20">
        <f t="shared" si="4"/>
        <v>4.7773650883014662E-2</v>
      </c>
      <c r="M43" s="20">
        <f t="shared" si="4"/>
        <v>2.5728041011589431E-2</v>
      </c>
      <c r="N43" s="20">
        <f t="shared" si="4"/>
        <v>4.006470862294087E-2</v>
      </c>
      <c r="O43" s="20">
        <f t="shared" si="4"/>
        <v>4.0162974720790556E-2</v>
      </c>
      <c r="P43" s="20">
        <f t="shared" si="4"/>
        <v>4.4529407446120439E-2</v>
      </c>
      <c r="Q43" s="21"/>
      <c r="R43" s="42">
        <v>101.80264784377644</v>
      </c>
      <c r="S43" s="42">
        <v>104.74379613960149</v>
      </c>
      <c r="T43" s="43">
        <v>109.8016391628075</v>
      </c>
      <c r="U43" s="43">
        <v>112.08963519937561</v>
      </c>
      <c r="V43" s="43">
        <v>116.41229754743877</v>
      </c>
      <c r="W43" s="43">
        <v>121.03133736611474</v>
      </c>
      <c r="X43" s="43">
        <v>126.11764386101071</v>
      </c>
      <c r="Z43" s="20">
        <f t="shared" si="14"/>
        <v>2.889068563657049E-2</v>
      </c>
      <c r="AA43" s="20">
        <f t="shared" si="14"/>
        <v>4.8287757457873504E-2</v>
      </c>
      <c r="AB43" s="20">
        <f t="shared" si="14"/>
        <v>2.083753989478776E-2</v>
      </c>
      <c r="AC43" s="20">
        <f t="shared" si="14"/>
        <v>3.8564335947515405E-2</v>
      </c>
      <c r="AD43" s="20">
        <f t="shared" si="14"/>
        <v>3.9678280697051704E-2</v>
      </c>
      <c r="AE43" s="20">
        <f t="shared" si="14"/>
        <v>4.2024707035253961E-2</v>
      </c>
      <c r="AG43" s="42">
        <f t="shared" si="6"/>
        <v>0</v>
      </c>
      <c r="AH43" s="42">
        <f t="shared" si="6"/>
        <v>0</v>
      </c>
      <c r="AI43" s="43">
        <f t="shared" si="6"/>
        <v>-5.3849474271032705E-2</v>
      </c>
      <c r="AJ43" s="43">
        <f t="shared" si="6"/>
        <v>0.48175012319882171</v>
      </c>
      <c r="AK43" s="43">
        <f t="shared" si="6"/>
        <v>0.66922752736540758</v>
      </c>
      <c r="AL43" s="43">
        <f t="shared" si="6"/>
        <v>0.75253004054039252</v>
      </c>
      <c r="AM43" s="43">
        <f t="shared" si="6"/>
        <v>1.0891869977596684</v>
      </c>
      <c r="AO43" s="20">
        <f t="shared" si="7"/>
        <v>0</v>
      </c>
      <c r="AP43" s="20">
        <f t="shared" si="7"/>
        <v>0</v>
      </c>
      <c r="AQ43" s="20">
        <f t="shared" si="7"/>
        <v>-4.9042504903951123E-4</v>
      </c>
      <c r="AR43" s="20">
        <f t="shared" si="7"/>
        <v>4.2979007143875148E-3</v>
      </c>
      <c r="AS43" s="20">
        <f t="shared" si="7"/>
        <v>5.7487700308698209E-3</v>
      </c>
      <c r="AT43" s="20">
        <f t="shared" si="7"/>
        <v>6.2176462469716309E-3</v>
      </c>
      <c r="AU43" s="20">
        <f t="shared" si="7"/>
        <v>8.6362777198725205E-3</v>
      </c>
      <c r="BH43" s="45"/>
      <c r="BI43" s="45"/>
    </row>
    <row r="44" spans="2:61" x14ac:dyDescent="0.15">
      <c r="B44" s="41" t="s">
        <v>20</v>
      </c>
      <c r="C44" s="42">
        <f>tbl_model!R45</f>
        <v>26.035311849565957</v>
      </c>
      <c r="D44" s="42">
        <f>tbl_model!S45</f>
        <v>25.414717339367012</v>
      </c>
      <c r="E44" s="43">
        <f>tbl_model!T45</f>
        <v>26.005466949564415</v>
      </c>
      <c r="F44" s="43">
        <f>tbl_model!U45</f>
        <v>27.284209362098025</v>
      </c>
      <c r="G44" s="43">
        <f>tbl_model!V45</f>
        <v>28.850495341337567</v>
      </c>
      <c r="H44" s="43">
        <f>tbl_model!W45</f>
        <v>30.826288289848133</v>
      </c>
      <c r="I44" s="43">
        <f>tbl_model!X45</f>
        <v>32.831437905346952</v>
      </c>
      <c r="K44" s="74">
        <f t="shared" si="4"/>
        <v>-2.3836645928606015E-2</v>
      </c>
      <c r="L44" s="20">
        <f t="shared" si="4"/>
        <v>2.3244390339228316E-2</v>
      </c>
      <c r="M44" s="20">
        <f t="shared" si="4"/>
        <v>4.9172061205962292E-2</v>
      </c>
      <c r="N44" s="20">
        <f t="shared" si="4"/>
        <v>5.7406317275051855E-2</v>
      </c>
      <c r="O44" s="20">
        <f t="shared" si="4"/>
        <v>6.8483848375372913E-2</v>
      </c>
      <c r="P44" s="20">
        <f t="shared" si="4"/>
        <v>6.5046741814815512E-2</v>
      </c>
      <c r="Q44" s="21"/>
      <c r="R44" s="42">
        <v>26.035311849565957</v>
      </c>
      <c r="S44" s="42">
        <v>25.414717339367012</v>
      </c>
      <c r="T44" s="43">
        <v>26.629010786270534</v>
      </c>
      <c r="U44" s="43">
        <v>28.400292435805824</v>
      </c>
      <c r="V44" s="43">
        <v>30.304179198683595</v>
      </c>
      <c r="W44" s="43">
        <v>32.156350592728401</v>
      </c>
      <c r="X44" s="43">
        <v>34.115873207579497</v>
      </c>
      <c r="Z44" s="74">
        <f t="shared" si="14"/>
        <v>-2.3836645928606015E-2</v>
      </c>
      <c r="AA44" s="20">
        <f t="shared" si="14"/>
        <v>4.7779144292216857E-2</v>
      </c>
      <c r="AB44" s="20">
        <f t="shared" si="14"/>
        <v>6.6516990201098025E-2</v>
      </c>
      <c r="AC44" s="20">
        <f t="shared" si="14"/>
        <v>6.7037576010218647E-2</v>
      </c>
      <c r="AD44" s="20">
        <f t="shared" si="14"/>
        <v>6.1119338751971952E-2</v>
      </c>
      <c r="AE44" s="20">
        <f t="shared" si="14"/>
        <v>6.0937344528586124E-2</v>
      </c>
      <c r="AG44" s="42">
        <f t="shared" si="6"/>
        <v>0</v>
      </c>
      <c r="AH44" s="42">
        <f t="shared" si="6"/>
        <v>0</v>
      </c>
      <c r="AI44" s="43">
        <f t="shared" si="6"/>
        <v>-0.62354383670611924</v>
      </c>
      <c r="AJ44" s="43">
        <f t="shared" si="6"/>
        <v>-1.1160830737077987</v>
      </c>
      <c r="AK44" s="43">
        <f t="shared" si="6"/>
        <v>-1.4536838573460287</v>
      </c>
      <c r="AL44" s="43">
        <f t="shared" si="6"/>
        <v>-1.3300623028802683</v>
      </c>
      <c r="AM44" s="43">
        <f t="shared" si="6"/>
        <v>-1.284435302232545</v>
      </c>
      <c r="AO44" s="20">
        <f t="shared" si="7"/>
        <v>0</v>
      </c>
      <c r="AP44" s="20">
        <f t="shared" si="7"/>
        <v>0</v>
      </c>
      <c r="AQ44" s="20">
        <f t="shared" si="7"/>
        <v>-2.3415959447791734E-2</v>
      </c>
      <c r="AR44" s="20">
        <f t="shared" si="7"/>
        <v>-3.9298295122506932E-2</v>
      </c>
      <c r="AS44" s="20">
        <f t="shared" si="7"/>
        <v>-4.796974858864278E-2</v>
      </c>
      <c r="AT44" s="20">
        <f t="shared" si="7"/>
        <v>-4.1362352330523433E-2</v>
      </c>
      <c r="AU44" s="20">
        <f t="shared" si="7"/>
        <v>-3.7649199081534412E-2</v>
      </c>
      <c r="BH44" s="45"/>
      <c r="BI44" s="45"/>
    </row>
    <row r="45" spans="2:61" x14ac:dyDescent="0.15">
      <c r="B45" s="47" t="s">
        <v>6</v>
      </c>
      <c r="C45" s="42">
        <f>tbl_model!R46</f>
        <v>5.8787734156319935</v>
      </c>
      <c r="D45" s="42">
        <f>tbl_model!S46</f>
        <v>5.7909466635134912</v>
      </c>
      <c r="E45" s="43">
        <f>tbl_model!T46</f>
        <v>6.0336625751778996</v>
      </c>
      <c r="F45" s="43">
        <f>tbl_model!U46</f>
        <v>6.4869087019318954</v>
      </c>
      <c r="G45" s="43">
        <f>tbl_model!V46</f>
        <v>6.7993604072016041</v>
      </c>
      <c r="H45" s="43">
        <f>tbl_model!W46</f>
        <v>7.2776872106292814</v>
      </c>
      <c r="I45" s="43">
        <f>tbl_model!X46</f>
        <v>7.7307786498846589</v>
      </c>
      <c r="K45" s="74">
        <f t="shared" si="4"/>
        <v>-1.4939638919398757E-2</v>
      </c>
      <c r="L45" s="20">
        <f t="shared" si="4"/>
        <v>4.1912993810436339E-2</v>
      </c>
      <c r="M45" s="20">
        <f t="shared" si="4"/>
        <v>7.5119568107540724E-2</v>
      </c>
      <c r="N45" s="20">
        <f t="shared" si="4"/>
        <v>4.8166502663534727E-2</v>
      </c>
      <c r="O45" s="20">
        <f t="shared" si="4"/>
        <v>7.0348793824938749E-2</v>
      </c>
      <c r="P45" s="20">
        <f t="shared" si="4"/>
        <v>6.2257613736631079E-2</v>
      </c>
      <c r="Q45" s="21"/>
      <c r="R45" s="42">
        <v>5.8787734156319935</v>
      </c>
      <c r="S45" s="42">
        <v>5.7909466635134912</v>
      </c>
      <c r="T45" s="43">
        <v>6.0122826104979055</v>
      </c>
      <c r="U45" s="43">
        <v>6.5787242177387384</v>
      </c>
      <c r="V45" s="43">
        <v>6.9586397368699124</v>
      </c>
      <c r="W45" s="43">
        <v>7.396785709557431</v>
      </c>
      <c r="X45" s="43">
        <v>7.827054038767308</v>
      </c>
      <c r="Z45" s="74">
        <f t="shared" si="14"/>
        <v>-1.4939638919398757E-2</v>
      </c>
      <c r="AA45" s="20">
        <f t="shared" si="14"/>
        <v>3.8221030143303913E-2</v>
      </c>
      <c r="AB45" s="20">
        <f t="shared" si="14"/>
        <v>9.4214068755148483E-2</v>
      </c>
      <c r="AC45" s="20">
        <f t="shared" si="14"/>
        <v>5.7749117694700924E-2</v>
      </c>
      <c r="AD45" s="20">
        <f t="shared" si="14"/>
        <v>6.2964313322046328E-2</v>
      </c>
      <c r="AE45" s="20">
        <f t="shared" si="14"/>
        <v>5.8169635582915991E-2</v>
      </c>
      <c r="AG45" s="42">
        <f t="shared" si="6"/>
        <v>0</v>
      </c>
      <c r="AH45" s="42">
        <f t="shared" si="6"/>
        <v>0</v>
      </c>
      <c r="AI45" s="43">
        <f t="shared" si="6"/>
        <v>2.1379964679994146E-2</v>
      </c>
      <c r="AJ45" s="43">
        <f t="shared" si="6"/>
        <v>-9.1815515806842996E-2</v>
      </c>
      <c r="AK45" s="43">
        <f t="shared" si="6"/>
        <v>-0.15927932966830838</v>
      </c>
      <c r="AL45" s="43">
        <f t="shared" si="6"/>
        <v>-0.11909849892814961</v>
      </c>
      <c r="AM45" s="43">
        <f t="shared" si="6"/>
        <v>-9.6275388882649082E-2</v>
      </c>
      <c r="AO45" s="20">
        <f t="shared" si="7"/>
        <v>0</v>
      </c>
      <c r="AP45" s="20">
        <f t="shared" si="7"/>
        <v>0</v>
      </c>
      <c r="AQ45" s="20">
        <f t="shared" si="7"/>
        <v>3.5560478548801733E-3</v>
      </c>
      <c r="AR45" s="20">
        <f t="shared" si="7"/>
        <v>-1.3956431789506119E-2</v>
      </c>
      <c r="AS45" s="20">
        <f t="shared" si="7"/>
        <v>-2.2889434672753173E-2</v>
      </c>
      <c r="AT45" s="20">
        <f t="shared" si="7"/>
        <v>-1.6101385602432905E-2</v>
      </c>
      <c r="AU45" s="20">
        <f t="shared" si="7"/>
        <v>-1.2300335273756624E-2</v>
      </c>
      <c r="BH45" s="45"/>
      <c r="BI45" s="45"/>
    </row>
    <row r="46" spans="2:61" x14ac:dyDescent="0.15">
      <c r="B46" s="47" t="s">
        <v>7</v>
      </c>
      <c r="C46" s="42">
        <f>tbl_model!R47</f>
        <v>20.156538433933964</v>
      </c>
      <c r="D46" s="42">
        <f>tbl_model!S47</f>
        <v>19.623770675853521</v>
      </c>
      <c r="E46" s="43">
        <f>tbl_model!T47</f>
        <v>19.971804374386515</v>
      </c>
      <c r="F46" s="43">
        <f>tbl_model!U47</f>
        <v>20.79730066016613</v>
      </c>
      <c r="G46" s="43">
        <f>tbl_model!V47</f>
        <v>22.051134934135963</v>
      </c>
      <c r="H46" s="43">
        <f>tbl_model!W47</f>
        <v>23.548601079218852</v>
      </c>
      <c r="I46" s="43">
        <f>tbl_model!X47</f>
        <v>25.100659255462293</v>
      </c>
      <c r="K46" s="74">
        <f t="shared" si="4"/>
        <v>-2.6431510540694703E-2</v>
      </c>
      <c r="L46" s="20">
        <f t="shared" si="4"/>
        <v>1.7735312151871074E-2</v>
      </c>
      <c r="M46" s="20">
        <f t="shared" si="4"/>
        <v>4.1333084898342864E-2</v>
      </c>
      <c r="N46" s="20">
        <f t="shared" si="4"/>
        <v>6.0288317914802825E-2</v>
      </c>
      <c r="O46" s="20">
        <f t="shared" si="4"/>
        <v>6.7908801499588778E-2</v>
      </c>
      <c r="P46" s="20">
        <f t="shared" si="4"/>
        <v>6.5908720905425655E-2</v>
      </c>
      <c r="Q46" s="21"/>
      <c r="R46" s="42">
        <v>20.156538433933964</v>
      </c>
      <c r="S46" s="42">
        <v>19.623770675853521</v>
      </c>
      <c r="T46" s="43">
        <v>20.616728175772629</v>
      </c>
      <c r="U46" s="43">
        <v>21.821568218067085</v>
      </c>
      <c r="V46" s="43">
        <v>23.345539461813683</v>
      </c>
      <c r="W46" s="43">
        <v>24.75956488317097</v>
      </c>
      <c r="X46" s="43">
        <v>26.288819168812189</v>
      </c>
      <c r="Z46" s="74">
        <f t="shared" si="14"/>
        <v>-2.6431510540694703E-2</v>
      </c>
      <c r="AA46" s="20">
        <f t="shared" si="14"/>
        <v>5.0599730109000651E-2</v>
      </c>
      <c r="AB46" s="20">
        <f t="shared" si="14"/>
        <v>5.8439924706884527E-2</v>
      </c>
      <c r="AC46" s="20">
        <f t="shared" si="14"/>
        <v>6.9837842473889244E-2</v>
      </c>
      <c r="AD46" s="20">
        <f t="shared" si="14"/>
        <v>6.0569404432491591E-2</v>
      </c>
      <c r="AE46" s="20">
        <f t="shared" si="14"/>
        <v>6.1764182563670555E-2</v>
      </c>
      <c r="AG46" s="42">
        <f t="shared" si="6"/>
        <v>0</v>
      </c>
      <c r="AH46" s="42">
        <f t="shared" si="6"/>
        <v>0</v>
      </c>
      <c r="AI46" s="43">
        <f t="shared" si="6"/>
        <v>-0.64492380138611338</v>
      </c>
      <c r="AJ46" s="43">
        <f t="shared" si="6"/>
        <v>-1.0242675579009557</v>
      </c>
      <c r="AK46" s="43">
        <f t="shared" si="6"/>
        <v>-1.2944045276777203</v>
      </c>
      <c r="AL46" s="43">
        <f t="shared" si="6"/>
        <v>-1.2109638039521187</v>
      </c>
      <c r="AM46" s="43">
        <f t="shared" si="6"/>
        <v>-1.1881599133498959</v>
      </c>
      <c r="AO46" s="20">
        <f t="shared" si="7"/>
        <v>0</v>
      </c>
      <c r="AP46" s="20">
        <f t="shared" si="7"/>
        <v>0</v>
      </c>
      <c r="AQ46" s="20">
        <f t="shared" si="7"/>
        <v>-3.1281578526314524E-2</v>
      </c>
      <c r="AR46" s="20">
        <f t="shared" si="7"/>
        <v>-4.6938311108773445E-2</v>
      </c>
      <c r="AS46" s="20">
        <f t="shared" si="7"/>
        <v>-5.5445475132197219E-2</v>
      </c>
      <c r="AT46" s="20">
        <f t="shared" si="7"/>
        <v>-4.890892912157796E-2</v>
      </c>
      <c r="AU46" s="20">
        <f t="shared" si="7"/>
        <v>-4.519639721054769E-2</v>
      </c>
      <c r="BH46" s="45"/>
      <c r="BI46" s="45"/>
    </row>
    <row r="47" spans="2:61" ht="4" customHeight="1" x14ac:dyDescent="0.15">
      <c r="C47" s="50"/>
      <c r="D47" s="50"/>
      <c r="E47" s="51"/>
      <c r="F47" s="51"/>
      <c r="G47" s="51"/>
      <c r="H47" s="51"/>
      <c r="I47" s="51"/>
      <c r="L47" s="50"/>
      <c r="M47" s="50"/>
      <c r="N47" s="50"/>
      <c r="O47" s="50"/>
      <c r="P47" s="50"/>
      <c r="Q47" s="50"/>
      <c r="R47" s="50"/>
      <c r="S47" s="50"/>
      <c r="T47" s="51"/>
      <c r="U47" s="51"/>
      <c r="V47" s="51"/>
      <c r="W47" s="51"/>
      <c r="X47" s="51"/>
      <c r="AA47" s="50"/>
      <c r="AB47" s="50"/>
      <c r="AC47" s="50"/>
      <c r="AD47" s="50"/>
      <c r="AE47" s="50"/>
      <c r="AG47" s="50"/>
      <c r="AH47" s="50"/>
      <c r="AI47" s="51"/>
      <c r="AJ47" s="51"/>
      <c r="AK47" s="51"/>
      <c r="AL47" s="51"/>
      <c r="AM47" s="51"/>
      <c r="AO47" s="50"/>
      <c r="AP47" s="50"/>
      <c r="AQ47" s="50"/>
      <c r="AR47" s="50"/>
      <c r="AS47" s="50"/>
      <c r="AT47" s="50"/>
      <c r="AU47" s="50"/>
      <c r="BH47" s="45"/>
      <c r="BI47" s="45"/>
    </row>
    <row r="48" spans="2:61" x14ac:dyDescent="0.15">
      <c r="B48" s="52" t="s">
        <v>25</v>
      </c>
      <c r="K48" s="52"/>
      <c r="L48" s="53"/>
      <c r="Z48" s="52"/>
      <c r="AA48" s="53"/>
      <c r="BH48" s="45"/>
      <c r="BI48" s="45"/>
    </row>
    <row r="49" spans="2:61" x14ac:dyDescent="0.15">
      <c r="C49" s="54"/>
      <c r="D49" s="54"/>
      <c r="E49" s="54"/>
      <c r="F49" s="54"/>
      <c r="G49" s="54"/>
      <c r="H49" s="54"/>
      <c r="I49" s="54"/>
      <c r="R49" s="54"/>
      <c r="S49" s="54"/>
      <c r="T49" s="54"/>
      <c r="U49" s="54"/>
      <c r="V49" s="54"/>
      <c r="W49" s="54"/>
      <c r="X49" s="54"/>
      <c r="AG49" s="54"/>
      <c r="AH49" s="54"/>
      <c r="AI49" s="54"/>
      <c r="AJ49" s="54"/>
      <c r="AK49" s="54"/>
      <c r="AL49" s="54"/>
      <c r="AM49" s="54"/>
      <c r="AO49" s="54"/>
      <c r="AP49" s="54"/>
      <c r="AQ49" s="54"/>
      <c r="AR49" s="54"/>
      <c r="AS49" s="54"/>
      <c r="AT49" s="54"/>
      <c r="AU49" s="54"/>
      <c r="BH49" s="45"/>
      <c r="BI49" s="45"/>
    </row>
    <row r="50" spans="2:61" x14ac:dyDescent="0.15">
      <c r="C50" s="54"/>
      <c r="D50" s="54"/>
      <c r="E50" s="54"/>
      <c r="F50" s="54"/>
      <c r="G50" s="54"/>
      <c r="H50" s="54"/>
      <c r="I50" s="54"/>
      <c r="R50" s="54"/>
      <c r="S50" s="54"/>
      <c r="T50" s="54"/>
      <c r="U50" s="54"/>
      <c r="V50" s="54"/>
      <c r="W50" s="54"/>
      <c r="X50" s="54"/>
      <c r="AG50" s="54"/>
      <c r="AH50" s="54"/>
      <c r="AI50" s="54"/>
      <c r="AJ50" s="54"/>
      <c r="AK50" s="54"/>
      <c r="AL50" s="54"/>
      <c r="AM50" s="54"/>
      <c r="AO50" s="54"/>
      <c r="AP50" s="54"/>
      <c r="AQ50" s="54"/>
      <c r="AR50" s="54"/>
      <c r="AS50" s="54"/>
      <c r="AT50" s="54"/>
      <c r="AU50" s="54"/>
    </row>
    <row r="51" spans="2:61" x14ac:dyDescent="0.15">
      <c r="C51" s="54"/>
      <c r="D51" s="54"/>
      <c r="E51" s="54"/>
      <c r="F51" s="54"/>
      <c r="G51" s="54"/>
      <c r="H51" s="54"/>
      <c r="I51" s="54"/>
      <c r="R51" s="54"/>
      <c r="S51" s="54"/>
      <c r="T51" s="54"/>
      <c r="U51" s="54"/>
      <c r="V51" s="54"/>
      <c r="W51" s="54"/>
      <c r="X51" s="54"/>
      <c r="AG51" s="54"/>
      <c r="AH51" s="54"/>
      <c r="AI51" s="54"/>
      <c r="AJ51" s="54"/>
      <c r="AK51" s="54"/>
      <c r="AL51" s="54"/>
      <c r="AM51" s="54"/>
      <c r="AO51" s="54"/>
      <c r="AP51" s="54"/>
      <c r="AQ51" s="54"/>
      <c r="AR51" s="54"/>
      <c r="AS51" s="54"/>
      <c r="AT51" s="54"/>
      <c r="AU51" s="54"/>
    </row>
    <row r="52" spans="2:61" ht="16" x14ac:dyDescent="0.2">
      <c r="B52" s="4" t="s">
        <v>26</v>
      </c>
      <c r="C52" s="6"/>
      <c r="D52" s="7"/>
      <c r="K52" s="4"/>
      <c r="L52" s="4"/>
      <c r="M52" s="4"/>
      <c r="N52" s="4"/>
      <c r="O52" s="4"/>
      <c r="P52" s="4"/>
      <c r="Q52" s="4"/>
      <c r="R52" s="6"/>
      <c r="S52" s="7"/>
      <c r="Z52" s="4"/>
      <c r="AA52" s="4"/>
      <c r="AB52" s="4"/>
      <c r="AC52" s="4"/>
      <c r="AD52" s="4"/>
      <c r="AE52" s="4"/>
      <c r="AG52" s="6"/>
      <c r="AH52" s="7"/>
      <c r="AO52" s="6"/>
      <c r="AP52" s="7"/>
    </row>
    <row r="53" spans="2:61" ht="4" customHeight="1" x14ac:dyDescent="0.2">
      <c r="B53" s="4"/>
    </row>
    <row r="54" spans="2:61" x14ac:dyDescent="0.15">
      <c r="B54" s="55"/>
      <c r="C54" s="9">
        <v>2024</v>
      </c>
      <c r="D54" s="9">
        <v>2025</v>
      </c>
      <c r="E54" s="10">
        <v>2026</v>
      </c>
      <c r="F54" s="10">
        <v>2027</v>
      </c>
      <c r="G54" s="10">
        <v>2028</v>
      </c>
      <c r="H54" s="10">
        <v>2029</v>
      </c>
      <c r="I54" s="10">
        <v>2030</v>
      </c>
      <c r="K54" s="9">
        <v>2025</v>
      </c>
      <c r="L54" s="9">
        <v>2026</v>
      </c>
      <c r="M54" s="9">
        <v>2027</v>
      </c>
      <c r="N54" s="9">
        <v>2028</v>
      </c>
      <c r="O54" s="9">
        <v>2029</v>
      </c>
      <c r="P54" s="9">
        <v>2030</v>
      </c>
      <c r="Q54" s="9"/>
      <c r="R54" s="9">
        <v>2024</v>
      </c>
      <c r="S54" s="9">
        <v>2025</v>
      </c>
      <c r="T54" s="10">
        <v>2026</v>
      </c>
      <c r="U54" s="10">
        <v>2027</v>
      </c>
      <c r="V54" s="10">
        <v>2028</v>
      </c>
      <c r="W54" s="10">
        <v>2029</v>
      </c>
      <c r="X54" s="10">
        <v>2030</v>
      </c>
      <c r="Z54" s="9">
        <v>2025</v>
      </c>
      <c r="AA54" s="9">
        <v>2026</v>
      </c>
      <c r="AB54" s="9">
        <v>2027</v>
      </c>
      <c r="AC54" s="9">
        <v>2028</v>
      </c>
      <c r="AD54" s="9">
        <v>2029</v>
      </c>
      <c r="AE54" s="9">
        <v>2030</v>
      </c>
      <c r="AG54" s="9">
        <v>2024</v>
      </c>
      <c r="AH54" s="9">
        <v>2025</v>
      </c>
      <c r="AI54" s="10">
        <v>2026</v>
      </c>
      <c r="AJ54" s="10">
        <v>2027</v>
      </c>
      <c r="AK54" s="10">
        <v>2028</v>
      </c>
      <c r="AL54" s="10">
        <v>2029</v>
      </c>
      <c r="AM54" s="10">
        <v>2030</v>
      </c>
      <c r="AO54" s="9">
        <v>2024</v>
      </c>
      <c r="AP54" s="9">
        <v>2025</v>
      </c>
      <c r="AQ54" s="9">
        <v>2026</v>
      </c>
      <c r="AR54" s="9">
        <v>2027</v>
      </c>
      <c r="AS54" s="9">
        <v>2028</v>
      </c>
      <c r="AT54" s="9">
        <v>2029</v>
      </c>
      <c r="AU54" s="9">
        <v>2030</v>
      </c>
    </row>
    <row r="55" spans="2:61" x14ac:dyDescent="0.15">
      <c r="B55" s="55"/>
      <c r="E55" s="11"/>
      <c r="F55" s="11"/>
      <c r="G55" s="11"/>
      <c r="H55" s="11"/>
      <c r="I55" s="11"/>
      <c r="T55" s="11"/>
      <c r="U55" s="11"/>
      <c r="V55" s="11"/>
      <c r="W55" s="11"/>
      <c r="X55" s="11"/>
      <c r="AI55" s="11"/>
      <c r="AJ55" s="11"/>
      <c r="AK55" s="11"/>
      <c r="AL55" s="11"/>
      <c r="AM55" s="11"/>
    </row>
    <row r="56" spans="2:61" x14ac:dyDescent="0.15">
      <c r="B56" s="55" t="s">
        <v>9</v>
      </c>
      <c r="C56" s="57">
        <f>tbl_model!R57</f>
        <v>212.25778199196486</v>
      </c>
      <c r="D56" s="58">
        <f>tbl_model!S57</f>
        <v>214.15589425422476</v>
      </c>
      <c r="E56" s="59">
        <f>tbl_model!T57</f>
        <v>217.75550107738766</v>
      </c>
      <c r="F56" s="59">
        <f>tbl_model!U57</f>
        <v>221.842340752643</v>
      </c>
      <c r="G56" s="59">
        <f>tbl_model!V57</f>
        <v>227.40543666326195</v>
      </c>
      <c r="H56" s="59">
        <f>tbl_model!W57</f>
        <v>232.30777670938755</v>
      </c>
      <c r="I56" s="59">
        <f>tbl_model!X57</f>
        <v>238.09001820470411</v>
      </c>
      <c r="K56" s="15">
        <f t="shared" ref="K56:P78" si="15">D56/C56-1</f>
        <v>8.9424860867139966E-3</v>
      </c>
      <c r="L56" s="15">
        <f t="shared" si="15"/>
        <v>1.6808348122745675E-2</v>
      </c>
      <c r="M56" s="15">
        <f t="shared" si="15"/>
        <v>1.8768020348670422E-2</v>
      </c>
      <c r="N56" s="15">
        <f t="shared" si="15"/>
        <v>2.5076799549378581E-2</v>
      </c>
      <c r="O56" s="15">
        <f t="shared" si="15"/>
        <v>2.1557708197561309E-2</v>
      </c>
      <c r="P56" s="15">
        <f t="shared" si="15"/>
        <v>2.4890434479729162E-2</v>
      </c>
      <c r="Q56" s="15"/>
      <c r="R56" s="57">
        <v>212.25778199196486</v>
      </c>
      <c r="S56" s="58">
        <v>214.15589425422476</v>
      </c>
      <c r="T56" s="59">
        <v>217.47063745624843</v>
      </c>
      <c r="U56" s="59">
        <v>222.13898052827193</v>
      </c>
      <c r="V56" s="59">
        <v>227.34177167078241</v>
      </c>
      <c r="W56" s="59">
        <v>232.24255297247078</v>
      </c>
      <c r="X56" s="59">
        <v>238.3536660323694</v>
      </c>
      <c r="Z56" s="15">
        <f t="shared" ref="Z56:AE56" si="16">S56/R56-1</f>
        <v>8.9424860867139966E-3</v>
      </c>
      <c r="AA56" s="15">
        <f t="shared" si="16"/>
        <v>1.5478178705129242E-2</v>
      </c>
      <c r="AB56" s="15">
        <f t="shared" si="16"/>
        <v>2.1466544295952072E-2</v>
      </c>
      <c r="AC56" s="15">
        <f t="shared" si="16"/>
        <v>2.3421333482928741E-2</v>
      </c>
      <c r="AD56" s="15">
        <f t="shared" si="16"/>
        <v>2.155688884480611E-2</v>
      </c>
      <c r="AE56" s="15">
        <f t="shared" si="16"/>
        <v>2.6313494153773931E-2</v>
      </c>
      <c r="AG56" s="57">
        <f t="shared" ref="AG56:AM78" si="17">C56-R56</f>
        <v>0</v>
      </c>
      <c r="AH56" s="58">
        <f t="shared" si="17"/>
        <v>0</v>
      </c>
      <c r="AI56" s="59">
        <f t="shared" si="17"/>
        <v>0.28486362113923747</v>
      </c>
      <c r="AJ56" s="59">
        <f t="shared" si="17"/>
        <v>-0.29663977562893251</v>
      </c>
      <c r="AK56" s="59">
        <f t="shared" si="17"/>
        <v>6.3664992479544935E-2</v>
      </c>
      <c r="AL56" s="59">
        <f t="shared" si="17"/>
        <v>6.5223736916777852E-2</v>
      </c>
      <c r="AM56" s="59">
        <f t="shared" si="17"/>
        <v>-0.26364782766529515</v>
      </c>
      <c r="AO56" s="106">
        <f t="shared" ref="AO56:AU78" si="18">C56/R56-1</f>
        <v>0</v>
      </c>
      <c r="AP56" s="15">
        <f t="shared" si="18"/>
        <v>0</v>
      </c>
      <c r="AQ56" s="15">
        <f t="shared" si="18"/>
        <v>1.3098946343803597E-3</v>
      </c>
      <c r="AR56" s="15">
        <f t="shared" si="18"/>
        <v>-1.3353792068527826E-3</v>
      </c>
      <c r="AS56" s="15">
        <f t="shared" si="18"/>
        <v>2.800408917889019E-4</v>
      </c>
      <c r="AT56" s="15">
        <f t="shared" si="18"/>
        <v>2.8084317917609347E-4</v>
      </c>
      <c r="AU56" s="15">
        <f t="shared" si="18"/>
        <v>-1.10612029617152E-3</v>
      </c>
    </row>
    <row r="57" spans="2:61" ht="4" customHeight="1" x14ac:dyDescent="0.15">
      <c r="B57" s="55"/>
      <c r="E57" s="11"/>
      <c r="F57" s="11"/>
      <c r="G57" s="11"/>
      <c r="H57" s="11"/>
      <c r="I57" s="11"/>
      <c r="T57" s="11"/>
      <c r="U57" s="11"/>
      <c r="V57" s="11"/>
      <c r="W57" s="11"/>
      <c r="X57" s="11"/>
      <c r="AI57" s="11"/>
      <c r="AJ57" s="11"/>
      <c r="AK57" s="11"/>
      <c r="AL57" s="11"/>
      <c r="AM57" s="11"/>
      <c r="AO57" s="20"/>
      <c r="AP57" s="20"/>
      <c r="AQ57" s="20"/>
      <c r="AR57" s="20"/>
      <c r="AS57" s="20"/>
      <c r="AT57" s="20"/>
      <c r="AU57" s="20"/>
    </row>
    <row r="58" spans="2:61" x14ac:dyDescent="0.15">
      <c r="B58" s="41" t="s">
        <v>28</v>
      </c>
      <c r="C58" s="58">
        <f>tbl_model!R59</f>
        <v>118.33219660239592</v>
      </c>
      <c r="D58" s="58">
        <f>tbl_model!S59</f>
        <v>118.90906094392432</v>
      </c>
      <c r="E58" s="59">
        <f>tbl_model!T59</f>
        <v>120.8258198526979</v>
      </c>
      <c r="F58" s="59">
        <f>tbl_model!U59</f>
        <v>123.17390452122444</v>
      </c>
      <c r="G58" s="59">
        <f>tbl_model!V59</f>
        <v>126.29091038684115</v>
      </c>
      <c r="H58" s="59">
        <f>tbl_model!W59</f>
        <v>128.84739658454552</v>
      </c>
      <c r="I58" s="59">
        <f>tbl_model!X59</f>
        <v>131.86058778532666</v>
      </c>
      <c r="K58" s="15">
        <f t="shared" si="15"/>
        <v>4.8749567581061193E-3</v>
      </c>
      <c r="L58" s="15">
        <f t="shared" si="15"/>
        <v>1.6119536169556525E-2</v>
      </c>
      <c r="M58" s="15">
        <f t="shared" si="15"/>
        <v>1.9433633236580983E-2</v>
      </c>
      <c r="N58" s="15">
        <f t="shared" si="15"/>
        <v>2.530573239301348E-2</v>
      </c>
      <c r="O58" s="15">
        <f t="shared" si="15"/>
        <v>2.0242836082768001E-2</v>
      </c>
      <c r="P58" s="15">
        <f t="shared" si="15"/>
        <v>2.3385735999748913E-2</v>
      </c>
      <c r="Q58" s="15"/>
      <c r="R58" s="58">
        <v>118.33219660239592</v>
      </c>
      <c r="S58" s="58">
        <v>118.90906094392432</v>
      </c>
      <c r="T58" s="59">
        <v>120.85580878979424</v>
      </c>
      <c r="U58" s="59">
        <v>123.3750886991867</v>
      </c>
      <c r="V58" s="59">
        <v>126.38724660389254</v>
      </c>
      <c r="W58" s="59">
        <v>129.0576942823956</v>
      </c>
      <c r="X58" s="59">
        <v>132.49859997064178</v>
      </c>
      <c r="Z58" s="15">
        <f t="shared" ref="Z58:AE58" si="19">S58/R58-1</f>
        <v>4.8749567581061193E-3</v>
      </c>
      <c r="AA58" s="15">
        <f t="shared" si="19"/>
        <v>1.6371736774441148E-2</v>
      </c>
      <c r="AB58" s="15">
        <f t="shared" si="19"/>
        <v>2.084533573205638E-2</v>
      </c>
      <c r="AC58" s="15">
        <f t="shared" si="19"/>
        <v>2.4414636183565985E-2</v>
      </c>
      <c r="AD58" s="15">
        <f t="shared" si="19"/>
        <v>2.1129091346316464E-2</v>
      </c>
      <c r="AE58" s="15">
        <f t="shared" si="19"/>
        <v>2.6661763232163516E-2</v>
      </c>
      <c r="AG58" s="58">
        <f t="shared" si="17"/>
        <v>0</v>
      </c>
      <c r="AH58" s="58">
        <f t="shared" si="17"/>
        <v>0</v>
      </c>
      <c r="AI58" s="59">
        <f t="shared" si="17"/>
        <v>-2.9988937096334212E-2</v>
      </c>
      <c r="AJ58" s="59">
        <f t="shared" si="17"/>
        <v>-0.2011841779622614</v>
      </c>
      <c r="AK58" s="59">
        <f t="shared" si="17"/>
        <v>-9.6336217051387507E-2</v>
      </c>
      <c r="AL58" s="59">
        <f t="shared" si="17"/>
        <v>-0.21029769785008057</v>
      </c>
      <c r="AM58" s="59">
        <f t="shared" si="17"/>
        <v>-0.6380121853151195</v>
      </c>
      <c r="AO58" s="15">
        <f t="shared" si="18"/>
        <v>0</v>
      </c>
      <c r="AP58" s="15">
        <f t="shared" si="18"/>
        <v>0</v>
      </c>
      <c r="AQ58" s="15">
        <f t="shared" si="18"/>
        <v>-2.4813815237045844E-4</v>
      </c>
      <c r="AR58" s="15">
        <f t="shared" si="18"/>
        <v>-1.6306709894473581E-3</v>
      </c>
      <c r="AS58" s="15">
        <f t="shared" si="18"/>
        <v>-7.6223052277823999E-4</v>
      </c>
      <c r="AT58" s="15">
        <f t="shared" si="18"/>
        <v>-1.6294859366534631E-3</v>
      </c>
      <c r="AU58" s="15">
        <f t="shared" si="18"/>
        <v>-4.815237183309784E-3</v>
      </c>
    </row>
    <row r="59" spans="2:61" ht="4" customHeight="1" x14ac:dyDescent="0.15">
      <c r="B59" s="41"/>
      <c r="E59" s="11"/>
      <c r="F59" s="11"/>
      <c r="G59" s="11"/>
      <c r="H59" s="11"/>
      <c r="I59" s="11"/>
      <c r="T59" s="11"/>
      <c r="U59" s="11"/>
      <c r="V59" s="11"/>
      <c r="W59" s="11"/>
      <c r="X59" s="11"/>
      <c r="AI59" s="11"/>
      <c r="AJ59" s="11"/>
      <c r="AK59" s="11"/>
      <c r="AL59" s="11"/>
      <c r="AM59" s="11"/>
      <c r="AO59" s="20"/>
      <c r="AP59" s="20"/>
      <c r="AQ59" s="20"/>
      <c r="AR59" s="20"/>
      <c r="AS59" s="20"/>
      <c r="AT59" s="20"/>
      <c r="AU59" s="20"/>
    </row>
    <row r="60" spans="2:61" x14ac:dyDescent="0.15">
      <c r="B60" s="41" t="s">
        <v>29</v>
      </c>
      <c r="C60" s="58">
        <f>tbl_model!R61</f>
        <v>41.082532506350283</v>
      </c>
      <c r="D60" s="58">
        <f>tbl_model!S61</f>
        <v>41.647534961814131</v>
      </c>
      <c r="E60" s="59">
        <f>tbl_model!T61</f>
        <v>42.293708714627115</v>
      </c>
      <c r="F60" s="59">
        <f>tbl_model!U61</f>
        <v>43.051254045663853</v>
      </c>
      <c r="G60" s="59">
        <f>tbl_model!V61</f>
        <v>44.045798311853659</v>
      </c>
      <c r="H60" s="59">
        <f>tbl_model!W61</f>
        <v>44.978184362500187</v>
      </c>
      <c r="I60" s="59">
        <f>tbl_model!X61</f>
        <v>46.025532344036215</v>
      </c>
      <c r="K60" s="15">
        <f t="shared" si="15"/>
        <v>1.3752863345912525E-2</v>
      </c>
      <c r="L60" s="15">
        <f t="shared" si="15"/>
        <v>1.5515294084162523E-2</v>
      </c>
      <c r="M60" s="15">
        <f t="shared" si="15"/>
        <v>1.7911537059760008E-2</v>
      </c>
      <c r="N60" s="15">
        <f t="shared" si="15"/>
        <v>2.3101400603450672E-2</v>
      </c>
      <c r="O60" s="15">
        <f t="shared" si="15"/>
        <v>2.1168558327517184E-2</v>
      </c>
      <c r="P60" s="15">
        <f t="shared" si="15"/>
        <v>2.3285688303799956E-2</v>
      </c>
      <c r="Q60" s="15"/>
      <c r="R60" s="58">
        <v>41.082532506350283</v>
      </c>
      <c r="S60" s="58">
        <v>41.647534961814131</v>
      </c>
      <c r="T60" s="59">
        <v>42.252473267148396</v>
      </c>
      <c r="U60" s="59">
        <v>43.178203643868635</v>
      </c>
      <c r="V60" s="59">
        <v>44.066491943120155</v>
      </c>
      <c r="W60" s="59">
        <v>44.960731468489719</v>
      </c>
      <c r="X60" s="59">
        <v>45.942754113534839</v>
      </c>
      <c r="Z60" s="15">
        <f t="shared" ref="Z60:AE66" si="20">S60/R60-1</f>
        <v>1.3752863345912525E-2</v>
      </c>
      <c r="AA60" s="15">
        <f t="shared" si="20"/>
        <v>1.4525188726989935E-2</v>
      </c>
      <c r="AB60" s="15">
        <f t="shared" si="20"/>
        <v>2.1909495590167083E-2</v>
      </c>
      <c r="AC60" s="15">
        <f t="shared" si="20"/>
        <v>2.0572608962106775E-2</v>
      </c>
      <c r="AD60" s="15">
        <f t="shared" si="20"/>
        <v>2.0292959251755782E-2</v>
      </c>
      <c r="AE60" s="15">
        <f t="shared" si="20"/>
        <v>2.1841785330680485E-2</v>
      </c>
      <c r="AG60" s="58">
        <f t="shared" si="17"/>
        <v>0</v>
      </c>
      <c r="AH60" s="58">
        <f t="shared" si="17"/>
        <v>0</v>
      </c>
      <c r="AI60" s="59">
        <f t="shared" si="17"/>
        <v>4.1235447478719323E-2</v>
      </c>
      <c r="AJ60" s="59">
        <f t="shared" si="17"/>
        <v>-0.12694959820478147</v>
      </c>
      <c r="AK60" s="59">
        <f t="shared" si="17"/>
        <v>-2.0693631266496482E-2</v>
      </c>
      <c r="AL60" s="59">
        <f t="shared" si="17"/>
        <v>1.7452894010467901E-2</v>
      </c>
      <c r="AM60" s="59">
        <f t="shared" si="17"/>
        <v>8.277823050137556E-2</v>
      </c>
      <c r="AO60" s="15">
        <f t="shared" si="18"/>
        <v>0</v>
      </c>
      <c r="AP60" s="15">
        <f t="shared" si="18"/>
        <v>0</v>
      </c>
      <c r="AQ60" s="15">
        <f t="shared" si="18"/>
        <v>9.7592979274851999E-4</v>
      </c>
      <c r="AR60" s="15">
        <f t="shared" si="18"/>
        <v>-2.9401315360836344E-3</v>
      </c>
      <c r="AS60" s="15">
        <f t="shared" si="18"/>
        <v>-4.6960015090846685E-4</v>
      </c>
      <c r="AT60" s="15">
        <f t="shared" si="18"/>
        <v>3.8818082892411176E-4</v>
      </c>
      <c r="AU60" s="15">
        <f t="shared" si="18"/>
        <v>1.801769007944376E-3</v>
      </c>
    </row>
    <row r="61" spans="2:61" x14ac:dyDescent="0.15">
      <c r="B61" s="47" t="s">
        <v>30</v>
      </c>
      <c r="C61" s="61">
        <f>tbl_model!R62</f>
        <v>13.311336462528818</v>
      </c>
      <c r="D61" s="61">
        <f>tbl_model!S62</f>
        <v>13.489193195786324</v>
      </c>
      <c r="E61" s="62">
        <f>tbl_model!T62</f>
        <v>13.773697255428754</v>
      </c>
      <c r="F61" s="62">
        <f>tbl_model!U62</f>
        <v>14.011833196529501</v>
      </c>
      <c r="G61" s="62">
        <f>tbl_model!V62</f>
        <v>14.304316884977665</v>
      </c>
      <c r="H61" s="62">
        <f>tbl_model!W62</f>
        <v>14.602256301181848</v>
      </c>
      <c r="I61" s="62">
        <f>tbl_model!X62</f>
        <v>14.898589955117984</v>
      </c>
      <c r="K61" s="20">
        <f t="shared" si="15"/>
        <v>1.3361298000254873E-2</v>
      </c>
      <c r="L61" s="20">
        <f t="shared" si="15"/>
        <v>2.1091258425396608E-2</v>
      </c>
      <c r="M61" s="20">
        <f t="shared" si="15"/>
        <v>1.7289180725014841E-2</v>
      </c>
      <c r="N61" s="20">
        <f t="shared" si="15"/>
        <v>2.0874048694828007E-2</v>
      </c>
      <c r="O61" s="20">
        <f t="shared" si="15"/>
        <v>2.0828636459884198E-2</v>
      </c>
      <c r="P61" s="20">
        <f t="shared" si="15"/>
        <v>2.0293689401421622E-2</v>
      </c>
      <c r="Q61" s="20"/>
      <c r="R61" s="61">
        <v>13.311336462528818</v>
      </c>
      <c r="S61" s="61">
        <v>13.489193195786324</v>
      </c>
      <c r="T61" s="62">
        <v>13.773165681377723</v>
      </c>
      <c r="U61" s="62">
        <v>14.082705732321989</v>
      </c>
      <c r="V61" s="62">
        <v>14.350185165762602</v>
      </c>
      <c r="W61" s="62">
        <v>14.620032328517466</v>
      </c>
      <c r="X61" s="62">
        <v>14.863184117413329</v>
      </c>
      <c r="Z61" s="20">
        <f t="shared" si="20"/>
        <v>1.3361298000254873E-2</v>
      </c>
      <c r="AA61" s="20">
        <f t="shared" si="20"/>
        <v>2.1051851023981438E-2</v>
      </c>
      <c r="AB61" s="20">
        <f t="shared" si="20"/>
        <v>2.2474139795093384E-2</v>
      </c>
      <c r="AC61" s="20">
        <f t="shared" si="20"/>
        <v>1.8993468906099986E-2</v>
      </c>
      <c r="AD61" s="20">
        <f t="shared" si="20"/>
        <v>1.8804437687583331E-2</v>
      </c>
      <c r="AE61" s="20">
        <f t="shared" si="20"/>
        <v>1.6631412532623235E-2</v>
      </c>
      <c r="AG61" s="61">
        <f t="shared" si="17"/>
        <v>0</v>
      </c>
      <c r="AH61" s="61">
        <f t="shared" si="17"/>
        <v>0</v>
      </c>
      <c r="AI61" s="62">
        <f t="shared" si="17"/>
        <v>5.3157405103121391E-4</v>
      </c>
      <c r="AJ61" s="62">
        <f t="shared" si="17"/>
        <v>-7.0872535792487312E-2</v>
      </c>
      <c r="AK61" s="62">
        <f t="shared" si="17"/>
        <v>-4.5868280784937099E-2</v>
      </c>
      <c r="AL61" s="62">
        <f t="shared" si="17"/>
        <v>-1.7776027335617783E-2</v>
      </c>
      <c r="AM61" s="62">
        <f t="shared" si="17"/>
        <v>3.5405837704654886E-2</v>
      </c>
      <c r="AO61" s="20">
        <f t="shared" si="18"/>
        <v>0</v>
      </c>
      <c r="AP61" s="20">
        <f t="shared" si="18"/>
        <v>0</v>
      </c>
      <c r="AQ61" s="20">
        <f t="shared" si="18"/>
        <v>3.8594907178834958E-5</v>
      </c>
      <c r="AR61" s="20">
        <f t="shared" si="18"/>
        <v>-5.0325936747953604E-3</v>
      </c>
      <c r="AS61" s="20">
        <f t="shared" si="18"/>
        <v>-3.1963546292330669E-3</v>
      </c>
      <c r="AT61" s="20">
        <f t="shared" si="18"/>
        <v>-1.2158678542005807E-3</v>
      </c>
      <c r="AU61" s="20">
        <f t="shared" si="18"/>
        <v>2.3821166060356003E-3</v>
      </c>
    </row>
    <row r="62" spans="2:61" x14ac:dyDescent="0.15">
      <c r="B62" s="47" t="s">
        <v>31</v>
      </c>
      <c r="C62" s="61">
        <f>tbl_model!R63</f>
        <v>3.8579110081331147</v>
      </c>
      <c r="D62" s="61">
        <f>tbl_model!S63</f>
        <v>3.8906221288581668</v>
      </c>
      <c r="E62" s="62">
        <f>tbl_model!T63</f>
        <v>3.9535678865853239</v>
      </c>
      <c r="F62" s="62">
        <f>tbl_model!U63</f>
        <v>4.0106732011797419</v>
      </c>
      <c r="G62" s="62">
        <f>tbl_model!V63</f>
        <v>4.0695800060342791</v>
      </c>
      <c r="H62" s="62">
        <f>tbl_model!W63</f>
        <v>4.1327105077632194</v>
      </c>
      <c r="I62" s="62">
        <f>tbl_model!X63</f>
        <v>4.207520296090193</v>
      </c>
      <c r="K62" s="20">
        <f t="shared" si="15"/>
        <v>8.4789723391989202E-3</v>
      </c>
      <c r="L62" s="20">
        <f t="shared" si="15"/>
        <v>1.6178841234738561E-2</v>
      </c>
      <c r="M62" s="20">
        <f t="shared" si="15"/>
        <v>1.4443994951542249E-2</v>
      </c>
      <c r="N62" s="20">
        <f t="shared" si="15"/>
        <v>1.4687510524968639E-2</v>
      </c>
      <c r="O62" s="20">
        <f t="shared" si="15"/>
        <v>1.5512780590461794E-2</v>
      </c>
      <c r="P62" s="20">
        <f t="shared" si="15"/>
        <v>1.8101869992210862E-2</v>
      </c>
      <c r="Q62" s="20"/>
      <c r="R62" s="61">
        <v>3.8579110081331147</v>
      </c>
      <c r="S62" s="61">
        <v>3.8906221288581668</v>
      </c>
      <c r="T62" s="62">
        <v>3.8951700963495037</v>
      </c>
      <c r="U62" s="62">
        <v>3.9717410612989883</v>
      </c>
      <c r="V62" s="62">
        <v>4.0576558170020443</v>
      </c>
      <c r="W62" s="62">
        <v>4.1416453220068847</v>
      </c>
      <c r="X62" s="62">
        <v>4.2148636556138515</v>
      </c>
      <c r="Z62" s="20">
        <f t="shared" si="20"/>
        <v>8.4789723391989202E-3</v>
      </c>
      <c r="AA62" s="20">
        <f t="shared" si="20"/>
        <v>1.1689563624293076E-3</v>
      </c>
      <c r="AB62" s="20">
        <f t="shared" si="20"/>
        <v>1.9657925855727232E-2</v>
      </c>
      <c r="AC62" s="20">
        <f t="shared" si="20"/>
        <v>2.1631509803148319E-2</v>
      </c>
      <c r="AD62" s="20">
        <f t="shared" si="20"/>
        <v>2.0699021502246451E-2</v>
      </c>
      <c r="AE62" s="20">
        <f t="shared" si="20"/>
        <v>1.7678561999965758E-2</v>
      </c>
      <c r="AG62" s="61">
        <f t="shared" si="17"/>
        <v>0</v>
      </c>
      <c r="AH62" s="61">
        <f t="shared" si="17"/>
        <v>0</v>
      </c>
      <c r="AI62" s="62">
        <f t="shared" si="17"/>
        <v>5.8397790235820146E-2</v>
      </c>
      <c r="AJ62" s="62">
        <f t="shared" si="17"/>
        <v>3.8932139880753613E-2</v>
      </c>
      <c r="AK62" s="62">
        <f t="shared" si="17"/>
        <v>1.19241890322348E-2</v>
      </c>
      <c r="AL62" s="62">
        <f t="shared" si="17"/>
        <v>-8.9348142436653788E-3</v>
      </c>
      <c r="AM62" s="62">
        <f t="shared" si="17"/>
        <v>-7.3433595236584992E-3</v>
      </c>
      <c r="AO62" s="20">
        <f t="shared" si="18"/>
        <v>0</v>
      </c>
      <c r="AP62" s="20">
        <f t="shared" si="18"/>
        <v>0</v>
      </c>
      <c r="AQ62" s="20">
        <f t="shared" si="18"/>
        <v>1.4992359458332771E-2</v>
      </c>
      <c r="AR62" s="20">
        <f t="shared" si="18"/>
        <v>9.8022855165740275E-3</v>
      </c>
      <c r="AS62" s="20">
        <f t="shared" si="18"/>
        <v>2.9386891274196802E-3</v>
      </c>
      <c r="AT62" s="20">
        <f t="shared" si="18"/>
        <v>-2.1573103317634734E-3</v>
      </c>
      <c r="AU62" s="20">
        <f t="shared" si="18"/>
        <v>-1.7422531601651858E-3</v>
      </c>
    </row>
    <row r="63" spans="2:61" x14ac:dyDescent="0.15">
      <c r="B63" s="47" t="s">
        <v>32</v>
      </c>
      <c r="C63" s="61">
        <f>tbl_model!R64</f>
        <v>9.2563825560954331</v>
      </c>
      <c r="D63" s="61">
        <f>tbl_model!S64</f>
        <v>9.4049683580446715</v>
      </c>
      <c r="E63" s="62">
        <f>tbl_model!T64</f>
        <v>9.4690031298342827</v>
      </c>
      <c r="F63" s="62">
        <f>tbl_model!U64</f>
        <v>9.7328521837467612</v>
      </c>
      <c r="G63" s="62">
        <f>tbl_model!V64</f>
        <v>9.9875205119670536</v>
      </c>
      <c r="H63" s="62">
        <f>tbl_model!W64</f>
        <v>10.213371973000378</v>
      </c>
      <c r="I63" s="62">
        <f>tbl_model!X64</f>
        <v>10.432002793116913</v>
      </c>
      <c r="K63" s="20">
        <f t="shared" si="15"/>
        <v>1.6052253787997683E-2</v>
      </c>
      <c r="L63" s="20">
        <f t="shared" si="15"/>
        <v>6.8086110821243828E-3</v>
      </c>
      <c r="M63" s="20">
        <f t="shared" si="15"/>
        <v>2.7864501710973322E-2</v>
      </c>
      <c r="N63" s="20">
        <f t="shared" si="15"/>
        <v>2.616584773018249E-2</v>
      </c>
      <c r="O63" s="20">
        <f t="shared" si="15"/>
        <v>2.2613366426903259E-2</v>
      </c>
      <c r="P63" s="20">
        <f t="shared" si="15"/>
        <v>2.1406330905649806E-2</v>
      </c>
      <c r="Q63" s="20"/>
      <c r="R63" s="61">
        <v>9.2563825560954331</v>
      </c>
      <c r="S63" s="61">
        <v>9.4049683580446715</v>
      </c>
      <c r="T63" s="62">
        <v>9.5476511396724835</v>
      </c>
      <c r="U63" s="62">
        <v>9.7740985424619549</v>
      </c>
      <c r="V63" s="62">
        <v>9.9618591726984445</v>
      </c>
      <c r="W63" s="62">
        <v>10.179259814274467</v>
      </c>
      <c r="X63" s="62">
        <v>10.394756482982563</v>
      </c>
      <c r="Z63" s="20">
        <f t="shared" si="20"/>
        <v>1.6052253787997683E-2</v>
      </c>
      <c r="AA63" s="20">
        <f t="shared" si="20"/>
        <v>1.5171000708978033E-2</v>
      </c>
      <c r="AB63" s="20">
        <f t="shared" si="20"/>
        <v>2.3717603364091788E-2</v>
      </c>
      <c r="AC63" s="20">
        <f t="shared" si="20"/>
        <v>1.9210020179435849E-2</v>
      </c>
      <c r="AD63" s="20">
        <f t="shared" si="20"/>
        <v>2.1823300029359283E-2</v>
      </c>
      <c r="AE63" s="20">
        <f t="shared" si="20"/>
        <v>2.1170170782545794E-2</v>
      </c>
      <c r="AG63" s="61">
        <f t="shared" si="17"/>
        <v>0</v>
      </c>
      <c r="AH63" s="61">
        <f t="shared" si="17"/>
        <v>0</v>
      </c>
      <c r="AI63" s="62">
        <f t="shared" si="17"/>
        <v>-7.864800983820075E-2</v>
      </c>
      <c r="AJ63" s="62">
        <f t="shared" si="17"/>
        <v>-4.1246358715193665E-2</v>
      </c>
      <c r="AK63" s="62">
        <f t="shared" si="17"/>
        <v>2.566133926860914E-2</v>
      </c>
      <c r="AL63" s="62">
        <f t="shared" si="17"/>
        <v>3.4112158725911002E-2</v>
      </c>
      <c r="AM63" s="62">
        <f t="shared" si="17"/>
        <v>3.7246310134349869E-2</v>
      </c>
      <c r="AO63" s="20">
        <f t="shared" si="18"/>
        <v>0</v>
      </c>
      <c r="AP63" s="20">
        <f t="shared" si="18"/>
        <v>0</v>
      </c>
      <c r="AQ63" s="20">
        <f t="shared" si="18"/>
        <v>-8.2374197263452853E-3</v>
      </c>
      <c r="AR63" s="20">
        <f t="shared" si="18"/>
        <v>-4.2199655074077747E-3</v>
      </c>
      <c r="AS63" s="20">
        <f t="shared" si="18"/>
        <v>2.5759588470128936E-3</v>
      </c>
      <c r="AT63" s="20">
        <f t="shared" si="18"/>
        <v>3.3511433393296208E-3</v>
      </c>
      <c r="AU63" s="20">
        <f t="shared" si="18"/>
        <v>3.5831825589494049E-3</v>
      </c>
    </row>
    <row r="64" spans="2:61" x14ac:dyDescent="0.15">
      <c r="B64" s="47" t="s">
        <v>33</v>
      </c>
      <c r="C64" s="61">
        <f>tbl_model!R65</f>
        <v>5.0483557899269229</v>
      </c>
      <c r="D64" s="61">
        <f>tbl_model!S65</f>
        <v>5.0783050549783404</v>
      </c>
      <c r="E64" s="62">
        <f>tbl_model!T65</f>
        <v>5.1294259031569878</v>
      </c>
      <c r="F64" s="62">
        <f>tbl_model!U65</f>
        <v>5.1946338580660107</v>
      </c>
      <c r="G64" s="62">
        <f>tbl_model!V65</f>
        <v>5.3257180826224992</v>
      </c>
      <c r="H64" s="62">
        <f>tbl_model!W65</f>
        <v>5.442035448717057</v>
      </c>
      <c r="I64" s="62">
        <f>tbl_model!X65</f>
        <v>5.5971325442620925</v>
      </c>
      <c r="K64" s="20">
        <f t="shared" si="15"/>
        <v>5.9324790679722295E-3</v>
      </c>
      <c r="L64" s="20">
        <f t="shared" si="15"/>
        <v>1.0066517789933283E-2</v>
      </c>
      <c r="M64" s="20">
        <f t="shared" si="15"/>
        <v>1.2712524976506545E-2</v>
      </c>
      <c r="N64" s="20">
        <f t="shared" si="15"/>
        <v>2.5234545521037433E-2</v>
      </c>
      <c r="O64" s="20">
        <f t="shared" si="15"/>
        <v>2.1840691581872296E-2</v>
      </c>
      <c r="P64" s="20">
        <f t="shared" si="15"/>
        <v>2.8499831911532159E-2</v>
      </c>
      <c r="Q64" s="20"/>
      <c r="R64" s="61">
        <v>5.0483557899269229</v>
      </c>
      <c r="S64" s="61">
        <v>5.0783050549783404</v>
      </c>
      <c r="T64" s="62">
        <v>5.1349163336116668</v>
      </c>
      <c r="U64" s="62">
        <v>5.2496506422334459</v>
      </c>
      <c r="V64" s="62">
        <v>5.3729910440891784</v>
      </c>
      <c r="W64" s="62">
        <v>5.4857295307660259</v>
      </c>
      <c r="X64" s="62">
        <v>5.6407768523509576</v>
      </c>
      <c r="Z64" s="20">
        <f t="shared" si="20"/>
        <v>5.9324790679722295E-3</v>
      </c>
      <c r="AA64" s="20">
        <f t="shared" si="20"/>
        <v>1.1147671914240265E-2</v>
      </c>
      <c r="AB64" s="20">
        <f t="shared" si="20"/>
        <v>2.2343948989151263E-2</v>
      </c>
      <c r="AC64" s="20">
        <f t="shared" si="20"/>
        <v>2.3494973334693636E-2</v>
      </c>
      <c r="AD64" s="20">
        <f t="shared" si="20"/>
        <v>2.0982444554950686E-2</v>
      </c>
      <c r="AE64" s="20">
        <f t="shared" si="20"/>
        <v>2.8263756117644645E-2</v>
      </c>
      <c r="AG64" s="61">
        <f t="shared" si="17"/>
        <v>0</v>
      </c>
      <c r="AH64" s="61">
        <f t="shared" si="17"/>
        <v>0</v>
      </c>
      <c r="AI64" s="62">
        <f t="shared" si="17"/>
        <v>-5.4904304546790073E-3</v>
      </c>
      <c r="AJ64" s="62">
        <f t="shared" si="17"/>
        <v>-5.5016784167435162E-2</v>
      </c>
      <c r="AK64" s="62">
        <f t="shared" si="17"/>
        <v>-4.7272961466679142E-2</v>
      </c>
      <c r="AL64" s="62">
        <f t="shared" si="17"/>
        <v>-4.3694082048968852E-2</v>
      </c>
      <c r="AM64" s="62">
        <f t="shared" si="17"/>
        <v>-4.3644308088865102E-2</v>
      </c>
      <c r="AO64" s="20">
        <f t="shared" si="18"/>
        <v>0</v>
      </c>
      <c r="AP64" s="20">
        <f t="shared" si="18"/>
        <v>0</v>
      </c>
      <c r="AQ64" s="20">
        <f t="shared" si="18"/>
        <v>-1.0692346472600534E-3</v>
      </c>
      <c r="AR64" s="20">
        <f t="shared" si="18"/>
        <v>-1.0480084850756577E-2</v>
      </c>
      <c r="AS64" s="20">
        <f t="shared" si="18"/>
        <v>-8.798258005414672E-3</v>
      </c>
      <c r="AT64" s="20">
        <f t="shared" si="18"/>
        <v>-7.9650449049513128E-3</v>
      </c>
      <c r="AU64" s="20">
        <f t="shared" si="18"/>
        <v>-7.737286765860163E-3</v>
      </c>
    </row>
    <row r="65" spans="2:47" x14ac:dyDescent="0.15">
      <c r="B65" s="47" t="s">
        <v>34</v>
      </c>
      <c r="C65" s="61">
        <f>tbl_model!R66</f>
        <v>3.5141315693666773</v>
      </c>
      <c r="D65" s="61">
        <f>tbl_model!S66</f>
        <v>3.5785652246994282</v>
      </c>
      <c r="E65" s="62">
        <f>tbl_model!T66</f>
        <v>3.6602643368731034</v>
      </c>
      <c r="F65" s="62">
        <f>tbl_model!U66</f>
        <v>3.693664265455936</v>
      </c>
      <c r="G65" s="62">
        <f>tbl_model!V66</f>
        <v>3.7748291149998754</v>
      </c>
      <c r="H65" s="62">
        <f>tbl_model!W66</f>
        <v>3.8507253668027919</v>
      </c>
      <c r="I65" s="62">
        <f>tbl_model!X66</f>
        <v>3.9543048767403786</v>
      </c>
      <c r="K65" s="20">
        <f t="shared" si="15"/>
        <v>1.8335584215010803E-2</v>
      </c>
      <c r="L65" s="20">
        <f t="shared" si="15"/>
        <v>2.2830130804877946E-2</v>
      </c>
      <c r="M65" s="20">
        <f t="shared" si="15"/>
        <v>9.1250045102932997E-3</v>
      </c>
      <c r="N65" s="20">
        <f t="shared" si="15"/>
        <v>2.19740733620577E-2</v>
      </c>
      <c r="O65" s="20">
        <f t="shared" si="15"/>
        <v>2.0105877508820313E-2</v>
      </c>
      <c r="P65" s="20">
        <f t="shared" si="15"/>
        <v>2.6898700912443285E-2</v>
      </c>
      <c r="Q65" s="20"/>
      <c r="R65" s="61">
        <v>3.5141315693666773</v>
      </c>
      <c r="S65" s="61">
        <v>3.5785652246994282</v>
      </c>
      <c r="T65" s="62">
        <v>3.6349623249902079</v>
      </c>
      <c r="U65" s="62">
        <v>3.6986815052667423</v>
      </c>
      <c r="V65" s="62">
        <v>3.7717739861469726</v>
      </c>
      <c r="W65" s="62">
        <v>3.8430446072316946</v>
      </c>
      <c r="X65" s="62">
        <v>3.9445896345098319</v>
      </c>
      <c r="Z65" s="20">
        <f t="shared" si="20"/>
        <v>1.8335584215010803E-2</v>
      </c>
      <c r="AA65" s="20">
        <f t="shared" si="20"/>
        <v>1.5759696065206219E-2</v>
      </c>
      <c r="AB65" s="20">
        <f t="shared" si="20"/>
        <v>1.7529529766640906E-2</v>
      </c>
      <c r="AC65" s="20">
        <f t="shared" si="20"/>
        <v>1.976176666635121E-2</v>
      </c>
      <c r="AD65" s="20">
        <f t="shared" si="20"/>
        <v>1.8895782553908447E-2</v>
      </c>
      <c r="AE65" s="20">
        <f t="shared" si="20"/>
        <v>2.6423067556138546E-2</v>
      </c>
      <c r="AG65" s="61">
        <f t="shared" si="17"/>
        <v>0</v>
      </c>
      <c r="AH65" s="61">
        <f t="shared" si="17"/>
        <v>0</v>
      </c>
      <c r="AI65" s="62">
        <f t="shared" si="17"/>
        <v>2.5302011882895492E-2</v>
      </c>
      <c r="AJ65" s="62">
        <f t="shared" si="17"/>
        <v>-5.0172398108063732E-3</v>
      </c>
      <c r="AK65" s="62">
        <f t="shared" si="17"/>
        <v>3.055128852902822E-3</v>
      </c>
      <c r="AL65" s="62">
        <f t="shared" si="17"/>
        <v>7.680759571097262E-3</v>
      </c>
      <c r="AM65" s="62">
        <f t="shared" si="17"/>
        <v>9.7152422305466501E-3</v>
      </c>
      <c r="AO65" s="20">
        <f t="shared" si="18"/>
        <v>0</v>
      </c>
      <c r="AP65" s="20">
        <f t="shared" si="18"/>
        <v>0</v>
      </c>
      <c r="AQ65" s="20">
        <f t="shared" si="18"/>
        <v>6.9607356612599869E-3</v>
      </c>
      <c r="AR65" s="20">
        <f t="shared" si="18"/>
        <v>-1.3564941462685942E-3</v>
      </c>
      <c r="AS65" s="20">
        <f t="shared" si="18"/>
        <v>8.0999785886537445E-4</v>
      </c>
      <c r="AT65" s="20">
        <f t="shared" si="18"/>
        <v>1.9986131716098754E-3</v>
      </c>
      <c r="AU65" s="20">
        <f t="shared" si="18"/>
        <v>2.4629284997230716E-3</v>
      </c>
    </row>
    <row r="66" spans="2:47" x14ac:dyDescent="0.15">
      <c r="B66" s="47" t="s">
        <v>35</v>
      </c>
      <c r="C66" s="61">
        <f>tbl_model!R67</f>
        <v>6.0944151202993186</v>
      </c>
      <c r="D66" s="61">
        <f>tbl_model!S67</f>
        <v>6.2058809994472028</v>
      </c>
      <c r="E66" s="62">
        <f>tbl_model!T67</f>
        <v>6.3077502027486672</v>
      </c>
      <c r="F66" s="62">
        <f>tbl_model!U67</f>
        <v>6.4075973406859017</v>
      </c>
      <c r="G66" s="62">
        <f>tbl_model!V67</f>
        <v>6.5838337112522787</v>
      </c>
      <c r="H66" s="62">
        <f>tbl_model!W67</f>
        <v>6.7370847650348953</v>
      </c>
      <c r="I66" s="62">
        <f>tbl_model!X67</f>
        <v>6.9359818787086471</v>
      </c>
      <c r="K66" s="20">
        <f t="shared" si="15"/>
        <v>1.8289840279605007E-2</v>
      </c>
      <c r="L66" s="20">
        <f t="shared" si="15"/>
        <v>1.6414946292160337E-2</v>
      </c>
      <c r="M66" s="20">
        <f t="shared" si="15"/>
        <v>1.5829279018329645E-2</v>
      </c>
      <c r="N66" s="20">
        <f t="shared" si="15"/>
        <v>2.7504282993461526E-2</v>
      </c>
      <c r="O66" s="20">
        <f t="shared" si="15"/>
        <v>2.3276871880998362E-2</v>
      </c>
      <c r="P66" s="20">
        <f t="shared" si="15"/>
        <v>2.9522726907937447E-2</v>
      </c>
      <c r="Q66" s="20"/>
      <c r="R66" s="61">
        <v>6.0944151202993186</v>
      </c>
      <c r="S66" s="61">
        <v>6.2058809994472028</v>
      </c>
      <c r="T66" s="62">
        <v>6.2666076911468185</v>
      </c>
      <c r="U66" s="62">
        <v>6.4013261602855129</v>
      </c>
      <c r="V66" s="62">
        <v>6.5520267574209079</v>
      </c>
      <c r="W66" s="62">
        <v>6.6910198656931783</v>
      </c>
      <c r="X66" s="62">
        <v>6.8845833706643029</v>
      </c>
      <c r="Z66" s="20">
        <f t="shared" si="20"/>
        <v>1.8289840279605007E-2</v>
      </c>
      <c r="AA66" s="20">
        <f t="shared" si="20"/>
        <v>9.7853458203638333E-3</v>
      </c>
      <c r="AB66" s="20">
        <f t="shared" si="20"/>
        <v>2.1497830369853643E-2</v>
      </c>
      <c r="AC66" s="20">
        <f t="shared" si="20"/>
        <v>2.3542090086013268E-2</v>
      </c>
      <c r="AD66" s="20">
        <f t="shared" si="20"/>
        <v>2.1213757729979577E-2</v>
      </c>
      <c r="AE66" s="20">
        <f t="shared" si="20"/>
        <v>2.8928849242188193E-2</v>
      </c>
      <c r="AG66" s="61">
        <f t="shared" si="17"/>
        <v>0</v>
      </c>
      <c r="AH66" s="61">
        <f t="shared" si="17"/>
        <v>0</v>
      </c>
      <c r="AI66" s="62">
        <f t="shared" si="17"/>
        <v>4.1142511601848675E-2</v>
      </c>
      <c r="AJ66" s="62">
        <f t="shared" si="17"/>
        <v>6.271180400388765E-3</v>
      </c>
      <c r="AK66" s="62">
        <f t="shared" si="17"/>
        <v>3.1806953831370777E-2</v>
      </c>
      <c r="AL66" s="62">
        <f t="shared" si="17"/>
        <v>4.6064899341716981E-2</v>
      </c>
      <c r="AM66" s="62">
        <f t="shared" si="17"/>
        <v>5.1398508044344204E-2</v>
      </c>
      <c r="AO66" s="20">
        <f t="shared" si="18"/>
        <v>0</v>
      </c>
      <c r="AP66" s="20">
        <f t="shared" si="18"/>
        <v>0</v>
      </c>
      <c r="AQ66" s="20">
        <f t="shared" si="18"/>
        <v>6.565356191033489E-3</v>
      </c>
      <c r="AR66" s="20">
        <f t="shared" si="18"/>
        <v>9.7966893786716192E-4</v>
      </c>
      <c r="AS66" s="20">
        <f t="shared" si="18"/>
        <v>4.8545213578905511E-3</v>
      </c>
      <c r="AT66" s="20">
        <f t="shared" si="18"/>
        <v>6.8845856485804102E-3</v>
      </c>
      <c r="AU66" s="20">
        <f t="shared" si="18"/>
        <v>7.4657397952877513E-3</v>
      </c>
    </row>
    <row r="67" spans="2:47" ht="4" customHeight="1" x14ac:dyDescent="0.15">
      <c r="B67" s="47"/>
      <c r="E67" s="11"/>
      <c r="F67" s="11"/>
      <c r="G67" s="11"/>
      <c r="H67" s="11"/>
      <c r="I67" s="11"/>
      <c r="T67" s="11"/>
      <c r="U67" s="11"/>
      <c r="V67" s="11"/>
      <c r="W67" s="11"/>
      <c r="X67" s="11"/>
      <c r="AI67" s="11"/>
      <c r="AJ67" s="11"/>
      <c r="AK67" s="11"/>
      <c r="AL67" s="11"/>
      <c r="AM67" s="11"/>
      <c r="AO67" s="20"/>
      <c r="AP67" s="20"/>
      <c r="AQ67" s="20"/>
      <c r="AR67" s="20"/>
      <c r="AS67" s="20"/>
      <c r="AT67" s="20"/>
      <c r="AU67" s="20"/>
    </row>
    <row r="68" spans="2:47" x14ac:dyDescent="0.15">
      <c r="B68" s="41" t="s">
        <v>36</v>
      </c>
      <c r="C68" s="58">
        <f>tbl_model!R69</f>
        <v>4.8044141072517359</v>
      </c>
      <c r="D68" s="58">
        <f>tbl_model!S69</f>
        <v>4.8939135711593096</v>
      </c>
      <c r="E68" s="59">
        <f>tbl_model!T69</f>
        <v>5.0018562021151283</v>
      </c>
      <c r="F68" s="59">
        <f>tbl_model!U69</f>
        <v>5.1001126970863293</v>
      </c>
      <c r="G68" s="59">
        <f>tbl_model!V69</f>
        <v>5.2210290004997519</v>
      </c>
      <c r="H68" s="59">
        <f>tbl_model!W69</f>
        <v>5.3422816867421874</v>
      </c>
      <c r="I68" s="59">
        <f>tbl_model!X69</f>
        <v>5.4858102398064812</v>
      </c>
      <c r="K68" s="15">
        <f t="shared" si="15"/>
        <v>1.8628590689650171E-2</v>
      </c>
      <c r="L68" s="15">
        <f t="shared" si="15"/>
        <v>2.2056505368616142E-2</v>
      </c>
      <c r="M68" s="15">
        <f t="shared" si="15"/>
        <v>1.9644006345014731E-2</v>
      </c>
      <c r="N68" s="15">
        <f t="shared" si="15"/>
        <v>2.3708555201633397E-2</v>
      </c>
      <c r="O68" s="15">
        <f t="shared" si="15"/>
        <v>2.322390590644674E-2</v>
      </c>
      <c r="P68" s="15">
        <f t="shared" si="15"/>
        <v>2.6866526604256924E-2</v>
      </c>
      <c r="Q68" s="15"/>
      <c r="R68" s="58">
        <v>4.8044141072517359</v>
      </c>
      <c r="S68" s="58">
        <v>4.8939135711593096</v>
      </c>
      <c r="T68" s="59">
        <v>4.9682744841846675</v>
      </c>
      <c r="U68" s="59">
        <v>5.0832969200063562</v>
      </c>
      <c r="V68" s="59">
        <v>5.1899193788730962</v>
      </c>
      <c r="W68" s="59">
        <v>5.3036839885862843</v>
      </c>
      <c r="X68" s="59">
        <v>5.442985566974845</v>
      </c>
      <c r="Z68" s="15">
        <f t="shared" ref="Z68:AE72" si="21">S68/R68-1</f>
        <v>1.8628590689650171E-2</v>
      </c>
      <c r="AA68" s="15">
        <f t="shared" si="21"/>
        <v>1.5194570141896291E-2</v>
      </c>
      <c r="AB68" s="15">
        <f t="shared" si="21"/>
        <v>2.31513850911087E-2</v>
      </c>
      <c r="AC68" s="15">
        <f t="shared" si="21"/>
        <v>2.0975060191173345E-2</v>
      </c>
      <c r="AD68" s="15">
        <f t="shared" si="21"/>
        <v>2.1920303844467526E-2</v>
      </c>
      <c r="AE68" s="15">
        <f t="shared" si="21"/>
        <v>2.6265060039086574E-2</v>
      </c>
      <c r="AG68" s="58">
        <f t="shared" si="17"/>
        <v>0</v>
      </c>
      <c r="AH68" s="58">
        <f t="shared" si="17"/>
        <v>0</v>
      </c>
      <c r="AI68" s="59">
        <f t="shared" si="17"/>
        <v>3.3581717930460719E-2</v>
      </c>
      <c r="AJ68" s="59">
        <f t="shared" si="17"/>
        <v>1.681577707997306E-2</v>
      </c>
      <c r="AK68" s="59">
        <f t="shared" si="17"/>
        <v>3.1109621626655759E-2</v>
      </c>
      <c r="AL68" s="59">
        <f t="shared" si="17"/>
        <v>3.8597698155903082E-2</v>
      </c>
      <c r="AM68" s="59">
        <f t="shared" si="17"/>
        <v>4.2824672831636157E-2</v>
      </c>
      <c r="AO68" s="15">
        <f t="shared" si="18"/>
        <v>0</v>
      </c>
      <c r="AP68" s="15">
        <f t="shared" si="18"/>
        <v>0</v>
      </c>
      <c r="AQ68" s="15">
        <f t="shared" si="18"/>
        <v>6.7592316079476689E-3</v>
      </c>
      <c r="AR68" s="15">
        <f t="shared" si="18"/>
        <v>3.3080454170975049E-3</v>
      </c>
      <c r="AS68" s="15">
        <f t="shared" si="18"/>
        <v>5.9942398630112859E-3</v>
      </c>
      <c r="AT68" s="15">
        <f t="shared" si="18"/>
        <v>7.2775260062565295E-3</v>
      </c>
      <c r="AU68" s="15">
        <f t="shared" si="18"/>
        <v>7.8678644844243362E-3</v>
      </c>
    </row>
    <row r="69" spans="2:47" x14ac:dyDescent="0.15">
      <c r="B69" s="47" t="s">
        <v>37</v>
      </c>
      <c r="C69" s="61">
        <f>tbl_model!R70</f>
        <v>1.9248964412082248</v>
      </c>
      <c r="D69" s="61">
        <f>tbl_model!S70</f>
        <v>1.9503012336609866</v>
      </c>
      <c r="E69" s="62">
        <f>tbl_model!T70</f>
        <v>1.993648905956046</v>
      </c>
      <c r="F69" s="62">
        <f>tbl_model!U70</f>
        <v>2.03233599407905</v>
      </c>
      <c r="G69" s="62">
        <f>tbl_model!V70</f>
        <v>2.079316432308401</v>
      </c>
      <c r="H69" s="62">
        <f>tbl_model!W70</f>
        <v>2.1283311250161838</v>
      </c>
      <c r="I69" s="62">
        <f>tbl_model!X70</f>
        <v>2.182601655195429</v>
      </c>
      <c r="K69" s="20">
        <f t="shared" si="15"/>
        <v>1.3198004790748952E-2</v>
      </c>
      <c r="L69" s="20">
        <f t="shared" si="15"/>
        <v>2.2226142068161314E-2</v>
      </c>
      <c r="M69" s="20">
        <f t="shared" si="15"/>
        <v>1.9405166078854563E-2</v>
      </c>
      <c r="N69" s="20">
        <f t="shared" si="15"/>
        <v>2.3116472062799875E-2</v>
      </c>
      <c r="O69" s="20">
        <f t="shared" si="15"/>
        <v>2.3572502937115658E-2</v>
      </c>
      <c r="P69" s="20">
        <f t="shared" si="15"/>
        <v>2.5499100934697205E-2</v>
      </c>
      <c r="Q69" s="20"/>
      <c r="R69" s="61">
        <v>1.9248964412082248</v>
      </c>
      <c r="S69" s="61">
        <v>1.9503012336609866</v>
      </c>
      <c r="T69" s="62">
        <v>1.9709422037928335</v>
      </c>
      <c r="U69" s="62">
        <v>2.0097157745837744</v>
      </c>
      <c r="V69" s="62">
        <v>2.0513334214582528</v>
      </c>
      <c r="W69" s="62">
        <v>2.0963287956264578</v>
      </c>
      <c r="X69" s="62">
        <v>2.147701428986132</v>
      </c>
      <c r="Z69" s="20">
        <f t="shared" si="21"/>
        <v>1.3198004790748952E-2</v>
      </c>
      <c r="AA69" s="20">
        <f t="shared" si="21"/>
        <v>1.0583477965145249E-2</v>
      </c>
      <c r="AB69" s="20">
        <f t="shared" si="21"/>
        <v>1.9672606693552863E-2</v>
      </c>
      <c r="AC69" s="20">
        <f t="shared" si="21"/>
        <v>2.0708225213138753E-2</v>
      </c>
      <c r="AD69" s="20">
        <f t="shared" si="21"/>
        <v>2.1934695597275677E-2</v>
      </c>
      <c r="AE69" s="20">
        <f t="shared" si="21"/>
        <v>2.4505999949460344E-2</v>
      </c>
      <c r="AG69" s="61">
        <f t="shared" si="17"/>
        <v>0</v>
      </c>
      <c r="AH69" s="61">
        <f t="shared" si="17"/>
        <v>0</v>
      </c>
      <c r="AI69" s="62">
        <f t="shared" si="17"/>
        <v>2.2706702163212578E-2</v>
      </c>
      <c r="AJ69" s="62">
        <f t="shared" si="17"/>
        <v>2.2620219495275595E-2</v>
      </c>
      <c r="AK69" s="62">
        <f t="shared" si="17"/>
        <v>2.7983010850148204E-2</v>
      </c>
      <c r="AL69" s="62">
        <f t="shared" si="17"/>
        <v>3.2002329389726025E-2</v>
      </c>
      <c r="AM69" s="62">
        <f t="shared" si="17"/>
        <v>3.4900226209297003E-2</v>
      </c>
      <c r="AO69" s="20">
        <f t="shared" si="18"/>
        <v>0</v>
      </c>
      <c r="AP69" s="20">
        <f t="shared" si="18"/>
        <v>0</v>
      </c>
      <c r="AQ69" s="20">
        <f t="shared" si="18"/>
        <v>1.1520734661582877E-2</v>
      </c>
      <c r="AR69" s="20">
        <f t="shared" si="18"/>
        <v>1.1255432126943576E-2</v>
      </c>
      <c r="AS69" s="20">
        <f t="shared" si="18"/>
        <v>1.3641376168997299E-2</v>
      </c>
      <c r="AT69" s="20">
        <f t="shared" si="18"/>
        <v>1.5265892190429398E-2</v>
      </c>
      <c r="AU69" s="20">
        <f t="shared" si="18"/>
        <v>1.6250036312436711E-2</v>
      </c>
    </row>
    <row r="70" spans="2:47" x14ac:dyDescent="0.15">
      <c r="B70" s="47" t="s">
        <v>38</v>
      </c>
      <c r="C70" s="61">
        <f>tbl_model!R71</f>
        <v>1.4510715131150569</v>
      </c>
      <c r="D70" s="61">
        <f>tbl_model!S71</f>
        <v>1.4872499518300604</v>
      </c>
      <c r="E70" s="62">
        <f>tbl_model!T71</f>
        <v>1.5055623642445135</v>
      </c>
      <c r="F70" s="62">
        <f>tbl_model!U71</f>
        <v>1.5370594086235529</v>
      </c>
      <c r="G70" s="62">
        <f>tbl_model!V71</f>
        <v>1.5749347503557705</v>
      </c>
      <c r="H70" s="62">
        <f>tbl_model!W71</f>
        <v>1.6103994982765195</v>
      </c>
      <c r="I70" s="62">
        <f>tbl_model!X71</f>
        <v>1.6560939794556355</v>
      </c>
      <c r="K70" s="20">
        <f t="shared" si="15"/>
        <v>2.4932223111001628E-2</v>
      </c>
      <c r="L70" s="20">
        <f t="shared" si="15"/>
        <v>1.2312935288328442E-2</v>
      </c>
      <c r="M70" s="20">
        <f t="shared" si="15"/>
        <v>2.0920451471862167E-2</v>
      </c>
      <c r="N70" s="20">
        <f t="shared" si="15"/>
        <v>2.4641429940652104E-2</v>
      </c>
      <c r="O70" s="20">
        <f t="shared" si="15"/>
        <v>2.2518233160286671E-2</v>
      </c>
      <c r="P70" s="20">
        <f t="shared" si="15"/>
        <v>2.8374624574845742E-2</v>
      </c>
      <c r="Q70" s="20"/>
      <c r="R70" s="61">
        <v>1.4510715131150569</v>
      </c>
      <c r="S70" s="61">
        <v>1.4872499518300604</v>
      </c>
      <c r="T70" s="62">
        <v>1.515127323994431</v>
      </c>
      <c r="U70" s="62">
        <v>1.5515772186525598</v>
      </c>
      <c r="V70" s="62">
        <v>1.5866772630045336</v>
      </c>
      <c r="W70" s="62">
        <v>1.6210773676860479</v>
      </c>
      <c r="X70" s="62">
        <v>1.6666250736375343</v>
      </c>
      <c r="Z70" s="20">
        <f t="shared" si="21"/>
        <v>2.4932223111001628E-2</v>
      </c>
      <c r="AA70" s="20">
        <f t="shared" si="21"/>
        <v>1.8744241430344255E-2</v>
      </c>
      <c r="AB70" s="20">
        <f t="shared" si="21"/>
        <v>2.4057314577387245E-2</v>
      </c>
      <c r="AC70" s="20">
        <f t="shared" si="21"/>
        <v>2.2622170479182246E-2</v>
      </c>
      <c r="AD70" s="20">
        <f t="shared" si="21"/>
        <v>2.1680593453752728E-2</v>
      </c>
      <c r="AE70" s="20">
        <f t="shared" si="21"/>
        <v>2.8097182071267879E-2</v>
      </c>
      <c r="AG70" s="61">
        <f t="shared" si="17"/>
        <v>0</v>
      </c>
      <c r="AH70" s="61">
        <f t="shared" si="17"/>
        <v>0</v>
      </c>
      <c r="AI70" s="62">
        <f t="shared" si="17"/>
        <v>-9.5649597499174455E-3</v>
      </c>
      <c r="AJ70" s="62">
        <f t="shared" si="17"/>
        <v>-1.4517810029006872E-2</v>
      </c>
      <c r="AK70" s="62">
        <f t="shared" si="17"/>
        <v>-1.1742512648763137E-2</v>
      </c>
      <c r="AL70" s="62">
        <f t="shared" si="17"/>
        <v>-1.0677869409528418E-2</v>
      </c>
      <c r="AM70" s="62">
        <f t="shared" si="17"/>
        <v>-1.0531094181898792E-2</v>
      </c>
      <c r="AO70" s="20">
        <f t="shared" si="18"/>
        <v>0</v>
      </c>
      <c r="AP70" s="20">
        <f t="shared" si="18"/>
        <v>0</v>
      </c>
      <c r="AQ70" s="20">
        <f t="shared" si="18"/>
        <v>-6.3129742289252944E-3</v>
      </c>
      <c r="AR70" s="20">
        <f t="shared" si="18"/>
        <v>-9.3568079335519805E-3</v>
      </c>
      <c r="AS70" s="20">
        <f t="shared" si="18"/>
        <v>-7.4006938414983292E-3</v>
      </c>
      <c r="AT70" s="20">
        <f t="shared" si="18"/>
        <v>-6.5868968516722415E-3</v>
      </c>
      <c r="AU70" s="20">
        <f t="shared" si="18"/>
        <v>-6.3188142003131054E-3</v>
      </c>
    </row>
    <row r="71" spans="2:47" x14ac:dyDescent="0.15">
      <c r="B71" s="47" t="s">
        <v>39</v>
      </c>
      <c r="C71" s="61">
        <f>tbl_model!R72</f>
        <v>1.0499469198277489</v>
      </c>
      <c r="D71" s="61">
        <f>tbl_model!S72</f>
        <v>1.0727820446033776</v>
      </c>
      <c r="E71" s="62">
        <f>tbl_model!T72</f>
        <v>1.1104169460879518</v>
      </c>
      <c r="F71" s="62">
        <f>tbl_model!U72</f>
        <v>1.1337463360121955</v>
      </c>
      <c r="G71" s="62">
        <f>tbl_model!V72</f>
        <v>1.1595342659308088</v>
      </c>
      <c r="H71" s="62">
        <f>tbl_model!W72</f>
        <v>1.1880277684220784</v>
      </c>
      <c r="I71" s="62">
        <f>tbl_model!X72</f>
        <v>1.2206616216707817</v>
      </c>
      <c r="K71" s="20">
        <f t="shared" si="15"/>
        <v>2.1748837340629379E-2</v>
      </c>
      <c r="L71" s="20">
        <f t="shared" si="15"/>
        <v>3.5081591525414124E-2</v>
      </c>
      <c r="M71" s="20">
        <f t="shared" si="15"/>
        <v>2.1009576633744809E-2</v>
      </c>
      <c r="N71" s="20">
        <f t="shared" si="15"/>
        <v>2.274576693170971E-2</v>
      </c>
      <c r="O71" s="20">
        <f t="shared" si="15"/>
        <v>2.4573230242917132E-2</v>
      </c>
      <c r="P71" s="20">
        <f t="shared" si="15"/>
        <v>2.7468931380322248E-2</v>
      </c>
      <c r="Q71" s="20"/>
      <c r="R71" s="61">
        <v>1.0499469198277489</v>
      </c>
      <c r="S71" s="61">
        <v>1.0727820446033776</v>
      </c>
      <c r="T71" s="62">
        <v>1.0939263543588436</v>
      </c>
      <c r="U71" s="62">
        <v>1.1226557700969035</v>
      </c>
      <c r="V71" s="62">
        <v>1.1435869809322761</v>
      </c>
      <c r="W71" s="62">
        <v>1.1699907880200195</v>
      </c>
      <c r="X71" s="62">
        <v>1.2016218182298151</v>
      </c>
      <c r="Z71" s="20">
        <f t="shared" si="21"/>
        <v>2.1748837340629379E-2</v>
      </c>
      <c r="AA71" s="20">
        <f t="shared" si="21"/>
        <v>1.9709790876750954E-2</v>
      </c>
      <c r="AB71" s="20">
        <f t="shared" si="21"/>
        <v>2.6262659843219849E-2</v>
      </c>
      <c r="AC71" s="20">
        <f t="shared" si="21"/>
        <v>1.864437113574513E-2</v>
      </c>
      <c r="AD71" s="20">
        <f t="shared" si="21"/>
        <v>2.3088586638349673E-2</v>
      </c>
      <c r="AE71" s="20">
        <f t="shared" si="21"/>
        <v>2.7035281417322032E-2</v>
      </c>
      <c r="AG71" s="61">
        <f t="shared" si="17"/>
        <v>0</v>
      </c>
      <c r="AH71" s="61">
        <f t="shared" si="17"/>
        <v>0</v>
      </c>
      <c r="AI71" s="62">
        <f t="shared" si="17"/>
        <v>1.6490591729108273E-2</v>
      </c>
      <c r="AJ71" s="62">
        <f t="shared" si="17"/>
        <v>1.1090565915292006E-2</v>
      </c>
      <c r="AK71" s="62">
        <f t="shared" si="17"/>
        <v>1.5947284998532707E-2</v>
      </c>
      <c r="AL71" s="62">
        <f t="shared" si="17"/>
        <v>1.8036980402058811E-2</v>
      </c>
      <c r="AM71" s="62">
        <f t="shared" si="17"/>
        <v>1.9039803440966674E-2</v>
      </c>
      <c r="AO71" s="20">
        <f t="shared" si="18"/>
        <v>0</v>
      </c>
      <c r="AP71" s="20">
        <f t="shared" si="18"/>
        <v>0</v>
      </c>
      <c r="AQ71" s="20">
        <f t="shared" si="18"/>
        <v>1.5074681822409897E-2</v>
      </c>
      <c r="AR71" s="20">
        <f t="shared" si="18"/>
        <v>9.8788659985551419E-3</v>
      </c>
      <c r="AS71" s="20">
        <f t="shared" si="18"/>
        <v>1.3944969000549534E-2</v>
      </c>
      <c r="AT71" s="20">
        <f t="shared" si="18"/>
        <v>1.5416343946248467E-2</v>
      </c>
      <c r="AU71" s="20">
        <f t="shared" si="18"/>
        <v>1.5845087990342455E-2</v>
      </c>
    </row>
    <row r="72" spans="2:47" x14ac:dyDescent="0.15">
      <c r="B72" s="47" t="s">
        <v>40</v>
      </c>
      <c r="C72" s="61">
        <f>tbl_model!R73</f>
        <v>0.37849923310070421</v>
      </c>
      <c r="D72" s="61">
        <f>tbl_model!S73</f>
        <v>0.38358034106488481</v>
      </c>
      <c r="E72" s="62">
        <f>tbl_model!T73</f>
        <v>0.39222798582661705</v>
      </c>
      <c r="F72" s="62">
        <f>tbl_model!U73</f>
        <v>0.39697095837153074</v>
      </c>
      <c r="G72" s="62">
        <f>tbl_model!V73</f>
        <v>0.40724355190477202</v>
      </c>
      <c r="H72" s="62">
        <f>tbl_model!W73</f>
        <v>0.41552329502740665</v>
      </c>
      <c r="I72" s="62">
        <f>tbl_model!X73</f>
        <v>0.42645298348463556</v>
      </c>
      <c r="K72" s="20">
        <f t="shared" si="15"/>
        <v>1.3424354714157927E-2</v>
      </c>
      <c r="L72" s="20">
        <f t="shared" si="15"/>
        <v>2.2544546307365243E-2</v>
      </c>
      <c r="M72" s="20">
        <f t="shared" si="15"/>
        <v>1.2092386867596616E-2</v>
      </c>
      <c r="N72" s="20">
        <f t="shared" si="15"/>
        <v>2.5877443466851835E-2</v>
      </c>
      <c r="O72" s="20">
        <f t="shared" si="15"/>
        <v>2.0331182860743535E-2</v>
      </c>
      <c r="P72" s="20">
        <f t="shared" si="15"/>
        <v>2.6303431331107463E-2</v>
      </c>
      <c r="Q72" s="20"/>
      <c r="R72" s="61">
        <v>0.37849923310070421</v>
      </c>
      <c r="S72" s="61">
        <v>0.38358034106488481</v>
      </c>
      <c r="T72" s="62">
        <v>0.38827860203855974</v>
      </c>
      <c r="U72" s="62">
        <v>0.39934815667311907</v>
      </c>
      <c r="V72" s="62">
        <v>0.40832171347803414</v>
      </c>
      <c r="W72" s="62">
        <v>0.41628703725375871</v>
      </c>
      <c r="X72" s="62">
        <v>0.42703724612136379</v>
      </c>
      <c r="Z72" s="20">
        <f t="shared" si="21"/>
        <v>1.3424354714157927E-2</v>
      </c>
      <c r="AA72" s="20">
        <f t="shared" si="21"/>
        <v>1.2248440471771094E-2</v>
      </c>
      <c r="AB72" s="20">
        <f t="shared" si="21"/>
        <v>2.8509308976702341E-2</v>
      </c>
      <c r="AC72" s="20">
        <f t="shared" si="21"/>
        <v>2.2470510142507782E-2</v>
      </c>
      <c r="AD72" s="20">
        <f t="shared" si="21"/>
        <v>1.9507470489082968E-2</v>
      </c>
      <c r="AE72" s="20">
        <f t="shared" si="21"/>
        <v>2.5824029829331518E-2</v>
      </c>
      <c r="AG72" s="61">
        <f t="shared" si="17"/>
        <v>0</v>
      </c>
      <c r="AH72" s="61">
        <f t="shared" si="17"/>
        <v>0</v>
      </c>
      <c r="AI72" s="62">
        <f t="shared" si="17"/>
        <v>3.9493837880573146E-3</v>
      </c>
      <c r="AJ72" s="62">
        <f t="shared" si="17"/>
        <v>-2.3771983015883347E-3</v>
      </c>
      <c r="AK72" s="62">
        <f t="shared" si="17"/>
        <v>-1.0781615732621264E-3</v>
      </c>
      <c r="AL72" s="62">
        <f t="shared" si="17"/>
        <v>-7.6374222635205991E-4</v>
      </c>
      <c r="AM72" s="62">
        <f t="shared" si="17"/>
        <v>-5.8426263672822776E-4</v>
      </c>
      <c r="AO72" s="20">
        <f t="shared" si="18"/>
        <v>0</v>
      </c>
      <c r="AP72" s="20">
        <f t="shared" si="18"/>
        <v>0</v>
      </c>
      <c r="AQ72" s="20">
        <f t="shared" si="18"/>
        <v>1.0171520571368164E-2</v>
      </c>
      <c r="AR72" s="20">
        <f t="shared" si="18"/>
        <v>-5.9526963173994751E-3</v>
      </c>
      <c r="AS72" s="20">
        <f t="shared" si="18"/>
        <v>-2.6404708289413659E-3</v>
      </c>
      <c r="AT72" s="20">
        <f t="shared" si="18"/>
        <v>-1.8346529149465551E-3</v>
      </c>
      <c r="AU72" s="20">
        <f t="shared" si="18"/>
        <v>-1.3681772305224049E-3</v>
      </c>
    </row>
    <row r="73" spans="2:47" ht="4" customHeight="1" x14ac:dyDescent="0.15">
      <c r="B73" s="47"/>
      <c r="E73" s="11"/>
      <c r="F73" s="11"/>
      <c r="G73" s="11"/>
      <c r="H73" s="11"/>
      <c r="I73" s="11"/>
      <c r="T73" s="11"/>
      <c r="U73" s="11"/>
      <c r="V73" s="11"/>
      <c r="W73" s="11"/>
      <c r="X73" s="11"/>
      <c r="AI73" s="11"/>
      <c r="AJ73" s="11"/>
      <c r="AK73" s="11"/>
      <c r="AL73" s="11"/>
      <c r="AM73" s="11"/>
      <c r="AO73" s="20"/>
      <c r="AP73" s="20"/>
      <c r="AQ73" s="20"/>
      <c r="AR73" s="20"/>
      <c r="AS73" s="20"/>
      <c r="AT73" s="20"/>
      <c r="AU73" s="20"/>
    </row>
    <row r="74" spans="2:47" x14ac:dyDescent="0.15">
      <c r="B74" s="41" t="s">
        <v>41</v>
      </c>
      <c r="C74" s="58">
        <f>tbl_model!R75</f>
        <v>48.038638775966916</v>
      </c>
      <c r="D74" s="58">
        <f>tbl_model!S75</f>
        <v>48.705384777326998</v>
      </c>
      <c r="E74" s="59">
        <f>tbl_model!T75</f>
        <v>49.634116307947515</v>
      </c>
      <c r="F74" s="59">
        <f>tbl_model!U75</f>
        <v>50.517069488668369</v>
      </c>
      <c r="G74" s="59">
        <f>tbl_model!V75</f>
        <v>51.847698964067405</v>
      </c>
      <c r="H74" s="59">
        <f>tbl_model!W75</f>
        <v>53.139914075599691</v>
      </c>
      <c r="I74" s="59">
        <f>tbl_model!X75</f>
        <v>54.71808783553476</v>
      </c>
      <c r="K74" s="15">
        <f t="shared" si="15"/>
        <v>1.3879369156764021E-2</v>
      </c>
      <c r="L74" s="15">
        <f t="shared" si="15"/>
        <v>1.9068354245973529E-2</v>
      </c>
      <c r="M74" s="15">
        <f t="shared" si="15"/>
        <v>1.7789239466714735E-2</v>
      </c>
      <c r="N74" s="15">
        <f t="shared" si="15"/>
        <v>2.6340195281864265E-2</v>
      </c>
      <c r="O74" s="15">
        <f t="shared" si="15"/>
        <v>2.492328757786999E-2</v>
      </c>
      <c r="P74" s="15">
        <f t="shared" si="15"/>
        <v>2.9698462773008583E-2</v>
      </c>
      <c r="Q74" s="15"/>
      <c r="R74" s="58">
        <v>48.038638775966916</v>
      </c>
      <c r="S74" s="58">
        <v>48.705384777326998</v>
      </c>
      <c r="T74" s="59">
        <v>49.394080915121108</v>
      </c>
      <c r="U74" s="59">
        <v>50.502391265210221</v>
      </c>
      <c r="V74" s="59">
        <v>51.698113744896631</v>
      </c>
      <c r="W74" s="59">
        <v>52.920443232999176</v>
      </c>
      <c r="X74" s="59">
        <v>54.46932638121794</v>
      </c>
      <c r="Z74" s="15">
        <f t="shared" ref="Z74:AE78" si="22">S74/R74-1</f>
        <v>1.3879369156764021E-2</v>
      </c>
      <c r="AA74" s="15">
        <f t="shared" si="22"/>
        <v>1.4140041002503434E-2</v>
      </c>
      <c r="AB74" s="15">
        <f t="shared" si="22"/>
        <v>2.2438120713160759E-2</v>
      </c>
      <c r="AC74" s="15">
        <f t="shared" si="22"/>
        <v>2.367655173805816E-2</v>
      </c>
      <c r="AD74" s="15">
        <f t="shared" si="22"/>
        <v>2.3643599341633736E-2</v>
      </c>
      <c r="AE74" s="15">
        <f t="shared" si="22"/>
        <v>2.9268143908003807E-2</v>
      </c>
      <c r="AG74" s="58">
        <f t="shared" si="17"/>
        <v>0</v>
      </c>
      <c r="AH74" s="58">
        <f t="shared" si="17"/>
        <v>0</v>
      </c>
      <c r="AI74" s="59">
        <f t="shared" si="17"/>
        <v>0.24003539282640673</v>
      </c>
      <c r="AJ74" s="59">
        <f t="shared" si="17"/>
        <v>1.4678223458147954E-2</v>
      </c>
      <c r="AK74" s="59">
        <f t="shared" si="17"/>
        <v>0.14958521917077405</v>
      </c>
      <c r="AL74" s="59">
        <f t="shared" si="17"/>
        <v>0.21947084260051497</v>
      </c>
      <c r="AM74" s="59">
        <f t="shared" si="17"/>
        <v>0.24876145431682062</v>
      </c>
      <c r="AO74" s="15">
        <f t="shared" si="18"/>
        <v>0</v>
      </c>
      <c r="AP74" s="15">
        <f t="shared" si="18"/>
        <v>0</v>
      </c>
      <c r="AQ74" s="15">
        <f t="shared" si="18"/>
        <v>4.8595983239141383E-3</v>
      </c>
      <c r="AR74" s="15">
        <f t="shared" si="18"/>
        <v>2.9064412774171267E-4</v>
      </c>
      <c r="AS74" s="15">
        <f t="shared" si="18"/>
        <v>2.8934366911121945E-3</v>
      </c>
      <c r="AT74" s="15">
        <f t="shared" si="18"/>
        <v>4.1471845130665042E-3</v>
      </c>
      <c r="AU74" s="15">
        <f t="shared" si="18"/>
        <v>4.5670007478300079E-3</v>
      </c>
    </row>
    <row r="75" spans="2:47" x14ac:dyDescent="0.15">
      <c r="B75" s="47" t="s">
        <v>42</v>
      </c>
      <c r="C75" s="61">
        <f>tbl_model!R76</f>
        <v>3.5842916421232824</v>
      </c>
      <c r="D75" s="61">
        <f>tbl_model!S76</f>
        <v>3.6568108474418013</v>
      </c>
      <c r="E75" s="62">
        <f>tbl_model!T76</f>
        <v>3.6744486108038394</v>
      </c>
      <c r="F75" s="62">
        <f>tbl_model!U76</f>
        <v>3.8347396811476102</v>
      </c>
      <c r="G75" s="62">
        <f>tbl_model!V76</f>
        <v>3.9348472802746466</v>
      </c>
      <c r="H75" s="62">
        <f>tbl_model!W76</f>
        <v>4.0184247962872579</v>
      </c>
      <c r="I75" s="62">
        <f>tbl_model!X76</f>
        <v>4.1111444827373163</v>
      </c>
      <c r="K75" s="20">
        <f t="shared" si="15"/>
        <v>2.0232506882603918E-2</v>
      </c>
      <c r="L75" s="20">
        <f t="shared" si="15"/>
        <v>4.8232637940179846E-3</v>
      </c>
      <c r="M75" s="20">
        <f t="shared" si="15"/>
        <v>4.3623162907346913E-2</v>
      </c>
      <c r="N75" s="20">
        <f t="shared" si="15"/>
        <v>2.6105448466081427E-2</v>
      </c>
      <c r="O75" s="20">
        <f t="shared" si="15"/>
        <v>2.1240345573660502E-2</v>
      </c>
      <c r="P75" s="20">
        <f t="shared" si="15"/>
        <v>2.3073639834127357E-2</v>
      </c>
      <c r="Q75" s="20"/>
      <c r="R75" s="61">
        <v>3.5842916421232824</v>
      </c>
      <c r="S75" s="61">
        <v>3.6568108474418013</v>
      </c>
      <c r="T75" s="62">
        <v>3.7071280752194857</v>
      </c>
      <c r="U75" s="62">
        <v>3.7912021949984291</v>
      </c>
      <c r="V75" s="62">
        <v>3.8809634889243299</v>
      </c>
      <c r="W75" s="62">
        <v>3.9592550714452748</v>
      </c>
      <c r="X75" s="62">
        <v>4.0498753983167175</v>
      </c>
      <c r="Z75" s="20">
        <f t="shared" si="22"/>
        <v>2.0232506882603918E-2</v>
      </c>
      <c r="AA75" s="20">
        <f t="shared" si="22"/>
        <v>1.3759866144808841E-2</v>
      </c>
      <c r="AB75" s="20">
        <f t="shared" si="22"/>
        <v>2.2679043743037086E-2</v>
      </c>
      <c r="AC75" s="20">
        <f t="shared" si="22"/>
        <v>2.3676208576878022E-2</v>
      </c>
      <c r="AD75" s="20">
        <f t="shared" si="22"/>
        <v>2.0173233462354556E-2</v>
      </c>
      <c r="AE75" s="20">
        <f t="shared" si="22"/>
        <v>2.2888226506296627E-2</v>
      </c>
      <c r="AG75" s="61">
        <f t="shared" si="17"/>
        <v>0</v>
      </c>
      <c r="AH75" s="61">
        <f t="shared" si="17"/>
        <v>0</v>
      </c>
      <c r="AI75" s="62">
        <f t="shared" si="17"/>
        <v>-3.2679464415646287E-2</v>
      </c>
      <c r="AJ75" s="62">
        <f t="shared" si="17"/>
        <v>4.3537486149181071E-2</v>
      </c>
      <c r="AK75" s="62">
        <f t="shared" si="17"/>
        <v>5.3883791350316734E-2</v>
      </c>
      <c r="AL75" s="62">
        <f t="shared" si="17"/>
        <v>5.9169724841983129E-2</v>
      </c>
      <c r="AM75" s="62">
        <f t="shared" si="17"/>
        <v>6.1269084420598752E-2</v>
      </c>
      <c r="AO75" s="20">
        <f t="shared" si="18"/>
        <v>0</v>
      </c>
      <c r="AP75" s="20">
        <f t="shared" si="18"/>
        <v>0</v>
      </c>
      <c r="AQ75" s="20">
        <f t="shared" si="18"/>
        <v>-8.8153049348616008E-3</v>
      </c>
      <c r="AR75" s="20">
        <f t="shared" si="18"/>
        <v>1.148382067477649E-2</v>
      </c>
      <c r="AS75" s="20">
        <f t="shared" si="18"/>
        <v>1.3884127357573162E-2</v>
      </c>
      <c r="AT75" s="20">
        <f t="shared" si="18"/>
        <v>1.494466099664149E-2</v>
      </c>
      <c r="AU75" s="20">
        <f t="shared" si="18"/>
        <v>1.5128634438003719E-2</v>
      </c>
    </row>
    <row r="76" spans="2:47" x14ac:dyDescent="0.15">
      <c r="B76" s="47" t="s">
        <v>43</v>
      </c>
      <c r="C76" s="61">
        <f>tbl_model!R77</f>
        <v>4.5892863642493751</v>
      </c>
      <c r="D76" s="61">
        <f>tbl_model!S77</f>
        <v>4.6450838507811643</v>
      </c>
      <c r="E76" s="62">
        <f>tbl_model!T77</f>
        <v>4.7794769084542237</v>
      </c>
      <c r="F76" s="62">
        <f>tbl_model!U77</f>
        <v>4.8622233284039105</v>
      </c>
      <c r="G76" s="62">
        <f>tbl_model!V77</f>
        <v>5.0255458628873955</v>
      </c>
      <c r="H76" s="62">
        <f>tbl_model!W77</f>
        <v>5.1555452012902769</v>
      </c>
      <c r="I76" s="62">
        <f>tbl_model!X77</f>
        <v>5.3141055036235354</v>
      </c>
      <c r="K76" s="20">
        <f t="shared" si="15"/>
        <v>1.2158205460102156E-2</v>
      </c>
      <c r="L76" s="20">
        <f t="shared" si="15"/>
        <v>2.89323211357011E-2</v>
      </c>
      <c r="M76" s="20">
        <f t="shared" si="15"/>
        <v>1.7312861121542289E-2</v>
      </c>
      <c r="N76" s="20">
        <f t="shared" si="15"/>
        <v>3.3590093143067934E-2</v>
      </c>
      <c r="O76" s="20">
        <f t="shared" si="15"/>
        <v>2.5867705110981021E-2</v>
      </c>
      <c r="P76" s="20">
        <f t="shared" si="15"/>
        <v>3.0755292824040437E-2</v>
      </c>
      <c r="Q76" s="20"/>
      <c r="R76" s="61">
        <v>4.5892863642493751</v>
      </c>
      <c r="S76" s="61">
        <v>4.6450838507811643</v>
      </c>
      <c r="T76" s="62">
        <v>4.7058419999989454</v>
      </c>
      <c r="U76" s="62">
        <v>4.8331325658736812</v>
      </c>
      <c r="V76" s="62">
        <v>4.9803854186299397</v>
      </c>
      <c r="W76" s="62">
        <v>5.1006897132063349</v>
      </c>
      <c r="X76" s="62">
        <v>5.2539819711758309</v>
      </c>
      <c r="Z76" s="20">
        <f t="shared" si="22"/>
        <v>1.2158205460102156E-2</v>
      </c>
      <c r="AA76" s="20">
        <f t="shared" si="22"/>
        <v>1.3080097403960433E-2</v>
      </c>
      <c r="AB76" s="20">
        <f t="shared" si="22"/>
        <v>2.7049477197654381E-2</v>
      </c>
      <c r="AC76" s="20">
        <f t="shared" si="22"/>
        <v>3.0467373023450151E-2</v>
      </c>
      <c r="AD76" s="20">
        <f t="shared" si="22"/>
        <v>2.4155619387683736E-2</v>
      </c>
      <c r="AE76" s="20">
        <f t="shared" si="22"/>
        <v>3.0053241147486975E-2</v>
      </c>
      <c r="AG76" s="61">
        <f t="shared" si="17"/>
        <v>0</v>
      </c>
      <c r="AH76" s="61">
        <f t="shared" si="17"/>
        <v>0</v>
      </c>
      <c r="AI76" s="62">
        <f t="shared" si="17"/>
        <v>7.3634908455278314E-2</v>
      </c>
      <c r="AJ76" s="62">
        <f t="shared" si="17"/>
        <v>2.9090762530229242E-2</v>
      </c>
      <c r="AK76" s="62">
        <f t="shared" si="17"/>
        <v>4.5160444257455801E-2</v>
      </c>
      <c r="AL76" s="62">
        <f t="shared" si="17"/>
        <v>5.4855488083942028E-2</v>
      </c>
      <c r="AM76" s="62">
        <f t="shared" si="17"/>
        <v>6.012353244770452E-2</v>
      </c>
      <c r="AO76" s="20">
        <f t="shared" si="18"/>
        <v>0</v>
      </c>
      <c r="AP76" s="20">
        <f t="shared" si="18"/>
        <v>0</v>
      </c>
      <c r="AQ76" s="20">
        <f t="shared" si="18"/>
        <v>1.564755222451053E-2</v>
      </c>
      <c r="AR76" s="20">
        <f t="shared" si="18"/>
        <v>6.0190284735073263E-3</v>
      </c>
      <c r="AS76" s="20">
        <f t="shared" si="18"/>
        <v>9.0676605245301189E-3</v>
      </c>
      <c r="AT76" s="20">
        <f t="shared" si="18"/>
        <v>1.0754523636659297E-2</v>
      </c>
      <c r="AU76" s="20">
        <f t="shared" si="18"/>
        <v>1.1443421918375662E-2</v>
      </c>
    </row>
    <row r="77" spans="2:47" x14ac:dyDescent="0.15">
      <c r="B77" s="47" t="s">
        <v>44</v>
      </c>
      <c r="C77" s="61">
        <f>tbl_model!R78</f>
        <v>9.6793094359688059</v>
      </c>
      <c r="D77" s="61">
        <f>tbl_model!S78</f>
        <v>9.8424285456918916</v>
      </c>
      <c r="E77" s="62">
        <f>tbl_model!T78</f>
        <v>9.9408804819877812</v>
      </c>
      <c r="F77" s="62">
        <f>tbl_model!U78</f>
        <v>10.194924906008781</v>
      </c>
      <c r="G77" s="62">
        <f>tbl_model!V78</f>
        <v>10.432796982794347</v>
      </c>
      <c r="H77" s="62">
        <f>tbl_model!W78</f>
        <v>10.684681045467391</v>
      </c>
      <c r="I77" s="62">
        <f>tbl_model!X78</f>
        <v>11.013416203250971</v>
      </c>
      <c r="K77" s="20">
        <f t="shared" si="15"/>
        <v>1.6852349932829691E-2</v>
      </c>
      <c r="L77" s="20">
        <f t="shared" si="15"/>
        <v>1.0002809351253417E-2</v>
      </c>
      <c r="M77" s="20">
        <f t="shared" si="15"/>
        <v>2.5555525436736781E-2</v>
      </c>
      <c r="N77" s="20">
        <f t="shared" si="15"/>
        <v>2.3332401070003561E-2</v>
      </c>
      <c r="O77" s="20">
        <f t="shared" si="15"/>
        <v>2.4143483582441894E-2</v>
      </c>
      <c r="P77" s="20">
        <f t="shared" si="15"/>
        <v>3.0766960322417436E-2</v>
      </c>
      <c r="Q77" s="20"/>
      <c r="R77" s="61">
        <v>9.6793094359688059</v>
      </c>
      <c r="S77" s="61">
        <v>9.8424285456918916</v>
      </c>
      <c r="T77" s="62">
        <v>9.9831653304530157</v>
      </c>
      <c r="U77" s="62">
        <v>10.235318650732223</v>
      </c>
      <c r="V77" s="62">
        <v>10.449103586799231</v>
      </c>
      <c r="W77" s="62">
        <v>10.690520442164569</v>
      </c>
      <c r="X77" s="62">
        <v>11.016785658361943</v>
      </c>
      <c r="Z77" s="20">
        <f t="shared" si="22"/>
        <v>1.6852349932829691E-2</v>
      </c>
      <c r="AA77" s="20">
        <f t="shared" si="22"/>
        <v>1.4298989736910572E-2</v>
      </c>
      <c r="AB77" s="20">
        <f t="shared" si="22"/>
        <v>2.5257852788436619E-2</v>
      </c>
      <c r="AC77" s="20">
        <f t="shared" si="22"/>
        <v>2.0886983919324642E-2</v>
      </c>
      <c r="AD77" s="20">
        <f t="shared" si="22"/>
        <v>2.3104073316904339E-2</v>
      </c>
      <c r="AE77" s="20">
        <f t="shared" si="22"/>
        <v>3.0519114383856349E-2</v>
      </c>
      <c r="AG77" s="61">
        <f t="shared" si="17"/>
        <v>0</v>
      </c>
      <c r="AH77" s="61">
        <f t="shared" si="17"/>
        <v>0</v>
      </c>
      <c r="AI77" s="62">
        <f t="shared" si="17"/>
        <v>-4.2284848465234504E-2</v>
      </c>
      <c r="AJ77" s="62">
        <f t="shared" si="17"/>
        <v>-4.0393744723441927E-2</v>
      </c>
      <c r="AK77" s="62">
        <f t="shared" si="17"/>
        <v>-1.6306604004883596E-2</v>
      </c>
      <c r="AL77" s="62">
        <f t="shared" si="17"/>
        <v>-5.8393966971781452E-3</v>
      </c>
      <c r="AM77" s="62">
        <f t="shared" si="17"/>
        <v>-3.3694551109721971E-3</v>
      </c>
      <c r="AO77" s="20">
        <f t="shared" si="18"/>
        <v>0</v>
      </c>
      <c r="AP77" s="20">
        <f t="shared" si="18"/>
        <v>0</v>
      </c>
      <c r="AQ77" s="20">
        <f t="shared" si="18"/>
        <v>-4.2356153650232597E-3</v>
      </c>
      <c r="AR77" s="20">
        <f t="shared" si="18"/>
        <v>-3.9465058296501709E-3</v>
      </c>
      <c r="AS77" s="20">
        <f t="shared" si="18"/>
        <v>-1.5605744425277734E-3</v>
      </c>
      <c r="AT77" s="20">
        <f t="shared" si="18"/>
        <v>-5.4622192892939125E-4</v>
      </c>
      <c r="AU77" s="20">
        <f t="shared" si="18"/>
        <v>-3.0584738738337336E-4</v>
      </c>
    </row>
    <row r="78" spans="2:47" x14ac:dyDescent="0.15">
      <c r="B78" s="47" t="s">
        <v>41</v>
      </c>
      <c r="C78" s="61">
        <f>tbl_model!R79</f>
        <v>30.185751333625454</v>
      </c>
      <c r="D78" s="61">
        <f>tbl_model!S79</f>
        <v>30.561061533412136</v>
      </c>
      <c r="E78" s="62">
        <f>tbl_model!T79</f>
        <v>31.239310306701668</v>
      </c>
      <c r="F78" s="62">
        <f>tbl_model!U79</f>
        <v>31.625181573108065</v>
      </c>
      <c r="G78" s="62">
        <f>tbl_model!V79</f>
        <v>32.454508838111018</v>
      </c>
      <c r="H78" s="62">
        <f>tbl_model!W79</f>
        <v>33.281263032554769</v>
      </c>
      <c r="I78" s="62">
        <f>tbl_model!X79</f>
        <v>34.279421645922938</v>
      </c>
      <c r="K78" s="20">
        <f t="shared" si="15"/>
        <v>1.2433356242771643E-2</v>
      </c>
      <c r="L78" s="20">
        <f t="shared" si="15"/>
        <v>2.2193233456501815E-2</v>
      </c>
      <c r="M78" s="20">
        <f t="shared" si="15"/>
        <v>1.2352105812131864E-2</v>
      </c>
      <c r="N78" s="20">
        <f t="shared" si="15"/>
        <v>2.6223636474174583E-2</v>
      </c>
      <c r="O78" s="20">
        <f t="shared" si="15"/>
        <v>2.547424761741901E-2</v>
      </c>
      <c r="P78" s="20">
        <f t="shared" si="15"/>
        <v>2.999160856340688E-2</v>
      </c>
      <c r="Q78" s="20"/>
      <c r="R78" s="61">
        <v>30.185751333625454</v>
      </c>
      <c r="S78" s="61">
        <v>30.561061533412136</v>
      </c>
      <c r="T78" s="62">
        <v>30.997945509449661</v>
      </c>
      <c r="U78" s="62">
        <v>31.642737853605887</v>
      </c>
      <c r="V78" s="62">
        <v>32.387661250543132</v>
      </c>
      <c r="W78" s="62">
        <v>33.169978006182994</v>
      </c>
      <c r="X78" s="62">
        <v>34.148683353363452</v>
      </c>
      <c r="Z78" s="20">
        <f t="shared" si="22"/>
        <v>1.2433356242771643E-2</v>
      </c>
      <c r="AA78" s="20">
        <f t="shared" si="22"/>
        <v>1.4295445057099343E-2</v>
      </c>
      <c r="AB78" s="20">
        <f t="shared" si="22"/>
        <v>2.080113160917918E-2</v>
      </c>
      <c r="AC78" s="20">
        <f t="shared" si="22"/>
        <v>2.3541685943347046E-2</v>
      </c>
      <c r="AD78" s="20">
        <f t="shared" si="22"/>
        <v>2.4154777635472024E-2</v>
      </c>
      <c r="AE78" s="20">
        <f t="shared" si="22"/>
        <v>2.9505758098423263E-2</v>
      </c>
      <c r="AG78" s="61">
        <f t="shared" si="17"/>
        <v>0</v>
      </c>
      <c r="AH78" s="61">
        <f t="shared" si="17"/>
        <v>0</v>
      </c>
      <c r="AI78" s="62">
        <f t="shared" si="17"/>
        <v>0.24136479725200743</v>
      </c>
      <c r="AJ78" s="62">
        <f t="shared" si="17"/>
        <v>-1.7556280497821319E-2</v>
      </c>
      <c r="AK78" s="62">
        <f t="shared" si="17"/>
        <v>6.6847587567885114E-2</v>
      </c>
      <c r="AL78" s="62">
        <f t="shared" si="17"/>
        <v>0.11128502637177462</v>
      </c>
      <c r="AM78" s="62">
        <f t="shared" si="17"/>
        <v>0.1307382925594851</v>
      </c>
      <c r="AO78" s="20">
        <f t="shared" si="18"/>
        <v>0</v>
      </c>
      <c r="AP78" s="20">
        <f t="shared" si="18"/>
        <v>0</v>
      </c>
      <c r="AQ78" s="20">
        <f t="shared" si="18"/>
        <v>7.7864772418039241E-3</v>
      </c>
      <c r="AR78" s="20">
        <f t="shared" si="18"/>
        <v>-5.5482811187335113E-4</v>
      </c>
      <c r="AS78" s="20">
        <f t="shared" si="18"/>
        <v>2.0639831647850659E-3</v>
      </c>
      <c r="AT78" s="20">
        <f t="shared" si="18"/>
        <v>3.3549924679188159E-3</v>
      </c>
      <c r="AU78" s="20">
        <f t="shared" si="18"/>
        <v>3.8285017084445094E-3</v>
      </c>
    </row>
    <row r="79" spans="2:47" ht="4" customHeight="1" x14ac:dyDescent="0.15">
      <c r="B79" s="63"/>
      <c r="C79" s="50"/>
      <c r="D79" s="50"/>
      <c r="E79" s="51"/>
      <c r="F79" s="51"/>
      <c r="G79" s="51"/>
      <c r="H79" s="51"/>
      <c r="I79" s="51"/>
      <c r="K79" s="50"/>
      <c r="L79" s="50"/>
      <c r="M79" s="50"/>
      <c r="N79" s="50"/>
      <c r="O79" s="50"/>
      <c r="P79" s="50"/>
      <c r="Q79" s="50"/>
      <c r="R79" s="50"/>
      <c r="S79" s="50"/>
      <c r="T79" s="51"/>
      <c r="U79" s="51"/>
      <c r="V79" s="51"/>
      <c r="W79" s="51"/>
      <c r="X79" s="51"/>
      <c r="Z79" s="50"/>
      <c r="AA79" s="50"/>
      <c r="AB79" s="50"/>
      <c r="AC79" s="50"/>
      <c r="AD79" s="50"/>
      <c r="AE79" s="50"/>
      <c r="AG79" s="50"/>
      <c r="AH79" s="50"/>
      <c r="AI79" s="51"/>
      <c r="AJ79" s="51"/>
      <c r="AK79" s="51"/>
      <c r="AL79" s="51"/>
      <c r="AM79" s="51"/>
      <c r="AO79" s="50"/>
      <c r="AP79" s="50"/>
      <c r="AQ79" s="50"/>
      <c r="AR79" s="50"/>
      <c r="AS79" s="50"/>
      <c r="AT79" s="50"/>
      <c r="AU79" s="50"/>
    </row>
    <row r="80" spans="2:47" x14ac:dyDescent="0.15">
      <c r="B80" s="52" t="s">
        <v>45</v>
      </c>
    </row>
    <row r="81" spans="2:47" x14ac:dyDescent="0.15">
      <c r="C81" s="54"/>
      <c r="D81" s="54"/>
      <c r="E81" s="54"/>
      <c r="F81" s="54"/>
      <c r="G81" s="54"/>
      <c r="H81" s="54"/>
      <c r="I81" s="54"/>
      <c r="R81" s="54"/>
      <c r="S81" s="54"/>
      <c r="T81" s="54"/>
      <c r="U81" s="54"/>
      <c r="V81" s="54"/>
      <c r="W81" s="54"/>
      <c r="X81" s="54"/>
      <c r="AG81" s="54"/>
      <c r="AH81" s="54"/>
      <c r="AI81" s="54"/>
      <c r="AJ81" s="54"/>
      <c r="AK81" s="54"/>
      <c r="AL81" s="54"/>
      <c r="AM81" s="54"/>
      <c r="AO81" s="54"/>
      <c r="AP81" s="54"/>
      <c r="AQ81" s="54"/>
      <c r="AR81" s="54"/>
      <c r="AS81" s="54"/>
      <c r="AT81" s="54"/>
      <c r="AU81" s="54"/>
    </row>
    <row r="82" spans="2:47" x14ac:dyDescent="0.15">
      <c r="B82" s="55"/>
    </row>
    <row r="83" spans="2:47" x14ac:dyDescent="0.15">
      <c r="B83" s="55"/>
    </row>
    <row r="84" spans="2:47" ht="16" x14ac:dyDescent="0.2">
      <c r="B84" s="4" t="s">
        <v>46</v>
      </c>
      <c r="C84" s="6"/>
      <c r="K84" s="4"/>
      <c r="L84" s="4"/>
      <c r="M84" s="4"/>
      <c r="N84" s="4"/>
      <c r="O84" s="4"/>
      <c r="P84" s="4"/>
      <c r="Q84" s="4"/>
      <c r="R84" s="6"/>
      <c r="Z84" s="4"/>
      <c r="AA84" s="4"/>
      <c r="AB84" s="4"/>
      <c r="AC84" s="4"/>
      <c r="AD84" s="4"/>
      <c r="AE84" s="4"/>
      <c r="AG84" s="6"/>
      <c r="AO84" s="6"/>
    </row>
    <row r="85" spans="2:47" ht="16" x14ac:dyDescent="0.2">
      <c r="B85" s="4"/>
      <c r="C85" s="6"/>
      <c r="D85" s="7"/>
      <c r="K85" s="4"/>
      <c r="L85" s="4"/>
      <c r="M85" s="4"/>
      <c r="N85" s="4"/>
      <c r="O85" s="4"/>
      <c r="P85" s="4"/>
      <c r="Q85" s="4"/>
      <c r="R85" s="6"/>
      <c r="S85" s="7"/>
      <c r="Z85" s="4"/>
      <c r="AA85" s="4"/>
      <c r="AB85" s="4"/>
      <c r="AC85" s="4"/>
      <c r="AD85" s="4"/>
      <c r="AE85" s="4"/>
      <c r="AG85" s="6"/>
      <c r="AH85" s="7"/>
      <c r="AO85" s="6"/>
      <c r="AP85" s="7"/>
    </row>
    <row r="86" spans="2:47" ht="4" customHeight="1" x14ac:dyDescent="0.15">
      <c r="B86" s="55"/>
    </row>
    <row r="87" spans="2:47" x14ac:dyDescent="0.15">
      <c r="C87" s="9">
        <v>2024</v>
      </c>
      <c r="D87" s="9">
        <v>2025</v>
      </c>
      <c r="E87" s="10">
        <v>2026</v>
      </c>
      <c r="F87" s="10">
        <v>2027</v>
      </c>
      <c r="G87" s="10">
        <v>2028</v>
      </c>
      <c r="H87" s="10">
        <v>2029</v>
      </c>
      <c r="I87" s="10">
        <v>2030</v>
      </c>
      <c r="K87" s="9">
        <v>2025</v>
      </c>
      <c r="L87" s="9">
        <v>2026</v>
      </c>
      <c r="M87" s="9">
        <v>2027</v>
      </c>
      <c r="N87" s="9">
        <v>2028</v>
      </c>
      <c r="O87" s="9">
        <v>2029</v>
      </c>
      <c r="P87" s="9">
        <v>2030</v>
      </c>
      <c r="Q87" s="9"/>
      <c r="R87" s="9">
        <v>2024</v>
      </c>
      <c r="S87" s="9">
        <v>2025</v>
      </c>
      <c r="T87" s="10">
        <v>2026</v>
      </c>
      <c r="U87" s="10">
        <v>2027</v>
      </c>
      <c r="V87" s="10">
        <v>2028</v>
      </c>
      <c r="W87" s="10">
        <v>2029</v>
      </c>
      <c r="X87" s="10">
        <v>2030</v>
      </c>
      <c r="Z87" s="9">
        <v>2025</v>
      </c>
      <c r="AA87" s="9">
        <v>2026</v>
      </c>
      <c r="AB87" s="9">
        <v>2027</v>
      </c>
      <c r="AC87" s="9">
        <v>2028</v>
      </c>
      <c r="AD87" s="9">
        <v>2029</v>
      </c>
      <c r="AE87" s="9">
        <v>2030</v>
      </c>
      <c r="AG87" s="9">
        <v>2024</v>
      </c>
      <c r="AH87" s="9">
        <v>2025</v>
      </c>
      <c r="AI87" s="10">
        <v>2026</v>
      </c>
      <c r="AJ87" s="10">
        <v>2027</v>
      </c>
      <c r="AK87" s="10">
        <v>2028</v>
      </c>
      <c r="AL87" s="10">
        <v>2029</v>
      </c>
      <c r="AM87" s="10">
        <v>2030</v>
      </c>
      <c r="AO87" s="9">
        <v>2024</v>
      </c>
      <c r="AP87" s="9">
        <v>2025</v>
      </c>
      <c r="AQ87" s="9">
        <v>2026</v>
      </c>
      <c r="AR87" s="9">
        <v>2027</v>
      </c>
      <c r="AS87" s="9">
        <v>2028</v>
      </c>
      <c r="AT87" s="9">
        <v>2029</v>
      </c>
      <c r="AU87" s="9">
        <v>2030</v>
      </c>
    </row>
    <row r="88" spans="2:47" ht="4" customHeight="1" x14ac:dyDescent="0.15">
      <c r="E88" s="65"/>
      <c r="F88" s="65"/>
      <c r="G88" s="65"/>
      <c r="H88" s="65"/>
      <c r="I88" s="65"/>
      <c r="T88" s="65"/>
      <c r="U88" s="65"/>
      <c r="V88" s="65"/>
      <c r="W88" s="65"/>
      <c r="X88" s="65"/>
      <c r="AI88" s="65"/>
      <c r="AJ88" s="65"/>
      <c r="AK88" s="65"/>
      <c r="AL88" s="65"/>
      <c r="AM88" s="65"/>
    </row>
    <row r="89" spans="2:47" x14ac:dyDescent="0.15">
      <c r="B89" s="55" t="s">
        <v>28</v>
      </c>
      <c r="C89" s="46">
        <f>tbl_model!R90</f>
        <v>28.906196303693328</v>
      </c>
      <c r="D89" s="46">
        <f>tbl_model!S90</f>
        <v>29.489941947696295</v>
      </c>
      <c r="E89" s="107">
        <f>tbl_model!T90</f>
        <v>30.967084430865224</v>
      </c>
      <c r="F89" s="107">
        <f>tbl_model!U90</f>
        <v>31.915891209360197</v>
      </c>
      <c r="G89" s="107">
        <f>tbl_model!V90</f>
        <v>33.155171160806553</v>
      </c>
      <c r="H89" s="107">
        <f>tbl_model!W90</f>
        <v>34.518233920665999</v>
      </c>
      <c r="I89" s="107">
        <f>tbl_model!X90</f>
        <v>36.024539224803</v>
      </c>
      <c r="K89" s="105">
        <f t="shared" ref="K89:P92" si="23">D89/C89-1</f>
        <v>2.0194481413951415E-2</v>
      </c>
      <c r="L89" s="20">
        <f t="shared" si="23"/>
        <v>5.0089704679270097E-2</v>
      </c>
      <c r="M89" s="20">
        <f t="shared" si="23"/>
        <v>3.0639202751334471E-2</v>
      </c>
      <c r="N89" s="20">
        <f t="shared" si="23"/>
        <v>3.8829558081802995E-2</v>
      </c>
      <c r="O89" s="20">
        <f t="shared" si="23"/>
        <v>4.111161885572634E-2</v>
      </c>
      <c r="P89" s="20">
        <f t="shared" si="23"/>
        <v>4.3637959798261239E-2</v>
      </c>
      <c r="R89" s="46">
        <v>28.906196303693328</v>
      </c>
      <c r="S89" s="46">
        <v>29.489941947696295</v>
      </c>
      <c r="T89" s="107">
        <v>30.819347648925568</v>
      </c>
      <c r="U89" s="107">
        <v>31.484606166633384</v>
      </c>
      <c r="V89" s="107">
        <v>32.651218698026398</v>
      </c>
      <c r="W89" s="107">
        <v>34.025073151775942</v>
      </c>
      <c r="X89" s="107">
        <v>35.506897435921218</v>
      </c>
      <c r="Z89" s="105">
        <f t="shared" ref="Z89:AE92" si="24">S89/R89-1</f>
        <v>2.0194481413951415E-2</v>
      </c>
      <c r="AA89" s="20">
        <f t="shared" si="24"/>
        <v>4.5079970099199285E-2</v>
      </c>
      <c r="AB89" s="20">
        <f t="shared" si="24"/>
        <v>2.1585742997743518E-2</v>
      </c>
      <c r="AC89" s="20">
        <f t="shared" si="24"/>
        <v>3.7053426211484997E-2</v>
      </c>
      <c r="AD89" s="20">
        <f t="shared" si="24"/>
        <v>4.2076666921856409E-2</v>
      </c>
      <c r="AE89" s="20">
        <f t="shared" si="24"/>
        <v>4.3550950721995108E-2</v>
      </c>
      <c r="AG89" s="46">
        <f t="shared" ref="AG89:AM92" si="25">C89-R89</f>
        <v>0</v>
      </c>
      <c r="AH89" s="46">
        <f t="shared" si="25"/>
        <v>0</v>
      </c>
      <c r="AI89" s="107">
        <f t="shared" si="25"/>
        <v>0.14773678193965623</v>
      </c>
      <c r="AJ89" s="107">
        <f t="shared" si="25"/>
        <v>0.43128504272681312</v>
      </c>
      <c r="AK89" s="107">
        <f t="shared" si="25"/>
        <v>0.50395246278015549</v>
      </c>
      <c r="AL89" s="107">
        <f t="shared" si="25"/>
        <v>0.493160768890057</v>
      </c>
      <c r="AM89" s="107">
        <f t="shared" si="25"/>
        <v>0.51764178888178236</v>
      </c>
      <c r="AO89" s="20">
        <f t="shared" ref="AO89:AU92" si="26">C89/R89-1</f>
        <v>0</v>
      </c>
      <c r="AP89" s="20">
        <f t="shared" si="26"/>
        <v>0</v>
      </c>
      <c r="AQ89" s="20">
        <f t="shared" si="26"/>
        <v>4.793637542967577E-3</v>
      </c>
      <c r="AR89" s="20">
        <f t="shared" si="26"/>
        <v>1.3698282914647919E-2</v>
      </c>
      <c r="AS89" s="20">
        <f t="shared" si="26"/>
        <v>1.5434415096138965E-2</v>
      </c>
      <c r="AT89" s="20">
        <f t="shared" si="26"/>
        <v>1.4494039930207148E-2</v>
      </c>
      <c r="AU89" s="20">
        <f t="shared" si="26"/>
        <v>1.4578626302564457E-2</v>
      </c>
    </row>
    <row r="90" spans="2:47" x14ac:dyDescent="0.15">
      <c r="B90" s="55" t="s">
        <v>29</v>
      </c>
      <c r="C90" s="46">
        <f>tbl_model!R91</f>
        <v>33.188637819731397</v>
      </c>
      <c r="D90" s="46">
        <f>tbl_model!S91</f>
        <v>34.063039210538349</v>
      </c>
      <c r="E90" s="107">
        <f>tbl_model!T91</f>
        <v>35.747976370026898</v>
      </c>
      <c r="F90" s="107">
        <f>tbl_model!U91</f>
        <v>36.788255915072128</v>
      </c>
      <c r="G90" s="107">
        <f>tbl_model!V91</f>
        <v>38.134564485896192</v>
      </c>
      <c r="H90" s="107">
        <f>tbl_model!W91</f>
        <v>39.738362273775259</v>
      </c>
      <c r="I90" s="107">
        <f>tbl_model!X91</f>
        <v>41.468408920065542</v>
      </c>
      <c r="K90" s="105">
        <f t="shared" si="23"/>
        <v>2.6346407935040395E-2</v>
      </c>
      <c r="L90" s="20">
        <f t="shared" si="23"/>
        <v>4.9465262012418076E-2</v>
      </c>
      <c r="M90" s="20">
        <f t="shared" si="23"/>
        <v>2.9100375760499286E-2</v>
      </c>
      <c r="N90" s="20">
        <f t="shared" si="23"/>
        <v>3.6596151063320148E-2</v>
      </c>
      <c r="O90" s="20">
        <f t="shared" si="23"/>
        <v>4.2056276490904265E-2</v>
      </c>
      <c r="P90" s="20">
        <f t="shared" si="23"/>
        <v>4.353593221510299E-2</v>
      </c>
      <c r="R90" s="46">
        <v>33.188637819731397</v>
      </c>
      <c r="S90" s="46">
        <v>34.063039210538349</v>
      </c>
      <c r="T90" s="107">
        <v>35.527188565335095</v>
      </c>
      <c r="U90" s="107">
        <v>36.476451585064112</v>
      </c>
      <c r="V90" s="107">
        <v>37.638888946866437</v>
      </c>
      <c r="W90" s="107">
        <v>39.222607940392479</v>
      </c>
      <c r="X90" s="107">
        <v>40.930789805992653</v>
      </c>
      <c r="Z90" s="105">
        <f t="shared" si="24"/>
        <v>2.6346407935040395E-2</v>
      </c>
      <c r="AA90" s="20">
        <f t="shared" si="24"/>
        <v>4.2983520811136877E-2</v>
      </c>
      <c r="AB90" s="20">
        <f t="shared" si="24"/>
        <v>2.6719339696224642E-2</v>
      </c>
      <c r="AC90" s="20">
        <f t="shared" si="24"/>
        <v>3.1868159080427283E-2</v>
      </c>
      <c r="AD90" s="20">
        <f t="shared" si="24"/>
        <v>4.2076666921856409E-2</v>
      </c>
      <c r="AE90" s="20">
        <f t="shared" si="24"/>
        <v>4.355095072199533E-2</v>
      </c>
      <c r="AG90" s="46">
        <f t="shared" si="25"/>
        <v>0</v>
      </c>
      <c r="AH90" s="46">
        <f t="shared" si="25"/>
        <v>0</v>
      </c>
      <c r="AI90" s="107">
        <f t="shared" si="25"/>
        <v>0.22078780469180259</v>
      </c>
      <c r="AJ90" s="107">
        <f t="shared" si="25"/>
        <v>0.311804330008016</v>
      </c>
      <c r="AK90" s="107">
        <f t="shared" si="25"/>
        <v>0.49567553902975447</v>
      </c>
      <c r="AL90" s="107">
        <f t="shared" si="25"/>
        <v>0.51575433338278032</v>
      </c>
      <c r="AM90" s="107">
        <f t="shared" si="25"/>
        <v>0.5376191140728892</v>
      </c>
      <c r="AO90" s="20">
        <f t="shared" si="26"/>
        <v>0</v>
      </c>
      <c r="AP90" s="20">
        <f t="shared" si="26"/>
        <v>0</v>
      </c>
      <c r="AQ90" s="20">
        <f t="shared" si="26"/>
        <v>6.2146151611679468E-3</v>
      </c>
      <c r="AR90" s="20">
        <f t="shared" si="26"/>
        <v>8.5480992930706545E-3</v>
      </c>
      <c r="AS90" s="20">
        <f t="shared" si="26"/>
        <v>1.3169239393051146E-2</v>
      </c>
      <c r="AT90" s="20">
        <f t="shared" si="26"/>
        <v>1.3149414596973941E-2</v>
      </c>
      <c r="AU90" s="20">
        <f t="shared" si="26"/>
        <v>1.3134833620879194E-2</v>
      </c>
    </row>
    <row r="91" spans="2:47" x14ac:dyDescent="0.15">
      <c r="B91" s="55" t="s">
        <v>36</v>
      </c>
      <c r="C91" s="46">
        <f>tbl_model!R92</f>
        <v>5.2061702026573622</v>
      </c>
      <c r="D91" s="46">
        <f>tbl_model!S92</f>
        <v>5.3540100787768354</v>
      </c>
      <c r="E91" s="107">
        <f>tbl_model!T92</f>
        <v>5.6550401216331556</v>
      </c>
      <c r="F91" s="107">
        <f>tbl_model!U92</f>
        <v>5.8295087876377263</v>
      </c>
      <c r="G91" s="107">
        <f>tbl_model!V92</f>
        <v>6.0464324699276739</v>
      </c>
      <c r="H91" s="107">
        <f>tbl_model!W92</f>
        <v>6.3134046274685423</v>
      </c>
      <c r="I91" s="107">
        <f>tbl_model!X92</f>
        <v>6.6113192497549917</v>
      </c>
      <c r="K91" s="105">
        <f t="shared" si="23"/>
        <v>2.8397050108736721E-2</v>
      </c>
      <c r="L91" s="20">
        <f t="shared" si="23"/>
        <v>5.6225154309962111E-2</v>
      </c>
      <c r="M91" s="20">
        <f t="shared" si="23"/>
        <v>3.0851888271693495E-2</v>
      </c>
      <c r="N91" s="20">
        <f t="shared" si="23"/>
        <v>3.7211314056162736E-2</v>
      </c>
      <c r="O91" s="20">
        <f t="shared" si="23"/>
        <v>4.4153665631539329E-2</v>
      </c>
      <c r="P91" s="20">
        <f t="shared" si="23"/>
        <v>4.7187633276390084E-2</v>
      </c>
      <c r="R91" s="46">
        <v>5.2061702026573622</v>
      </c>
      <c r="S91" s="46">
        <v>5.3540100787768354</v>
      </c>
      <c r="T91" s="107">
        <v>5.5841442824209757</v>
      </c>
      <c r="U91" s="107">
        <v>5.7333489304157119</v>
      </c>
      <c r="V91" s="107">
        <v>5.9517349411055189</v>
      </c>
      <c r="W91" s="107">
        <v>6.2083662739394203</v>
      </c>
      <c r="X91" s="107">
        <v>6.4852252741274521</v>
      </c>
      <c r="Z91" s="105">
        <f t="shared" si="24"/>
        <v>2.8397050108736721E-2</v>
      </c>
      <c r="AA91" s="20">
        <f t="shared" si="24"/>
        <v>4.2983520811136877E-2</v>
      </c>
      <c r="AB91" s="20">
        <f t="shared" si="24"/>
        <v>2.6719339696224642E-2</v>
      </c>
      <c r="AC91" s="20">
        <f t="shared" si="24"/>
        <v>3.8090479637696184E-2</v>
      </c>
      <c r="AD91" s="20">
        <f t="shared" si="24"/>
        <v>4.3118743588778319E-2</v>
      </c>
      <c r="AE91" s="20">
        <f t="shared" si="24"/>
        <v>4.4594501672717168E-2</v>
      </c>
      <c r="AG91" s="46">
        <f t="shared" si="25"/>
        <v>0</v>
      </c>
      <c r="AH91" s="46">
        <f t="shared" si="25"/>
        <v>0</v>
      </c>
      <c r="AI91" s="107">
        <f t="shared" si="25"/>
        <v>7.0895839212179901E-2</v>
      </c>
      <c r="AJ91" s="107">
        <f t="shared" si="25"/>
        <v>9.6159857222014367E-2</v>
      </c>
      <c r="AK91" s="107">
        <f t="shared" si="25"/>
        <v>9.4697528822154986E-2</v>
      </c>
      <c r="AL91" s="107">
        <f t="shared" si="25"/>
        <v>0.10503835352912194</v>
      </c>
      <c r="AM91" s="107">
        <f t="shared" si="25"/>
        <v>0.12609397562753966</v>
      </c>
      <c r="AO91" s="20">
        <f t="shared" si="26"/>
        <v>0</v>
      </c>
      <c r="AP91" s="20">
        <f t="shared" si="26"/>
        <v>0</v>
      </c>
      <c r="AQ91" s="20">
        <f t="shared" si="26"/>
        <v>1.2695918233230685E-2</v>
      </c>
      <c r="AR91" s="20">
        <f t="shared" si="26"/>
        <v>1.6772022493150684E-2</v>
      </c>
      <c r="AS91" s="20">
        <f t="shared" si="26"/>
        <v>1.5910911651681348E-2</v>
      </c>
      <c r="AT91" s="20">
        <f t="shared" si="26"/>
        <v>1.6918839658355278E-2</v>
      </c>
      <c r="AU91" s="20">
        <f t="shared" si="26"/>
        <v>1.9443268398182889E-2</v>
      </c>
    </row>
    <row r="92" spans="2:47" x14ac:dyDescent="0.15">
      <c r="B92" s="55" t="s">
        <v>41</v>
      </c>
      <c r="C92" s="46">
        <f>tbl_model!R93</f>
        <v>62.853250740351953</v>
      </c>
      <c r="D92" s="46">
        <f>tbl_model!S93</f>
        <v>64.542911025621521</v>
      </c>
      <c r="E92" s="107">
        <f>tbl_model!T93</f>
        <v>67.879455998106579</v>
      </c>
      <c r="F92" s="107">
        <f>tbl_model!U93</f>
        <v>69.918657586123416</v>
      </c>
      <c r="G92" s="107">
        <f>tbl_model!V93</f>
        <v>72.691658806601055</v>
      </c>
      <c r="H92" s="107">
        <f>tbl_model!W93</f>
        <v>75.827015395400579</v>
      </c>
      <c r="I92" s="107">
        <f>tbl_model!X93</f>
        <v>79.357582935845471</v>
      </c>
      <c r="K92" s="20">
        <f t="shared" si="23"/>
        <v>2.6882623656962368E-2</v>
      </c>
      <c r="L92" s="20">
        <f t="shared" si="23"/>
        <v>5.169498740397005E-2</v>
      </c>
      <c r="M92" s="20">
        <f t="shared" si="23"/>
        <v>3.0041513415689725E-2</v>
      </c>
      <c r="N92" s="20">
        <f t="shared" si="23"/>
        <v>3.9660389890380232E-2</v>
      </c>
      <c r="O92" s="20">
        <f t="shared" si="23"/>
        <v>4.3132274600325982E-2</v>
      </c>
      <c r="P92" s="20">
        <f t="shared" si="23"/>
        <v>4.6560813742103857E-2</v>
      </c>
      <c r="R92" s="46">
        <v>62.853250740351953</v>
      </c>
      <c r="S92" s="46">
        <v>64.542911025621521</v>
      </c>
      <c r="T92" s="107">
        <v>67.95479579857772</v>
      </c>
      <c r="U92" s="107">
        <v>69.928717172847357</v>
      </c>
      <c r="V92" s="107">
        <v>72.703010090984947</v>
      </c>
      <c r="W92" s="107">
        <v>75.755908266689858</v>
      </c>
      <c r="X92" s="107">
        <v>79.04867134798485</v>
      </c>
      <c r="Z92" s="20">
        <f t="shared" si="24"/>
        <v>2.6882623656962368E-2</v>
      </c>
      <c r="AA92" s="20">
        <f t="shared" si="24"/>
        <v>5.2862269747978807E-2</v>
      </c>
      <c r="AB92" s="20">
        <f t="shared" si="24"/>
        <v>2.9047565386267404E-2</v>
      </c>
      <c r="AC92" s="20">
        <f t="shared" si="24"/>
        <v>3.9673156183892111E-2</v>
      </c>
      <c r="AD92" s="20">
        <f t="shared" si="24"/>
        <v>4.1991358705565585E-2</v>
      </c>
      <c r="AE92" s="20">
        <f t="shared" si="24"/>
        <v>4.3465429385430854E-2</v>
      </c>
      <c r="AG92" s="46">
        <f t="shared" si="25"/>
        <v>0</v>
      </c>
      <c r="AH92" s="46">
        <f t="shared" si="25"/>
        <v>0</v>
      </c>
      <c r="AI92" s="107">
        <f t="shared" si="25"/>
        <v>-7.5339800471141416E-2</v>
      </c>
      <c r="AJ92" s="107">
        <f t="shared" si="25"/>
        <v>-1.0059586723940583E-2</v>
      </c>
      <c r="AK92" s="107">
        <f t="shared" si="25"/>
        <v>-1.135128438389188E-2</v>
      </c>
      <c r="AL92" s="107">
        <f t="shared" si="25"/>
        <v>7.1107128710721668E-2</v>
      </c>
      <c r="AM92" s="107">
        <f t="shared" si="25"/>
        <v>0.30891158786062078</v>
      </c>
      <c r="AO92" s="20">
        <f t="shared" si="26"/>
        <v>0</v>
      </c>
      <c r="AP92" s="20">
        <f t="shared" si="26"/>
        <v>0</v>
      </c>
      <c r="AQ92" s="20">
        <f t="shared" si="26"/>
        <v>-1.1086752536856315E-3</v>
      </c>
      <c r="AR92" s="20">
        <f t="shared" si="26"/>
        <v>-1.4385487294266142E-4</v>
      </c>
      <c r="AS92" s="20">
        <f t="shared" si="26"/>
        <v>-1.5613224775268275E-4</v>
      </c>
      <c r="AT92" s="20">
        <f t="shared" si="26"/>
        <v>9.3863475915823003E-4</v>
      </c>
      <c r="AU92" s="20">
        <f t="shared" si="26"/>
        <v>3.9078656553346303E-3</v>
      </c>
    </row>
    <row r="93" spans="2:47" ht="4" customHeight="1" x14ac:dyDescent="0.15">
      <c r="B93" s="50"/>
      <c r="C93" s="50"/>
      <c r="D93" s="50"/>
      <c r="E93" s="67"/>
      <c r="F93" s="67"/>
      <c r="G93" s="67"/>
      <c r="H93" s="67"/>
      <c r="I93" s="67"/>
      <c r="K93" s="50"/>
      <c r="L93" s="50"/>
      <c r="M93" s="50"/>
      <c r="N93" s="50"/>
      <c r="O93" s="50"/>
      <c r="P93" s="50"/>
      <c r="Q93" s="50"/>
      <c r="R93" s="50"/>
      <c r="S93" s="50"/>
      <c r="T93" s="67"/>
      <c r="U93" s="67"/>
      <c r="V93" s="67"/>
      <c r="W93" s="67"/>
      <c r="X93" s="67"/>
      <c r="Z93" s="50"/>
      <c r="AA93" s="50"/>
      <c r="AB93" s="50"/>
      <c r="AC93" s="50"/>
      <c r="AD93" s="50"/>
      <c r="AE93" s="50"/>
      <c r="AG93" s="50"/>
      <c r="AH93" s="50"/>
      <c r="AI93" s="67"/>
      <c r="AJ93" s="67"/>
      <c r="AK93" s="67"/>
      <c r="AL93" s="67"/>
      <c r="AM93" s="67"/>
      <c r="AO93" s="50"/>
      <c r="AP93" s="50"/>
      <c r="AQ93" s="50"/>
      <c r="AR93" s="50"/>
      <c r="AS93" s="50"/>
      <c r="AT93" s="50"/>
      <c r="AU93" s="50"/>
    </row>
    <row r="95" spans="2:47" x14ac:dyDescent="0.15">
      <c r="C95" s="68"/>
      <c r="D95" s="68"/>
      <c r="E95" s="68"/>
      <c r="F95" s="68"/>
      <c r="G95" s="68"/>
      <c r="H95" s="68"/>
      <c r="I95" s="68"/>
      <c r="R95" s="68"/>
      <c r="S95" s="68"/>
      <c r="T95" s="68"/>
      <c r="U95" s="68"/>
      <c r="V95" s="68"/>
      <c r="W95" s="68"/>
      <c r="X95" s="68"/>
      <c r="AG95" s="68"/>
      <c r="AH95" s="68"/>
      <c r="AI95" s="68"/>
      <c r="AJ95" s="68"/>
      <c r="AK95" s="68"/>
      <c r="AL95" s="68"/>
      <c r="AM95" s="68"/>
      <c r="AO95" s="68"/>
      <c r="AP95" s="68"/>
      <c r="AQ95" s="68"/>
      <c r="AR95" s="68"/>
      <c r="AS95" s="68"/>
      <c r="AT95" s="68"/>
      <c r="AU95" s="68"/>
    </row>
    <row r="96" spans="2:47" x14ac:dyDescent="0.15">
      <c r="C96" s="21"/>
      <c r="D96" s="21"/>
      <c r="E96" s="21"/>
      <c r="F96" s="21"/>
      <c r="G96" s="21"/>
      <c r="H96" s="21"/>
      <c r="I96" s="21"/>
      <c r="R96" s="21"/>
      <c r="S96" s="21"/>
      <c r="T96" s="21"/>
      <c r="U96" s="21"/>
      <c r="V96" s="21"/>
      <c r="W96" s="21"/>
      <c r="X96" s="21"/>
      <c r="AG96" s="21"/>
      <c r="AH96" s="21"/>
      <c r="AI96" s="21"/>
      <c r="AJ96" s="21"/>
      <c r="AK96" s="21"/>
      <c r="AL96" s="21"/>
      <c r="AM96" s="21"/>
      <c r="AO96" s="21"/>
      <c r="AP96" s="21"/>
      <c r="AQ96" s="21"/>
      <c r="AR96" s="21"/>
      <c r="AS96" s="21"/>
      <c r="AT96" s="21"/>
      <c r="AU96" s="21"/>
    </row>
    <row r="97" spans="2:47" x14ac:dyDescent="0.15">
      <c r="C97" s="21"/>
      <c r="D97" s="21"/>
      <c r="E97" s="21"/>
      <c r="F97" s="21"/>
      <c r="G97" s="21"/>
      <c r="H97" s="21"/>
      <c r="I97" s="21"/>
      <c r="R97" s="21"/>
      <c r="S97" s="21"/>
      <c r="T97" s="21"/>
      <c r="U97" s="21"/>
      <c r="V97" s="21"/>
      <c r="W97" s="21"/>
      <c r="X97" s="21"/>
      <c r="AG97" s="21"/>
      <c r="AH97" s="21"/>
      <c r="AI97" s="21"/>
      <c r="AJ97" s="21"/>
      <c r="AK97" s="21"/>
      <c r="AL97" s="21"/>
      <c r="AM97" s="21"/>
      <c r="AO97" s="21"/>
      <c r="AP97" s="21"/>
      <c r="AQ97" s="21"/>
      <c r="AR97" s="21"/>
      <c r="AS97" s="21"/>
      <c r="AT97" s="21"/>
      <c r="AU97" s="21"/>
    </row>
    <row r="98" spans="2:47" x14ac:dyDescent="0.15">
      <c r="C98" s="21"/>
      <c r="D98" s="21"/>
      <c r="E98" s="21"/>
      <c r="F98" s="21"/>
      <c r="G98" s="21"/>
      <c r="H98" s="21"/>
      <c r="I98" s="21"/>
      <c r="R98" s="21"/>
      <c r="S98" s="21"/>
      <c r="T98" s="21"/>
      <c r="U98" s="21"/>
      <c r="V98" s="21"/>
      <c r="W98" s="21"/>
      <c r="X98" s="21"/>
      <c r="AG98" s="21"/>
      <c r="AH98" s="21"/>
      <c r="AI98" s="21"/>
      <c r="AJ98" s="21"/>
      <c r="AK98" s="21"/>
      <c r="AL98" s="21"/>
      <c r="AM98" s="21"/>
      <c r="AO98" s="21"/>
      <c r="AP98" s="21"/>
      <c r="AQ98" s="21"/>
      <c r="AR98" s="21"/>
      <c r="AS98" s="21"/>
      <c r="AT98" s="21"/>
      <c r="AU98" s="21"/>
    </row>
    <row r="99" spans="2:47" ht="16" x14ac:dyDescent="0.2">
      <c r="B99" s="8" t="s">
        <v>48</v>
      </c>
      <c r="C99" s="8"/>
      <c r="D99" s="8"/>
      <c r="E99" s="8"/>
      <c r="F99" s="8"/>
      <c r="G99" s="8"/>
      <c r="H99" s="8"/>
      <c r="I99" s="8"/>
      <c r="T99" s="8"/>
      <c r="U99" s="8"/>
      <c r="V99" s="8"/>
      <c r="W99" s="8"/>
      <c r="X99" s="8"/>
      <c r="AI99" s="8"/>
      <c r="AJ99" s="8"/>
      <c r="AK99" s="8"/>
      <c r="AL99" s="8"/>
      <c r="AM99" s="8"/>
      <c r="AQ99" s="8"/>
      <c r="AR99" s="8"/>
      <c r="AS99" s="8"/>
      <c r="AT99" s="8"/>
      <c r="AU99" s="8"/>
    </row>
    <row r="100" spans="2:47" ht="10.5" customHeight="1" x14ac:dyDescent="0.2">
      <c r="B100" s="4"/>
      <c r="C100" s="6"/>
      <c r="D100" s="7"/>
      <c r="R100" s="6"/>
      <c r="S100" s="7"/>
      <c r="AG100" s="6"/>
      <c r="AH100" s="7"/>
      <c r="AO100" s="6"/>
      <c r="AP100" s="7"/>
    </row>
    <row r="101" spans="2:47" x14ac:dyDescent="0.15">
      <c r="C101" s="9">
        <v>2024</v>
      </c>
      <c r="D101" s="9">
        <v>2025</v>
      </c>
      <c r="E101" s="10">
        <v>2026</v>
      </c>
      <c r="F101" s="10">
        <v>2027</v>
      </c>
      <c r="G101" s="10">
        <v>2028</v>
      </c>
      <c r="H101" s="10">
        <v>2029</v>
      </c>
      <c r="I101" s="10">
        <v>2030</v>
      </c>
      <c r="K101" s="9">
        <v>2025</v>
      </c>
      <c r="L101" s="9">
        <v>2026</v>
      </c>
      <c r="M101" s="9">
        <v>2027</v>
      </c>
      <c r="N101" s="9">
        <v>2028</v>
      </c>
      <c r="O101" s="9">
        <v>2029</v>
      </c>
      <c r="P101" s="9">
        <v>2030</v>
      </c>
      <c r="Q101" s="9"/>
      <c r="R101" s="9">
        <v>2024</v>
      </c>
      <c r="S101" s="9">
        <v>2025</v>
      </c>
      <c r="T101" s="10">
        <v>2026</v>
      </c>
      <c r="U101" s="10">
        <v>2027</v>
      </c>
      <c r="V101" s="10">
        <v>2028</v>
      </c>
      <c r="W101" s="10">
        <v>2029</v>
      </c>
      <c r="X101" s="10">
        <v>2030</v>
      </c>
      <c r="Z101" s="9">
        <v>2025</v>
      </c>
      <c r="AA101" s="9">
        <v>2026</v>
      </c>
      <c r="AB101" s="9">
        <v>2027</v>
      </c>
      <c r="AC101" s="9">
        <v>2028</v>
      </c>
      <c r="AD101" s="9">
        <v>2029</v>
      </c>
      <c r="AE101" s="9">
        <v>2030</v>
      </c>
      <c r="AG101" s="9">
        <v>2024</v>
      </c>
      <c r="AH101" s="9">
        <v>2025</v>
      </c>
      <c r="AI101" s="10">
        <v>2026</v>
      </c>
      <c r="AJ101" s="10">
        <v>2027</v>
      </c>
      <c r="AK101" s="10">
        <v>2028</v>
      </c>
      <c r="AL101" s="10">
        <v>2029</v>
      </c>
      <c r="AM101" s="10">
        <v>2030</v>
      </c>
      <c r="AO101" s="9">
        <v>2024</v>
      </c>
      <c r="AP101" s="9">
        <v>2025</v>
      </c>
      <c r="AQ101" s="9">
        <v>2026</v>
      </c>
      <c r="AR101" s="9">
        <v>2027</v>
      </c>
      <c r="AS101" s="9">
        <v>2028</v>
      </c>
      <c r="AT101" s="9">
        <v>2029</v>
      </c>
      <c r="AU101" s="9">
        <v>2030</v>
      </c>
    </row>
    <row r="102" spans="2:47" ht="4" customHeight="1" x14ac:dyDescent="0.15">
      <c r="E102" s="11"/>
      <c r="F102" s="11"/>
      <c r="G102" s="11"/>
      <c r="H102" s="11"/>
      <c r="I102" s="11"/>
      <c r="T102" s="11"/>
      <c r="U102" s="11"/>
      <c r="V102" s="11"/>
      <c r="W102" s="11"/>
      <c r="X102" s="11"/>
      <c r="AI102" s="11"/>
      <c r="AJ102" s="11"/>
      <c r="AK102" s="11"/>
      <c r="AL102" s="11"/>
      <c r="AM102" s="11"/>
    </row>
    <row r="103" spans="2:47" x14ac:dyDescent="0.15">
      <c r="B103" s="12" t="s">
        <v>9</v>
      </c>
      <c r="C103" s="69">
        <f>tbl_model!R104</f>
        <v>16516.406333414267</v>
      </c>
      <c r="D103" s="69">
        <f>tbl_model!S104</f>
        <v>16407.088882773925</v>
      </c>
      <c r="E103" s="70">
        <f>tbl_model!T104</f>
        <v>16795.060655459092</v>
      </c>
      <c r="F103" s="70">
        <f>tbl_model!U104</f>
        <v>17292.424458729773</v>
      </c>
      <c r="G103" s="70">
        <f>tbl_model!V104</f>
        <v>17964.969131947935</v>
      </c>
      <c r="H103" s="70">
        <f>tbl_model!W104</f>
        <v>18763.757324107668</v>
      </c>
      <c r="I103" s="70">
        <f>tbl_model!X104</f>
        <v>19548.257312444344</v>
      </c>
      <c r="K103" s="15">
        <f t="shared" ref="K103:P125" si="27">D103/C103-1</f>
        <v>-6.6187188928127361E-3</v>
      </c>
      <c r="L103" s="15">
        <f t="shared" si="27"/>
        <v>2.3646594192130221E-2</v>
      </c>
      <c r="M103" s="15">
        <f t="shared" si="27"/>
        <v>2.961369497102817E-2</v>
      </c>
      <c r="N103" s="15">
        <f t="shared" si="27"/>
        <v>3.8892445349306692E-2</v>
      </c>
      <c r="O103" s="15">
        <f t="shared" si="27"/>
        <v>4.4463655144233449E-2</v>
      </c>
      <c r="P103" s="15">
        <f t="shared" si="27"/>
        <v>4.1809322876327659E-2</v>
      </c>
      <c r="Q103" s="15"/>
      <c r="R103" s="69">
        <v>16516.406333414267</v>
      </c>
      <c r="S103" s="69">
        <v>16407.088882773925</v>
      </c>
      <c r="T103" s="70">
        <v>16804.191834137695</v>
      </c>
      <c r="U103" s="70">
        <v>17456.357670208839</v>
      </c>
      <c r="V103" s="70">
        <v>18186.821386785443</v>
      </c>
      <c r="W103" s="70">
        <v>18917.027920149518</v>
      </c>
      <c r="X103" s="70">
        <v>19651.401010210706</v>
      </c>
      <c r="Z103" s="15">
        <f t="shared" ref="Z103:AE103" si="28">S103/R103-1</f>
        <v>-6.6187188928127361E-3</v>
      </c>
      <c r="AA103" s="15">
        <f t="shared" si="28"/>
        <v>2.4203132816614126E-2</v>
      </c>
      <c r="AB103" s="15">
        <f t="shared" si="28"/>
        <v>3.8809711440348504E-2</v>
      </c>
      <c r="AC103" s="15">
        <f t="shared" si="28"/>
        <v>4.1845139196661885E-2</v>
      </c>
      <c r="AD103" s="15">
        <f t="shared" si="28"/>
        <v>4.0150310922096866E-2</v>
      </c>
      <c r="AE103" s="15">
        <f t="shared" si="28"/>
        <v>3.8820743573517058E-2</v>
      </c>
      <c r="AG103" s="69">
        <f t="shared" ref="AG103:AM125" si="29">C103-R103</f>
        <v>0</v>
      </c>
      <c r="AH103" s="69">
        <f t="shared" si="29"/>
        <v>0</v>
      </c>
      <c r="AI103" s="70">
        <f t="shared" si="29"/>
        <v>-9.1311786786027369</v>
      </c>
      <c r="AJ103" s="70">
        <f t="shared" si="29"/>
        <v>-163.93321147906681</v>
      </c>
      <c r="AK103" s="70">
        <f t="shared" si="29"/>
        <v>-221.85225483750764</v>
      </c>
      <c r="AL103" s="70">
        <f t="shared" si="29"/>
        <v>-153.27059604184979</v>
      </c>
      <c r="AM103" s="70">
        <f t="shared" si="29"/>
        <v>-103.14369776636158</v>
      </c>
      <c r="AO103" s="15">
        <f t="shared" ref="AO103:AU125" si="30">C103/R103-1</f>
        <v>0</v>
      </c>
      <c r="AP103" s="15">
        <f t="shared" si="30"/>
        <v>0</v>
      </c>
      <c r="AQ103" s="15">
        <f t="shared" si="30"/>
        <v>-5.4338695777400581E-4</v>
      </c>
      <c r="AR103" s="15">
        <f t="shared" si="30"/>
        <v>-9.3910318851243568E-3</v>
      </c>
      <c r="AS103" s="15">
        <f t="shared" si="30"/>
        <v>-1.2198517273541043E-2</v>
      </c>
      <c r="AT103" s="15">
        <f t="shared" si="30"/>
        <v>-8.1022556338563589E-3</v>
      </c>
      <c r="AU103" s="15">
        <f t="shared" si="30"/>
        <v>-5.2486689225246241E-3</v>
      </c>
    </row>
    <row r="104" spans="2:47" ht="4" customHeight="1" x14ac:dyDescent="0.15">
      <c r="C104" s="23"/>
      <c r="D104" s="23"/>
      <c r="E104" s="24"/>
      <c r="F104" s="24"/>
      <c r="G104" s="24"/>
      <c r="H104" s="24"/>
      <c r="I104" s="24"/>
      <c r="K104" s="23"/>
      <c r="L104" s="23"/>
      <c r="M104" s="23"/>
      <c r="N104" s="23"/>
      <c r="O104" s="23"/>
      <c r="P104" s="23"/>
      <c r="Q104" s="23"/>
      <c r="R104" s="23"/>
      <c r="S104" s="23"/>
      <c r="T104" s="24"/>
      <c r="U104" s="24"/>
      <c r="V104" s="24"/>
      <c r="W104" s="24"/>
      <c r="X104" s="24"/>
      <c r="Z104" s="23"/>
      <c r="AA104" s="23"/>
      <c r="AB104" s="23"/>
      <c r="AC104" s="23"/>
      <c r="AD104" s="23"/>
      <c r="AE104" s="23"/>
      <c r="AG104" s="23"/>
      <c r="AH104" s="23"/>
      <c r="AI104" s="24"/>
      <c r="AJ104" s="24"/>
      <c r="AK104" s="24"/>
      <c r="AL104" s="24"/>
      <c r="AM104" s="24"/>
      <c r="AO104" s="20"/>
      <c r="AP104" s="20"/>
      <c r="AQ104" s="20"/>
      <c r="AR104" s="20"/>
      <c r="AS104" s="20"/>
      <c r="AT104" s="20"/>
      <c r="AU104" s="20"/>
    </row>
    <row r="105" spans="2:47" x14ac:dyDescent="0.15">
      <c r="B105" s="27" t="s">
        <v>50</v>
      </c>
      <c r="C105" s="23">
        <f>tbl_model!R106</f>
        <v>647</v>
      </c>
      <c r="D105" s="23">
        <f>tbl_model!S106</f>
        <v>599</v>
      </c>
      <c r="E105" s="24">
        <f>tbl_model!T106</f>
        <v>610.26371183902302</v>
      </c>
      <c r="F105" s="24">
        <f>tbl_model!U106</f>
        <v>677.1236290349832</v>
      </c>
      <c r="G105" s="24">
        <f>tbl_model!V106</f>
        <v>757.67778296955748</v>
      </c>
      <c r="H105" s="24">
        <f>tbl_model!W106</f>
        <v>845.14511343956633</v>
      </c>
      <c r="I105" s="24">
        <f>tbl_model!X106</f>
        <v>934.59784022060387</v>
      </c>
      <c r="K105" s="20">
        <f t="shared" si="27"/>
        <v>-7.4188562596599672E-2</v>
      </c>
      <c r="L105" s="20">
        <f t="shared" si="27"/>
        <v>1.8804193387350621E-2</v>
      </c>
      <c r="M105" s="20">
        <f t="shared" si="27"/>
        <v>0.10955905766456042</v>
      </c>
      <c r="N105" s="20">
        <f t="shared" si="27"/>
        <v>0.11896520883398765</v>
      </c>
      <c r="O105" s="20">
        <f t="shared" si="27"/>
        <v>0.11544132933025852</v>
      </c>
      <c r="P105" s="20">
        <f t="shared" si="27"/>
        <v>0.10584303850138044</v>
      </c>
      <c r="Q105" s="20"/>
      <c r="R105" s="23">
        <v>647</v>
      </c>
      <c r="S105" s="23">
        <v>599</v>
      </c>
      <c r="T105" s="24">
        <v>622.28741599784962</v>
      </c>
      <c r="U105" s="24">
        <v>695.04319903613555</v>
      </c>
      <c r="V105" s="24">
        <v>769.4694723359321</v>
      </c>
      <c r="W105" s="24">
        <v>848.15492953469561</v>
      </c>
      <c r="X105" s="24">
        <v>939.46616611241927</v>
      </c>
      <c r="Z105" s="20">
        <f t="shared" ref="Z105:AE121" si="31">S105/R105-1</f>
        <v>-7.4188562596599672E-2</v>
      </c>
      <c r="AA105" s="20">
        <f t="shared" si="31"/>
        <v>3.8877155255174767E-2</v>
      </c>
      <c r="AB105" s="20">
        <f t="shared" si="31"/>
        <v>0.11691668699682878</v>
      </c>
      <c r="AC105" s="20">
        <f t="shared" si="31"/>
        <v>0.10708150716819986</v>
      </c>
      <c r="AD105" s="20">
        <f t="shared" si="31"/>
        <v>0.10225936184302742</v>
      </c>
      <c r="AE105" s="20">
        <f t="shared" si="31"/>
        <v>0.10765867578912469</v>
      </c>
      <c r="AG105" s="23">
        <f t="shared" si="29"/>
        <v>0</v>
      </c>
      <c r="AH105" s="23">
        <f t="shared" si="29"/>
        <v>0</v>
      </c>
      <c r="AI105" s="24">
        <f t="shared" si="29"/>
        <v>-12.023704158826604</v>
      </c>
      <c r="AJ105" s="24">
        <f t="shared" si="29"/>
        <v>-17.919570001152351</v>
      </c>
      <c r="AK105" s="24">
        <f t="shared" si="29"/>
        <v>-11.791689366374612</v>
      </c>
      <c r="AL105" s="24">
        <f t="shared" si="29"/>
        <v>-3.0098160951292812</v>
      </c>
      <c r="AM105" s="24">
        <f t="shared" si="29"/>
        <v>-4.8683258918154024</v>
      </c>
      <c r="AO105" s="20">
        <f t="shared" si="30"/>
        <v>0</v>
      </c>
      <c r="AP105" s="20">
        <f t="shared" si="30"/>
        <v>0</v>
      </c>
      <c r="AQ105" s="20">
        <f t="shared" si="30"/>
        <v>-1.9321785801415192E-2</v>
      </c>
      <c r="AR105" s="20">
        <f t="shared" si="30"/>
        <v>-2.5781951432662931E-2</v>
      </c>
      <c r="AS105" s="20">
        <f t="shared" si="30"/>
        <v>-1.5324440787205962E-2</v>
      </c>
      <c r="AT105" s="20">
        <f t="shared" si="30"/>
        <v>-3.5486630924617124E-3</v>
      </c>
      <c r="AU105" s="20">
        <f t="shared" si="30"/>
        <v>-5.1820130063447989E-3</v>
      </c>
    </row>
    <row r="106" spans="2:47" x14ac:dyDescent="0.15">
      <c r="B106" s="27" t="s">
        <v>51</v>
      </c>
      <c r="C106" s="23">
        <f>tbl_model!R107</f>
        <v>602</v>
      </c>
      <c r="D106" s="23">
        <f>tbl_model!S107</f>
        <v>666</v>
      </c>
      <c r="E106" s="24">
        <f>tbl_model!T107</f>
        <v>608.86141241210635</v>
      </c>
      <c r="F106" s="24">
        <f>tbl_model!U107</f>
        <v>631.68046053194735</v>
      </c>
      <c r="G106" s="24">
        <f>tbl_model!V107</f>
        <v>659.48598758911635</v>
      </c>
      <c r="H106" s="24">
        <f>tbl_model!W107</f>
        <v>688.37126321914991</v>
      </c>
      <c r="I106" s="24">
        <f>tbl_model!X107</f>
        <v>715.41630544523196</v>
      </c>
      <c r="K106" s="20">
        <f t="shared" si="27"/>
        <v>0.10631229235880402</v>
      </c>
      <c r="L106" s="20">
        <f t="shared" si="27"/>
        <v>-8.5793675056897389E-2</v>
      </c>
      <c r="M106" s="20">
        <f t="shared" si="27"/>
        <v>3.7478230110592037E-2</v>
      </c>
      <c r="N106" s="20">
        <f t="shared" si="27"/>
        <v>4.4018342808567423E-2</v>
      </c>
      <c r="O106" s="20">
        <f t="shared" si="27"/>
        <v>4.3799680620401737E-2</v>
      </c>
      <c r="P106" s="20">
        <f t="shared" si="27"/>
        <v>3.9288453297144699E-2</v>
      </c>
      <c r="Q106" s="20"/>
      <c r="R106" s="23">
        <v>602</v>
      </c>
      <c r="S106" s="23">
        <v>666</v>
      </c>
      <c r="T106" s="24">
        <v>642.5916058872341</v>
      </c>
      <c r="U106" s="24">
        <v>665.34554745163109</v>
      </c>
      <c r="V106" s="24">
        <v>692.35611302790755</v>
      </c>
      <c r="W106" s="24">
        <v>718.91672647945143</v>
      </c>
      <c r="X106" s="24">
        <v>744.56957631724674</v>
      </c>
      <c r="Z106" s="20">
        <f t="shared" si="31"/>
        <v>0.10631229235880402</v>
      </c>
      <c r="AA106" s="20">
        <f t="shared" si="31"/>
        <v>-3.5147738908056891E-2</v>
      </c>
      <c r="AB106" s="20">
        <f t="shared" si="31"/>
        <v>3.5409646431624919E-2</v>
      </c>
      <c r="AC106" s="20">
        <f t="shared" si="31"/>
        <v>4.0596297186823893E-2</v>
      </c>
      <c r="AD106" s="20">
        <f t="shared" si="31"/>
        <v>3.8362647417649498E-2</v>
      </c>
      <c r="AE106" s="20">
        <f t="shared" si="31"/>
        <v>3.5682644307662548E-2</v>
      </c>
      <c r="AG106" s="23">
        <f t="shared" si="29"/>
        <v>0</v>
      </c>
      <c r="AH106" s="23">
        <f t="shared" si="29"/>
        <v>0</v>
      </c>
      <c r="AI106" s="24">
        <f t="shared" si="29"/>
        <v>-33.730193475127749</v>
      </c>
      <c r="AJ106" s="24">
        <f t="shared" si="29"/>
        <v>-33.665086919683745</v>
      </c>
      <c r="AK106" s="24">
        <f t="shared" si="29"/>
        <v>-32.870125438791206</v>
      </c>
      <c r="AL106" s="24">
        <f t="shared" si="29"/>
        <v>-30.545463260301517</v>
      </c>
      <c r="AM106" s="24">
        <f t="shared" si="29"/>
        <v>-29.153270872014787</v>
      </c>
      <c r="AO106" s="20">
        <f t="shared" si="30"/>
        <v>0</v>
      </c>
      <c r="AP106" s="20">
        <f t="shared" si="30"/>
        <v>0</v>
      </c>
      <c r="AQ106" s="20">
        <f t="shared" si="30"/>
        <v>-5.249087159885335E-2</v>
      </c>
      <c r="AR106" s="20">
        <f t="shared" si="30"/>
        <v>-5.0597899164766091E-2</v>
      </c>
      <c r="AS106" s="20">
        <f t="shared" si="30"/>
        <v>-4.7475749574939163E-2</v>
      </c>
      <c r="AT106" s="20">
        <f t="shared" si="30"/>
        <v>-4.2488179973059204E-2</v>
      </c>
      <c r="AU106" s="20">
        <f t="shared" si="30"/>
        <v>-3.9154528736201177E-2</v>
      </c>
    </row>
    <row r="107" spans="2:47" x14ac:dyDescent="0.15">
      <c r="B107" s="27" t="s">
        <v>52</v>
      </c>
      <c r="C107" s="23">
        <f>tbl_model!R108</f>
        <v>377</v>
      </c>
      <c r="D107" s="23">
        <f>tbl_model!S108</f>
        <v>410</v>
      </c>
      <c r="E107" s="24">
        <f>tbl_model!T108</f>
        <v>448.09605042443968</v>
      </c>
      <c r="F107" s="24">
        <f>tbl_model!U108</f>
        <v>477.0193781934633</v>
      </c>
      <c r="G107" s="24">
        <f>tbl_model!V108</f>
        <v>512.15009792629508</v>
      </c>
      <c r="H107" s="24">
        <f>tbl_model!W108</f>
        <v>557.89985375813364</v>
      </c>
      <c r="I107" s="24">
        <f>tbl_model!X108</f>
        <v>610.41823321291429</v>
      </c>
      <c r="K107" s="20">
        <f t="shared" si="27"/>
        <v>8.7533156498673659E-2</v>
      </c>
      <c r="L107" s="20">
        <f t="shared" si="27"/>
        <v>9.2917196157169979E-2</v>
      </c>
      <c r="M107" s="20">
        <f t="shared" si="27"/>
        <v>6.4547160684918392E-2</v>
      </c>
      <c r="N107" s="20">
        <f t="shared" si="27"/>
        <v>7.364631572385294E-2</v>
      </c>
      <c r="O107" s="20">
        <f t="shared" si="27"/>
        <v>8.9328804225714542E-2</v>
      </c>
      <c r="P107" s="20">
        <f t="shared" si="27"/>
        <v>9.4135854492532145E-2</v>
      </c>
      <c r="Q107" s="20"/>
      <c r="R107" s="23">
        <v>377</v>
      </c>
      <c r="S107" s="23">
        <v>410</v>
      </c>
      <c r="T107" s="24">
        <v>418.97718268693131</v>
      </c>
      <c r="U107" s="24">
        <v>442.82346490875818</v>
      </c>
      <c r="V107" s="24">
        <v>479.77669446703595</v>
      </c>
      <c r="W107" s="24">
        <v>515.38739754440087</v>
      </c>
      <c r="X107" s="24">
        <v>560.10720790795142</v>
      </c>
      <c r="Z107" s="20">
        <f t="shared" si="31"/>
        <v>8.7533156498673659E-2</v>
      </c>
      <c r="AA107" s="20">
        <f t="shared" si="31"/>
        <v>2.1895567529100823E-2</v>
      </c>
      <c r="AB107" s="20">
        <f t="shared" si="31"/>
        <v>5.6915467493716232E-2</v>
      </c>
      <c r="AC107" s="20">
        <f t="shared" si="31"/>
        <v>8.3449122475684145E-2</v>
      </c>
      <c r="AD107" s="20">
        <f t="shared" si="31"/>
        <v>7.4223494988482797E-2</v>
      </c>
      <c r="AE107" s="20">
        <f t="shared" si="31"/>
        <v>8.6769312902529538E-2</v>
      </c>
      <c r="AG107" s="23">
        <f t="shared" si="29"/>
        <v>0</v>
      </c>
      <c r="AH107" s="23">
        <f t="shared" si="29"/>
        <v>0</v>
      </c>
      <c r="AI107" s="24">
        <f t="shared" si="29"/>
        <v>29.118867737508367</v>
      </c>
      <c r="AJ107" s="24">
        <f t="shared" si="29"/>
        <v>34.195913284705114</v>
      </c>
      <c r="AK107" s="24">
        <f t="shared" si="29"/>
        <v>32.373403459259123</v>
      </c>
      <c r="AL107" s="24">
        <f t="shared" si="29"/>
        <v>42.512456213732776</v>
      </c>
      <c r="AM107" s="24">
        <f t="shared" si="29"/>
        <v>50.311025304962868</v>
      </c>
      <c r="AO107" s="20">
        <f t="shared" si="30"/>
        <v>0</v>
      </c>
      <c r="AP107" s="20">
        <f t="shared" si="30"/>
        <v>0</v>
      </c>
      <c r="AQ107" s="20">
        <f t="shared" si="30"/>
        <v>6.9499889112736302E-2</v>
      </c>
      <c r="AR107" s="20">
        <f t="shared" si="30"/>
        <v>7.7222450919015806E-2</v>
      </c>
      <c r="AS107" s="20">
        <f t="shared" si="30"/>
        <v>6.7475981706909272E-2</v>
      </c>
      <c r="AT107" s="20">
        <f t="shared" si="30"/>
        <v>8.2486410060250481E-2</v>
      </c>
      <c r="AU107" s="20">
        <f t="shared" si="30"/>
        <v>8.9823920482792641E-2</v>
      </c>
    </row>
    <row r="108" spans="2:47" x14ac:dyDescent="0.15">
      <c r="B108" s="27" t="s">
        <v>53</v>
      </c>
      <c r="C108" s="23">
        <f>tbl_model!R109</f>
        <v>435</v>
      </c>
      <c r="D108" s="23">
        <f>tbl_model!S109</f>
        <v>368</v>
      </c>
      <c r="E108" s="24">
        <f>tbl_model!T109</f>
        <v>324.02829631968137</v>
      </c>
      <c r="F108" s="24">
        <f>tbl_model!U109</f>
        <v>352.134753096883</v>
      </c>
      <c r="G108" s="24">
        <f>tbl_model!V109</f>
        <v>389.57537239598327</v>
      </c>
      <c r="H108" s="24">
        <f>tbl_model!W109</f>
        <v>439.68102872522684</v>
      </c>
      <c r="I108" s="24">
        <f>tbl_model!X109</f>
        <v>487.9951397819159</v>
      </c>
      <c r="K108" s="20">
        <f t="shared" si="27"/>
        <v>-0.15402298850574714</v>
      </c>
      <c r="L108" s="20">
        <f t="shared" si="27"/>
        <v>-0.11948832521825714</v>
      </c>
      <c r="M108" s="20">
        <f t="shared" si="27"/>
        <v>8.6740747942186669E-2</v>
      </c>
      <c r="N108" s="20">
        <f t="shared" si="27"/>
        <v>0.10632469237933817</v>
      </c>
      <c r="O108" s="20">
        <f t="shared" si="27"/>
        <v>0.12861607760542348</v>
      </c>
      <c r="P108" s="20">
        <f t="shared" si="27"/>
        <v>0.10988445691361037</v>
      </c>
      <c r="Q108" s="20"/>
      <c r="R108" s="23">
        <v>435</v>
      </c>
      <c r="S108" s="23">
        <v>368</v>
      </c>
      <c r="T108" s="24">
        <v>382.45981908034526</v>
      </c>
      <c r="U108" s="24">
        <v>422.84451529317465</v>
      </c>
      <c r="V108" s="24">
        <v>461.30699358247614</v>
      </c>
      <c r="W108" s="24">
        <v>501.430616501087</v>
      </c>
      <c r="X108" s="24">
        <v>542.06566290013814</v>
      </c>
      <c r="Z108" s="20">
        <f t="shared" si="31"/>
        <v>-0.15402298850574714</v>
      </c>
      <c r="AA108" s="20">
        <f t="shared" si="31"/>
        <v>3.9292986631372928E-2</v>
      </c>
      <c r="AB108" s="20">
        <f t="shared" si="31"/>
        <v>0.10559199737618874</v>
      </c>
      <c r="AC108" s="20">
        <f t="shared" si="31"/>
        <v>9.096127985161151E-2</v>
      </c>
      <c r="AD108" s="20">
        <f t="shared" si="31"/>
        <v>8.6978137068796091E-2</v>
      </c>
      <c r="AE108" s="20">
        <f t="shared" si="31"/>
        <v>8.1038223558419276E-2</v>
      </c>
      <c r="AG108" s="23">
        <f t="shared" si="29"/>
        <v>0</v>
      </c>
      <c r="AH108" s="23">
        <f t="shared" si="29"/>
        <v>0</v>
      </c>
      <c r="AI108" s="24">
        <f t="shared" si="29"/>
        <v>-58.431522760663881</v>
      </c>
      <c r="AJ108" s="24">
        <f t="shared" si="29"/>
        <v>-70.709762196291649</v>
      </c>
      <c r="AK108" s="24">
        <f t="shared" si="29"/>
        <v>-71.731621186492873</v>
      </c>
      <c r="AL108" s="24">
        <f t="shared" si="29"/>
        <v>-61.749587775860164</v>
      </c>
      <c r="AM108" s="24">
        <f t="shared" si="29"/>
        <v>-54.070523118222241</v>
      </c>
      <c r="AO108" s="20">
        <f t="shared" si="30"/>
        <v>0</v>
      </c>
      <c r="AP108" s="20">
        <f t="shared" si="30"/>
        <v>0</v>
      </c>
      <c r="AQ108" s="20">
        <f t="shared" si="30"/>
        <v>-0.15277820007646048</v>
      </c>
      <c r="AR108" s="20">
        <f t="shared" si="30"/>
        <v>-0.16722402594548447</v>
      </c>
      <c r="AS108" s="20">
        <f t="shared" si="30"/>
        <v>-0.15549649622571382</v>
      </c>
      <c r="AT108" s="20">
        <f t="shared" si="30"/>
        <v>-0.12314682379536412</v>
      </c>
      <c r="AU108" s="20">
        <f t="shared" si="30"/>
        <v>-9.9749028243066085E-2</v>
      </c>
    </row>
    <row r="109" spans="2:47" x14ac:dyDescent="0.15">
      <c r="B109" s="27" t="s">
        <v>54</v>
      </c>
      <c r="C109" s="23">
        <f>tbl_model!R110</f>
        <v>432</v>
      </c>
      <c r="D109" s="23">
        <f>tbl_model!S110</f>
        <v>410</v>
      </c>
      <c r="E109" s="24">
        <f>tbl_model!T110</f>
        <v>385.73260826022084</v>
      </c>
      <c r="F109" s="24">
        <f>tbl_model!U110</f>
        <v>402.45000050199758</v>
      </c>
      <c r="G109" s="24">
        <f>tbl_model!V110</f>
        <v>425.68227957853867</v>
      </c>
      <c r="H109" s="24">
        <f>tbl_model!W110</f>
        <v>464.17295035370887</v>
      </c>
      <c r="I109" s="24">
        <f>tbl_model!X110</f>
        <v>501.0932350445741</v>
      </c>
      <c r="K109" s="20">
        <f t="shared" si="27"/>
        <v>-5.092592592592593E-2</v>
      </c>
      <c r="L109" s="20">
        <f t="shared" si="27"/>
        <v>-5.9188760340924795E-2</v>
      </c>
      <c r="M109" s="20">
        <f t="shared" si="27"/>
        <v>4.3339328549840683E-2</v>
      </c>
      <c r="N109" s="20">
        <f t="shared" si="27"/>
        <v>5.7727119014939099E-2</v>
      </c>
      <c r="O109" s="20">
        <f t="shared" si="27"/>
        <v>9.0421125383183032E-2</v>
      </c>
      <c r="P109" s="20">
        <f t="shared" si="27"/>
        <v>7.9539931533561425E-2</v>
      </c>
      <c r="Q109" s="20"/>
      <c r="R109" s="23">
        <v>432</v>
      </c>
      <c r="S109" s="23">
        <v>410</v>
      </c>
      <c r="T109" s="24">
        <v>416.76380024411367</v>
      </c>
      <c r="U109" s="24">
        <v>435.90349306779899</v>
      </c>
      <c r="V109" s="24">
        <v>462.22539041488881</v>
      </c>
      <c r="W109" s="24">
        <v>499.90432262119617</v>
      </c>
      <c r="X109" s="24">
        <v>537.86696897201045</v>
      </c>
      <c r="Z109" s="20">
        <f t="shared" si="31"/>
        <v>-5.092592592592593E-2</v>
      </c>
      <c r="AA109" s="20">
        <f t="shared" si="31"/>
        <v>1.6497073766130965E-2</v>
      </c>
      <c r="AB109" s="20">
        <f t="shared" si="31"/>
        <v>4.5924556817253492E-2</v>
      </c>
      <c r="AC109" s="20">
        <f t="shared" si="31"/>
        <v>6.0384690110743877E-2</v>
      </c>
      <c r="AD109" s="20">
        <f t="shared" si="31"/>
        <v>8.1516361904063972E-2</v>
      </c>
      <c r="AE109" s="20">
        <f t="shared" si="31"/>
        <v>7.5939824148271162E-2</v>
      </c>
      <c r="AG109" s="23">
        <f t="shared" si="29"/>
        <v>0</v>
      </c>
      <c r="AH109" s="23">
        <f t="shared" si="29"/>
        <v>0</v>
      </c>
      <c r="AI109" s="24">
        <f t="shared" si="29"/>
        <v>-31.031191983892825</v>
      </c>
      <c r="AJ109" s="24">
        <f t="shared" si="29"/>
        <v>-33.453492565801412</v>
      </c>
      <c r="AK109" s="24">
        <f t="shared" si="29"/>
        <v>-36.543110836350138</v>
      </c>
      <c r="AL109" s="24">
        <f t="shared" si="29"/>
        <v>-35.731372267487302</v>
      </c>
      <c r="AM109" s="24">
        <f t="shared" si="29"/>
        <v>-36.773733927436353</v>
      </c>
      <c r="AO109" s="20">
        <f t="shared" si="30"/>
        <v>0</v>
      </c>
      <c r="AP109" s="20">
        <f t="shared" si="30"/>
        <v>0</v>
      </c>
      <c r="AQ109" s="20">
        <f t="shared" si="30"/>
        <v>-7.4457503184577778E-2</v>
      </c>
      <c r="AR109" s="20">
        <f t="shared" si="30"/>
        <v>-7.6745181210553293E-2</v>
      </c>
      <c r="AS109" s="20">
        <f t="shared" si="30"/>
        <v>-7.905907289850389E-2</v>
      </c>
      <c r="AT109" s="20">
        <f t="shared" si="30"/>
        <v>-7.1476421888359676E-2</v>
      </c>
      <c r="AU109" s="20">
        <f t="shared" si="30"/>
        <v>-6.8369571006971386E-2</v>
      </c>
    </row>
    <row r="110" spans="2:47" x14ac:dyDescent="0.15">
      <c r="B110" s="27" t="s">
        <v>55</v>
      </c>
      <c r="C110" s="23">
        <f>tbl_model!R111</f>
        <v>630</v>
      </c>
      <c r="D110" s="23">
        <f>tbl_model!S111</f>
        <v>599</v>
      </c>
      <c r="E110" s="24">
        <f>tbl_model!T111</f>
        <v>608.99879744807947</v>
      </c>
      <c r="F110" s="24">
        <f>tbl_model!U111</f>
        <v>630.91673723300448</v>
      </c>
      <c r="G110" s="24">
        <f>tbl_model!V111</f>
        <v>664.10522692773986</v>
      </c>
      <c r="H110" s="24">
        <f>tbl_model!W111</f>
        <v>707.45062886262599</v>
      </c>
      <c r="I110" s="24">
        <f>tbl_model!X111</f>
        <v>748.2940059878714</v>
      </c>
      <c r="K110" s="20">
        <f t="shared" si="27"/>
        <v>-4.9206349206349254E-2</v>
      </c>
      <c r="L110" s="20">
        <f t="shared" si="27"/>
        <v>1.6692483218830434E-2</v>
      </c>
      <c r="M110" s="20">
        <f t="shared" si="27"/>
        <v>3.5990119975226387E-2</v>
      </c>
      <c r="N110" s="20">
        <f t="shared" si="27"/>
        <v>5.2603596855409718E-2</v>
      </c>
      <c r="O110" s="20">
        <f t="shared" si="27"/>
        <v>6.5268876342698068E-2</v>
      </c>
      <c r="P110" s="20">
        <f t="shared" si="27"/>
        <v>5.7733183714755665E-2</v>
      </c>
      <c r="Q110" s="20"/>
      <c r="R110" s="23">
        <v>630</v>
      </c>
      <c r="S110" s="23">
        <v>599</v>
      </c>
      <c r="T110" s="24">
        <v>612.5898571506018</v>
      </c>
      <c r="U110" s="24">
        <v>641.0815960994255</v>
      </c>
      <c r="V110" s="24">
        <v>674.24862419607246</v>
      </c>
      <c r="W110" s="24">
        <v>714.89425547755638</v>
      </c>
      <c r="X110" s="24">
        <v>752.70120800405971</v>
      </c>
      <c r="Z110" s="20">
        <f t="shared" si="31"/>
        <v>-4.9206349206349254E-2</v>
      </c>
      <c r="AA110" s="20">
        <f t="shared" si="31"/>
        <v>2.2687574541906175E-2</v>
      </c>
      <c r="AB110" s="20">
        <f t="shared" si="31"/>
        <v>4.65103014949515E-2</v>
      </c>
      <c r="AC110" s="20">
        <f t="shared" si="31"/>
        <v>5.17360477955493E-2</v>
      </c>
      <c r="AD110" s="20">
        <f t="shared" si="31"/>
        <v>6.0282853865585517E-2</v>
      </c>
      <c r="AE110" s="20">
        <f t="shared" si="31"/>
        <v>5.2884678030106658E-2</v>
      </c>
      <c r="AG110" s="23">
        <f t="shared" si="29"/>
        <v>0</v>
      </c>
      <c r="AH110" s="23">
        <f t="shared" si="29"/>
        <v>0</v>
      </c>
      <c r="AI110" s="24">
        <f t="shared" si="29"/>
        <v>-3.5910597025223296</v>
      </c>
      <c r="AJ110" s="24">
        <f t="shared" si="29"/>
        <v>-10.164858866421014</v>
      </c>
      <c r="AK110" s="24">
        <f t="shared" si="29"/>
        <v>-10.143397268332592</v>
      </c>
      <c r="AL110" s="24">
        <f t="shared" si="29"/>
        <v>-7.4436266149303947</v>
      </c>
      <c r="AM110" s="24">
        <f t="shared" si="29"/>
        <v>-4.4072020161883074</v>
      </c>
      <c r="AO110" s="20">
        <f t="shared" si="30"/>
        <v>0</v>
      </c>
      <c r="AP110" s="20">
        <f t="shared" si="30"/>
        <v>0</v>
      </c>
      <c r="AQ110" s="20">
        <f t="shared" si="30"/>
        <v>-5.8620946145366837E-3</v>
      </c>
      <c r="AR110" s="20">
        <f t="shared" si="30"/>
        <v>-1.5855795780549187E-2</v>
      </c>
      <c r="AS110" s="20">
        <f t="shared" si="30"/>
        <v>-1.5044001432597431E-2</v>
      </c>
      <c r="AT110" s="20">
        <f t="shared" si="30"/>
        <v>-1.0412206501726584E-2</v>
      </c>
      <c r="AU110" s="20">
        <f t="shared" si="30"/>
        <v>-5.8551812715631479E-3</v>
      </c>
    </row>
    <row r="111" spans="2:47" x14ac:dyDescent="0.15">
      <c r="B111" s="27" t="s">
        <v>56</v>
      </c>
      <c r="C111" s="23">
        <f>tbl_model!R112</f>
        <v>426</v>
      </c>
      <c r="D111" s="23">
        <f>tbl_model!S112</f>
        <v>384</v>
      </c>
      <c r="E111" s="24">
        <f>tbl_model!T112</f>
        <v>348.87323386682186</v>
      </c>
      <c r="F111" s="24">
        <f>tbl_model!U112</f>
        <v>361.64331736039003</v>
      </c>
      <c r="G111" s="24">
        <f>tbl_model!V112</f>
        <v>376.95728358634432</v>
      </c>
      <c r="H111" s="24">
        <f>tbl_model!W112</f>
        <v>402.70382397863835</v>
      </c>
      <c r="I111" s="24">
        <f>tbl_model!X112</f>
        <v>426.52984487716549</v>
      </c>
      <c r="K111" s="20">
        <f t="shared" si="27"/>
        <v>-9.8591549295774628E-2</v>
      </c>
      <c r="L111" s="20">
        <f t="shared" si="27"/>
        <v>-9.1475953471818028E-2</v>
      </c>
      <c r="M111" s="20">
        <f t="shared" si="27"/>
        <v>3.660379259259261E-2</v>
      </c>
      <c r="N111" s="20">
        <f t="shared" si="27"/>
        <v>4.2345497596167014E-2</v>
      </c>
      <c r="O111" s="20">
        <f t="shared" si="27"/>
        <v>6.8300949506382658E-2</v>
      </c>
      <c r="P111" s="20">
        <f t="shared" si="27"/>
        <v>5.9165122057025732E-2</v>
      </c>
      <c r="Q111" s="20"/>
      <c r="R111" s="23">
        <v>426</v>
      </c>
      <c r="S111" s="23">
        <v>384</v>
      </c>
      <c r="T111" s="24">
        <v>389.38833496223396</v>
      </c>
      <c r="U111" s="24">
        <v>407.14366748281185</v>
      </c>
      <c r="V111" s="24">
        <v>424.48099186604225</v>
      </c>
      <c r="W111" s="24">
        <v>446.14841666563103</v>
      </c>
      <c r="X111" s="24">
        <v>469.20773500403936</v>
      </c>
      <c r="Z111" s="20">
        <f t="shared" si="31"/>
        <v>-9.8591549295774628E-2</v>
      </c>
      <c r="AA111" s="20">
        <f t="shared" si="31"/>
        <v>1.4032122297484184E-2</v>
      </c>
      <c r="AB111" s="20">
        <f t="shared" si="31"/>
        <v>4.5598008277006885E-2</v>
      </c>
      <c r="AC111" s="20">
        <f t="shared" si="31"/>
        <v>4.2582817240949256E-2</v>
      </c>
      <c r="AD111" s="20">
        <f t="shared" si="31"/>
        <v>5.104451133215071E-2</v>
      </c>
      <c r="AE111" s="20">
        <f t="shared" si="31"/>
        <v>5.1685308020918752E-2</v>
      </c>
      <c r="AG111" s="23">
        <f t="shared" si="29"/>
        <v>0</v>
      </c>
      <c r="AH111" s="23">
        <f t="shared" si="29"/>
        <v>0</v>
      </c>
      <c r="AI111" s="24">
        <f t="shared" si="29"/>
        <v>-40.515101095412092</v>
      </c>
      <c r="AJ111" s="24">
        <f t="shared" si="29"/>
        <v>-45.500350122421821</v>
      </c>
      <c r="AK111" s="24">
        <f t="shared" si="29"/>
        <v>-47.523708279697928</v>
      </c>
      <c r="AL111" s="24">
        <f t="shared" si="29"/>
        <v>-43.444592686992678</v>
      </c>
      <c r="AM111" s="24">
        <f t="shared" si="29"/>
        <v>-42.677890126873876</v>
      </c>
      <c r="AO111" s="20">
        <f t="shared" si="30"/>
        <v>0</v>
      </c>
      <c r="AP111" s="20">
        <f t="shared" si="30"/>
        <v>0</v>
      </c>
      <c r="AQ111" s="20">
        <f t="shared" si="30"/>
        <v>-0.1040480606573424</v>
      </c>
      <c r="AR111" s="20">
        <f t="shared" si="30"/>
        <v>-0.11175502348772914</v>
      </c>
      <c r="AS111" s="20">
        <f t="shared" si="30"/>
        <v>-0.11195721172526718</v>
      </c>
      <c r="AT111" s="20">
        <f t="shared" si="30"/>
        <v>-9.7376996228482726E-2</v>
      </c>
      <c r="AU111" s="20">
        <f t="shared" si="30"/>
        <v>-9.0957345633925768E-2</v>
      </c>
    </row>
    <row r="112" spans="2:47" x14ac:dyDescent="0.15">
      <c r="B112" s="27" t="s">
        <v>57</v>
      </c>
      <c r="C112" s="23">
        <f>tbl_model!R113</f>
        <v>412</v>
      </c>
      <c r="D112" s="23">
        <f>tbl_model!S113</f>
        <v>404</v>
      </c>
      <c r="E112" s="24">
        <f>tbl_model!T113</f>
        <v>348.7122716521564</v>
      </c>
      <c r="F112" s="24">
        <f>tbl_model!U113</f>
        <v>362.03434802475977</v>
      </c>
      <c r="G112" s="24">
        <f>tbl_model!V113</f>
        <v>381.45554817943741</v>
      </c>
      <c r="H112" s="24">
        <f>tbl_model!W113</f>
        <v>408.32762050417193</v>
      </c>
      <c r="I112" s="24">
        <f>tbl_model!X113</f>
        <v>437.51859150816767</v>
      </c>
      <c r="K112" s="20">
        <f t="shared" si="27"/>
        <v>-1.9417475728155331E-2</v>
      </c>
      <c r="L112" s="20">
        <f t="shared" si="27"/>
        <v>-0.13685081274218713</v>
      </c>
      <c r="M112" s="20">
        <f t="shared" si="27"/>
        <v>3.8203635075659825E-2</v>
      </c>
      <c r="N112" s="20">
        <f t="shared" si="27"/>
        <v>5.3644634164240701E-2</v>
      </c>
      <c r="O112" s="20">
        <f t="shared" si="27"/>
        <v>7.0446143601754274E-2</v>
      </c>
      <c r="P112" s="20">
        <f t="shared" si="27"/>
        <v>7.1489092430125023E-2</v>
      </c>
      <c r="Q112" s="20"/>
      <c r="R112" s="23">
        <v>412</v>
      </c>
      <c r="S112" s="23">
        <v>404</v>
      </c>
      <c r="T112" s="24">
        <v>415.08354410950625</v>
      </c>
      <c r="U112" s="24">
        <v>438.14975419203859</v>
      </c>
      <c r="V112" s="24">
        <v>460.82303140128829</v>
      </c>
      <c r="W112" s="24">
        <v>488.27779911177089</v>
      </c>
      <c r="X112" s="24">
        <v>515.98240846283647</v>
      </c>
      <c r="Z112" s="20">
        <f t="shared" si="31"/>
        <v>-1.9417475728155331E-2</v>
      </c>
      <c r="AA112" s="20">
        <f t="shared" si="31"/>
        <v>2.7434515122540137E-2</v>
      </c>
      <c r="AB112" s="20">
        <f t="shared" si="31"/>
        <v>5.5570042247801155E-2</v>
      </c>
      <c r="AC112" s="20">
        <f t="shared" si="31"/>
        <v>5.1747780279050692E-2</v>
      </c>
      <c r="AD112" s="20">
        <f t="shared" si="31"/>
        <v>5.9577681321606457E-2</v>
      </c>
      <c r="AE112" s="20">
        <f t="shared" si="31"/>
        <v>5.6739440952390696E-2</v>
      </c>
      <c r="AG112" s="23">
        <f t="shared" si="29"/>
        <v>0</v>
      </c>
      <c r="AH112" s="23">
        <f t="shared" si="29"/>
        <v>0</v>
      </c>
      <c r="AI112" s="24">
        <f t="shared" si="29"/>
        <v>-66.371272457349846</v>
      </c>
      <c r="AJ112" s="24">
        <f t="shared" si="29"/>
        <v>-76.11540616727882</v>
      </c>
      <c r="AK112" s="24">
        <f t="shared" si="29"/>
        <v>-79.367483221850875</v>
      </c>
      <c r="AL112" s="24">
        <f t="shared" si="29"/>
        <v>-79.950178607598957</v>
      </c>
      <c r="AM112" s="24">
        <f t="shared" si="29"/>
        <v>-78.4638169546688</v>
      </c>
      <c r="AO112" s="20">
        <f t="shared" si="30"/>
        <v>0</v>
      </c>
      <c r="AP112" s="20">
        <f t="shared" si="30"/>
        <v>0</v>
      </c>
      <c r="AQ112" s="20">
        <f t="shared" si="30"/>
        <v>-0.15989858764393694</v>
      </c>
      <c r="AR112" s="20">
        <f t="shared" si="30"/>
        <v>-0.17372007045316717</v>
      </c>
      <c r="AS112" s="20">
        <f t="shared" si="30"/>
        <v>-0.17222985357417397</v>
      </c>
      <c r="AT112" s="20">
        <f t="shared" si="30"/>
        <v>-0.16373912300136684</v>
      </c>
      <c r="AU112" s="20">
        <f t="shared" si="30"/>
        <v>-0.15206684504694723</v>
      </c>
    </row>
    <row r="113" spans="2:47" x14ac:dyDescent="0.15">
      <c r="B113" s="27" t="s">
        <v>58</v>
      </c>
      <c r="C113" s="23">
        <f>tbl_model!R114</f>
        <v>178</v>
      </c>
      <c r="D113" s="23">
        <f>tbl_model!S114</f>
        <v>187</v>
      </c>
      <c r="E113" s="24">
        <f>tbl_model!T114</f>
        <v>169.76221011429726</v>
      </c>
      <c r="F113" s="24">
        <f>tbl_model!U114</f>
        <v>174.53833157209516</v>
      </c>
      <c r="G113" s="24">
        <f>tbl_model!V114</f>
        <v>180.85265993913157</v>
      </c>
      <c r="H113" s="24">
        <f>tbl_model!W114</f>
        <v>189.71573362055861</v>
      </c>
      <c r="I113" s="24">
        <f>tbl_model!X114</f>
        <v>198.62868836250195</v>
      </c>
      <c r="K113" s="20">
        <f t="shared" si="27"/>
        <v>5.0561797752809001E-2</v>
      </c>
      <c r="L113" s="20">
        <f t="shared" si="27"/>
        <v>-9.2180694575950461E-2</v>
      </c>
      <c r="M113" s="20">
        <f t="shared" si="27"/>
        <v>2.813418519105193E-2</v>
      </c>
      <c r="N113" s="20">
        <f t="shared" si="27"/>
        <v>3.6177315952101941E-2</v>
      </c>
      <c r="O113" s="20">
        <f t="shared" si="27"/>
        <v>4.9007151370679569E-2</v>
      </c>
      <c r="P113" s="20">
        <f t="shared" si="27"/>
        <v>4.6980577582298455E-2</v>
      </c>
      <c r="Q113" s="20"/>
      <c r="R113" s="23">
        <v>178</v>
      </c>
      <c r="S113" s="23">
        <v>187</v>
      </c>
      <c r="T113" s="24">
        <v>192.51571587988636</v>
      </c>
      <c r="U113" s="24">
        <v>199.64467668740699</v>
      </c>
      <c r="V113" s="24">
        <v>206.42082713952385</v>
      </c>
      <c r="W113" s="24">
        <v>213.45012631854451</v>
      </c>
      <c r="X113" s="24">
        <v>221.71637382876665</v>
      </c>
      <c r="Z113" s="20">
        <f t="shared" si="31"/>
        <v>5.0561797752809001E-2</v>
      </c>
      <c r="AA113" s="20">
        <f t="shared" si="31"/>
        <v>2.9495806844312078E-2</v>
      </c>
      <c r="AB113" s="20">
        <f t="shared" si="31"/>
        <v>3.7030539428627662E-2</v>
      </c>
      <c r="AC113" s="20">
        <f t="shared" si="31"/>
        <v>3.3941052496614388E-2</v>
      </c>
      <c r="AD113" s="20">
        <f t="shared" si="31"/>
        <v>3.4053245868787441E-2</v>
      </c>
      <c r="AE113" s="20">
        <f t="shared" si="31"/>
        <v>3.8726833536214089E-2</v>
      </c>
      <c r="AG113" s="23">
        <f t="shared" si="29"/>
        <v>0</v>
      </c>
      <c r="AH113" s="23">
        <f t="shared" si="29"/>
        <v>0</v>
      </c>
      <c r="AI113" s="24">
        <f t="shared" si="29"/>
        <v>-22.753505765589097</v>
      </c>
      <c r="AJ113" s="24">
        <f t="shared" si="29"/>
        <v>-25.106345115311825</v>
      </c>
      <c r="AK113" s="24">
        <f t="shared" si="29"/>
        <v>-25.568167200392281</v>
      </c>
      <c r="AL113" s="24">
        <f t="shared" si="29"/>
        <v>-23.734392697985896</v>
      </c>
      <c r="AM113" s="24">
        <f t="shared" si="29"/>
        <v>-23.087685466264702</v>
      </c>
      <c r="AO113" s="20">
        <f t="shared" si="30"/>
        <v>0</v>
      </c>
      <c r="AP113" s="20">
        <f t="shared" si="30"/>
        <v>0</v>
      </c>
      <c r="AQ113" s="20">
        <f t="shared" si="30"/>
        <v>-0.11819038077797961</v>
      </c>
      <c r="AR113" s="20">
        <f t="shared" si="30"/>
        <v>-0.12575514424870948</v>
      </c>
      <c r="AS113" s="20">
        <f t="shared" si="30"/>
        <v>-0.12386428033790531</v>
      </c>
      <c r="AT113" s="20">
        <f t="shared" si="30"/>
        <v>-0.111194090663435</v>
      </c>
      <c r="AU113" s="20">
        <f t="shared" si="30"/>
        <v>-0.10413162125813724</v>
      </c>
    </row>
    <row r="114" spans="2:47" x14ac:dyDescent="0.15">
      <c r="B114" s="27" t="s">
        <v>59</v>
      </c>
      <c r="C114" s="23">
        <f>tbl_model!R115</f>
        <v>188</v>
      </c>
      <c r="D114" s="23">
        <f>tbl_model!S115</f>
        <v>150</v>
      </c>
      <c r="E114" s="24">
        <f>tbl_model!T115</f>
        <v>136.26191514433003</v>
      </c>
      <c r="F114" s="24">
        <f>tbl_model!U115</f>
        <v>146.39630338478108</v>
      </c>
      <c r="G114" s="24">
        <f>tbl_model!V115</f>
        <v>160.85851100202001</v>
      </c>
      <c r="H114" s="24">
        <f>tbl_model!W115</f>
        <v>177.77764654555943</v>
      </c>
      <c r="I114" s="24">
        <f>tbl_model!X115</f>
        <v>196.38337868811408</v>
      </c>
      <c r="K114" s="20">
        <f t="shared" si="27"/>
        <v>-0.2021276595744681</v>
      </c>
      <c r="L114" s="20">
        <f t="shared" si="27"/>
        <v>-9.1587232371133087E-2</v>
      </c>
      <c r="M114" s="20">
        <f t="shared" si="27"/>
        <v>7.4374327043008392E-2</v>
      </c>
      <c r="N114" s="20">
        <f t="shared" si="27"/>
        <v>9.8788065564928695E-2</v>
      </c>
      <c r="O114" s="20">
        <f t="shared" si="27"/>
        <v>0.10518023223108752</v>
      </c>
      <c r="P114" s="20">
        <f t="shared" si="27"/>
        <v>0.1046573205579393</v>
      </c>
      <c r="Q114" s="20"/>
      <c r="R114" s="23">
        <v>188</v>
      </c>
      <c r="S114" s="23">
        <v>150</v>
      </c>
      <c r="T114" s="24">
        <v>154.70626908868451</v>
      </c>
      <c r="U114" s="24">
        <v>171.32037446952469</v>
      </c>
      <c r="V114" s="24">
        <v>185.4788796333799</v>
      </c>
      <c r="W114" s="24">
        <v>201.87382022597271</v>
      </c>
      <c r="X114" s="24">
        <v>220.22562881087393</v>
      </c>
      <c r="Z114" s="20">
        <f t="shared" si="31"/>
        <v>-0.2021276595744681</v>
      </c>
      <c r="AA114" s="20">
        <f t="shared" si="31"/>
        <v>3.1375127257896818E-2</v>
      </c>
      <c r="AB114" s="20">
        <f t="shared" si="31"/>
        <v>0.10739128723553049</v>
      </c>
      <c r="AC114" s="20">
        <f t="shared" si="31"/>
        <v>8.2643440441310778E-2</v>
      </c>
      <c r="AD114" s="20">
        <f t="shared" si="31"/>
        <v>8.8392493123741422E-2</v>
      </c>
      <c r="AE114" s="20">
        <f t="shared" si="31"/>
        <v>9.0907323021670816E-2</v>
      </c>
      <c r="AG114" s="23">
        <f t="shared" si="29"/>
        <v>0</v>
      </c>
      <c r="AH114" s="23">
        <f t="shared" si="29"/>
        <v>0</v>
      </c>
      <c r="AI114" s="24">
        <f t="shared" si="29"/>
        <v>-18.444353944354475</v>
      </c>
      <c r="AJ114" s="24">
        <f t="shared" si="29"/>
        <v>-24.924071084743616</v>
      </c>
      <c r="AK114" s="24">
        <f t="shared" si="29"/>
        <v>-24.620368631359895</v>
      </c>
      <c r="AL114" s="24">
        <f t="shared" si="29"/>
        <v>-24.096173680413273</v>
      </c>
      <c r="AM114" s="24">
        <f t="shared" si="29"/>
        <v>-23.84225012275985</v>
      </c>
      <c r="AO114" s="20">
        <f t="shared" si="30"/>
        <v>0</v>
      </c>
      <c r="AP114" s="20">
        <f t="shared" si="30"/>
        <v>0</v>
      </c>
      <c r="AQ114" s="20">
        <f t="shared" si="30"/>
        <v>-0.11922176168427512</v>
      </c>
      <c r="AR114" s="20">
        <f t="shared" si="30"/>
        <v>-0.14548223561802476</v>
      </c>
      <c r="AS114" s="20">
        <f t="shared" si="30"/>
        <v>-0.13273947244033846</v>
      </c>
      <c r="AT114" s="20">
        <f t="shared" si="30"/>
        <v>-0.119362548612993</v>
      </c>
      <c r="AU114" s="20">
        <f t="shared" si="30"/>
        <v>-0.10826283140385617</v>
      </c>
    </row>
    <row r="115" spans="2:47" x14ac:dyDescent="0.15">
      <c r="B115" s="27" t="s">
        <v>60</v>
      </c>
      <c r="C115" s="23">
        <f>tbl_model!R116</f>
        <v>185</v>
      </c>
      <c r="D115" s="23">
        <f>tbl_model!S116</f>
        <v>147</v>
      </c>
      <c r="E115" s="24">
        <f>tbl_model!T116</f>
        <v>149.47295591081988</v>
      </c>
      <c r="F115" s="24">
        <f>tbl_model!U116</f>
        <v>153.92037377189459</v>
      </c>
      <c r="G115" s="24">
        <f>tbl_model!V116</f>
        <v>159.21310076829963</v>
      </c>
      <c r="H115" s="24">
        <f>tbl_model!W116</f>
        <v>165.96797695309547</v>
      </c>
      <c r="I115" s="24">
        <f>tbl_model!X116</f>
        <v>173.56000356318202</v>
      </c>
      <c r="K115" s="20">
        <f t="shared" si="27"/>
        <v>-0.20540540540540542</v>
      </c>
      <c r="L115" s="20">
        <f t="shared" si="27"/>
        <v>1.6822829325305211E-2</v>
      </c>
      <c r="M115" s="20">
        <f t="shared" si="27"/>
        <v>2.9753996861667575E-2</v>
      </c>
      <c r="N115" s="20">
        <f t="shared" si="27"/>
        <v>3.4386136589355631E-2</v>
      </c>
      <c r="O115" s="20">
        <f t="shared" si="27"/>
        <v>4.2426635447708083E-2</v>
      </c>
      <c r="P115" s="20">
        <f t="shared" si="27"/>
        <v>4.5743924517632317E-2</v>
      </c>
      <c r="Q115" s="20"/>
      <c r="R115" s="23">
        <v>185</v>
      </c>
      <c r="S115" s="23">
        <v>147</v>
      </c>
      <c r="T115" s="24">
        <v>152.48171472996029</v>
      </c>
      <c r="U115" s="24">
        <v>157.41893956390842</v>
      </c>
      <c r="V115" s="24">
        <v>162.79933422729144</v>
      </c>
      <c r="W115" s="24">
        <v>169.79376249836943</v>
      </c>
      <c r="X115" s="24">
        <v>177.44031905723693</v>
      </c>
      <c r="Z115" s="20">
        <f t="shared" si="31"/>
        <v>-0.20540540540540542</v>
      </c>
      <c r="AA115" s="20">
        <f t="shared" si="31"/>
        <v>3.7290576394287678E-2</v>
      </c>
      <c r="AB115" s="20">
        <f t="shared" si="31"/>
        <v>3.2379127180539591E-2</v>
      </c>
      <c r="AC115" s="20">
        <f t="shared" si="31"/>
        <v>3.417882675545969E-2</v>
      </c>
      <c r="AD115" s="20">
        <f t="shared" si="31"/>
        <v>4.2963494318181583E-2</v>
      </c>
      <c r="AE115" s="20">
        <f t="shared" si="31"/>
        <v>4.503437845039171E-2</v>
      </c>
      <c r="AG115" s="23">
        <f t="shared" si="29"/>
        <v>0</v>
      </c>
      <c r="AH115" s="23">
        <f t="shared" si="29"/>
        <v>0</v>
      </c>
      <c r="AI115" s="24">
        <f t="shared" si="29"/>
        <v>-3.0087588191404109</v>
      </c>
      <c r="AJ115" s="24">
        <f t="shared" si="29"/>
        <v>-3.4985657920138351</v>
      </c>
      <c r="AK115" s="24">
        <f t="shared" si="29"/>
        <v>-3.5862334589918134</v>
      </c>
      <c r="AL115" s="24">
        <f t="shared" si="29"/>
        <v>-3.8257855452739591</v>
      </c>
      <c r="AM115" s="24">
        <f t="shared" si="29"/>
        <v>-3.8803154940549121</v>
      </c>
      <c r="AO115" s="20">
        <f t="shared" si="30"/>
        <v>0</v>
      </c>
      <c r="AP115" s="20">
        <f t="shared" si="30"/>
        <v>0</v>
      </c>
      <c r="AQ115" s="20">
        <f t="shared" si="30"/>
        <v>-1.9731931953079207E-2</v>
      </c>
      <c r="AR115" s="20">
        <f t="shared" si="30"/>
        <v>-2.2224554438657562E-2</v>
      </c>
      <c r="AS115" s="20">
        <f t="shared" si="30"/>
        <v>-2.2028551136363483E-2</v>
      </c>
      <c r="AT115" s="20">
        <f t="shared" si="30"/>
        <v>-2.2531955761983302E-2</v>
      </c>
      <c r="AU115" s="20">
        <f t="shared" si="30"/>
        <v>-2.1868285148896938E-2</v>
      </c>
    </row>
    <row r="116" spans="2:47" x14ac:dyDescent="0.15">
      <c r="B116" s="27" t="s">
        <v>61</v>
      </c>
      <c r="C116" s="23">
        <f>tbl_model!R117</f>
        <v>72.516044867345769</v>
      </c>
      <c r="D116" s="23">
        <f>tbl_model!S117</f>
        <v>65.668702489333342</v>
      </c>
      <c r="E116" s="24">
        <f>tbl_model!T117</f>
        <v>55.718128527673066</v>
      </c>
      <c r="F116" s="24">
        <f>tbl_model!U117</f>
        <v>62.465965076120924</v>
      </c>
      <c r="G116" s="24">
        <f>tbl_model!V117</f>
        <v>71.368712557318304</v>
      </c>
      <c r="H116" s="24">
        <f>tbl_model!W117</f>
        <v>78.10019114920344</v>
      </c>
      <c r="I116" s="24">
        <f>tbl_model!X117</f>
        <v>81.978305771208809</v>
      </c>
      <c r="K116" s="20">
        <f t="shared" si="27"/>
        <v>-9.4425204663855178E-2</v>
      </c>
      <c r="L116" s="20">
        <f t="shared" si="27"/>
        <v>-0.15152688547906912</v>
      </c>
      <c r="M116" s="20">
        <f t="shared" si="27"/>
        <v>0.12110666181288665</v>
      </c>
      <c r="N116" s="20">
        <f t="shared" si="27"/>
        <v>0.14252157107231933</v>
      </c>
      <c r="O116" s="20">
        <f t="shared" si="27"/>
        <v>9.4319742512923854E-2</v>
      </c>
      <c r="P116" s="20">
        <f t="shared" si="27"/>
        <v>4.9655635472089621E-2</v>
      </c>
      <c r="Q116" s="20"/>
      <c r="R116" s="23">
        <v>72.516044867345769</v>
      </c>
      <c r="S116" s="23">
        <v>65.668702489333342</v>
      </c>
      <c r="T116" s="24">
        <v>52.727781633070784</v>
      </c>
      <c r="U116" s="24">
        <v>61.628671903342514</v>
      </c>
      <c r="V116" s="24">
        <v>73.014450108293119</v>
      </c>
      <c r="W116" s="24">
        <v>78.17814586269435</v>
      </c>
      <c r="X116" s="24">
        <v>83.412993331314766</v>
      </c>
      <c r="Z116" s="20">
        <f t="shared" si="31"/>
        <v>-9.4425204663855178E-2</v>
      </c>
      <c r="AA116" s="20">
        <f t="shared" si="31"/>
        <v>-0.19706375131082532</v>
      </c>
      <c r="AB116" s="20">
        <f t="shared" si="31"/>
        <v>0.16880835860329668</v>
      </c>
      <c r="AC116" s="20">
        <f t="shared" si="31"/>
        <v>0.18474807022951723</v>
      </c>
      <c r="AD116" s="20">
        <f t="shared" si="31"/>
        <v>7.0721559180991989E-2</v>
      </c>
      <c r="AE116" s="20">
        <f t="shared" si="31"/>
        <v>6.6960496579369755E-2</v>
      </c>
      <c r="AG116" s="23">
        <f t="shared" si="29"/>
        <v>0</v>
      </c>
      <c r="AH116" s="23">
        <f t="shared" si="29"/>
        <v>0</v>
      </c>
      <c r="AI116" s="24">
        <f t="shared" si="29"/>
        <v>2.9903468946022826</v>
      </c>
      <c r="AJ116" s="24">
        <f t="shared" si="29"/>
        <v>0.8372931727784092</v>
      </c>
      <c r="AK116" s="24">
        <f t="shared" si="29"/>
        <v>-1.6457375509748147</v>
      </c>
      <c r="AL116" s="24">
        <f t="shared" si="29"/>
        <v>-7.7954713490910876E-2</v>
      </c>
      <c r="AM116" s="24">
        <f t="shared" si="29"/>
        <v>-1.4346875601059565</v>
      </c>
      <c r="AO116" s="20">
        <f t="shared" si="30"/>
        <v>0</v>
      </c>
      <c r="AP116" s="20">
        <f t="shared" si="30"/>
        <v>0</v>
      </c>
      <c r="AQ116" s="20">
        <f t="shared" si="30"/>
        <v>5.6712928213288327E-2</v>
      </c>
      <c r="AR116" s="20">
        <f t="shared" si="30"/>
        <v>1.3586097946287179E-2</v>
      </c>
      <c r="AS116" s="20">
        <f t="shared" si="30"/>
        <v>-2.2539888317091972E-2</v>
      </c>
      <c r="AT116" s="20">
        <f t="shared" si="30"/>
        <v>-9.9714200983769263E-4</v>
      </c>
      <c r="AU116" s="20">
        <f t="shared" si="30"/>
        <v>-1.7199809080192141E-2</v>
      </c>
    </row>
    <row r="117" spans="2:47" x14ac:dyDescent="0.15">
      <c r="B117" s="27" t="s">
        <v>23</v>
      </c>
      <c r="C117" s="23">
        <f>tbl_model!R118</f>
        <v>1726.3045157088027</v>
      </c>
      <c r="D117" s="23">
        <f>tbl_model!S118</f>
        <v>1379.8341831260868</v>
      </c>
      <c r="E117" s="24">
        <f>tbl_model!T118</f>
        <v>1289.8819158844606</v>
      </c>
      <c r="F117" s="24">
        <f>tbl_model!U118</f>
        <v>1313.8913883494604</v>
      </c>
      <c r="G117" s="24">
        <f>tbl_model!V118</f>
        <v>1365.4025448701514</v>
      </c>
      <c r="H117" s="24">
        <f>tbl_model!W118</f>
        <v>1458.8590790800977</v>
      </c>
      <c r="I117" s="24">
        <f>tbl_model!X118</f>
        <v>1545.0421813813568</v>
      </c>
      <c r="K117" s="20">
        <f t="shared" si="27"/>
        <v>-0.20070058870260132</v>
      </c>
      <c r="L117" s="20">
        <f t="shared" si="27"/>
        <v>-6.519063547029591E-2</v>
      </c>
      <c r="M117" s="20">
        <f t="shared" si="27"/>
        <v>1.8613698020982561E-2</v>
      </c>
      <c r="N117" s="20">
        <f t="shared" si="27"/>
        <v>3.9205033975753922E-2</v>
      </c>
      <c r="O117" s="20">
        <f t="shared" si="27"/>
        <v>6.8446140342322215E-2</v>
      </c>
      <c r="P117" s="20">
        <f t="shared" si="27"/>
        <v>5.9075686978349529E-2</v>
      </c>
      <c r="Q117" s="20"/>
      <c r="R117" s="23">
        <v>1726.3045157088027</v>
      </c>
      <c r="S117" s="23">
        <v>1379.8341831260868</v>
      </c>
      <c r="T117" s="24">
        <v>1415.2925603683377</v>
      </c>
      <c r="U117" s="24">
        <v>1495.4038110188196</v>
      </c>
      <c r="V117" s="24">
        <v>1582.4134575469993</v>
      </c>
      <c r="W117" s="24">
        <v>1657.7180215712456</v>
      </c>
      <c r="X117" s="24">
        <v>1729.7717874531904</v>
      </c>
      <c r="Z117" s="20">
        <f t="shared" si="31"/>
        <v>-0.20070058870260132</v>
      </c>
      <c r="AA117" s="20">
        <f t="shared" si="31"/>
        <v>2.5697564008682505E-2</v>
      </c>
      <c r="AB117" s="20">
        <f t="shared" si="31"/>
        <v>5.6604021595105802E-2</v>
      </c>
      <c r="AC117" s="20">
        <f t="shared" si="31"/>
        <v>5.8184716320135665E-2</v>
      </c>
      <c r="AD117" s="20">
        <f t="shared" si="31"/>
        <v>4.7588424924659423E-2</v>
      </c>
      <c r="AE117" s="20">
        <f t="shared" si="31"/>
        <v>4.3465634652176677E-2</v>
      </c>
      <c r="AG117" s="23">
        <f t="shared" si="29"/>
        <v>0</v>
      </c>
      <c r="AH117" s="23">
        <f t="shared" si="29"/>
        <v>0</v>
      </c>
      <c r="AI117" s="24">
        <f t="shared" si="29"/>
        <v>-125.41064448387715</v>
      </c>
      <c r="AJ117" s="24">
        <f t="shared" si="29"/>
        <v>-181.51242266935924</v>
      </c>
      <c r="AK117" s="24">
        <f t="shared" si="29"/>
        <v>-217.01091267684797</v>
      </c>
      <c r="AL117" s="24">
        <f t="shared" si="29"/>
        <v>-198.8589424911479</v>
      </c>
      <c r="AM117" s="24">
        <f t="shared" si="29"/>
        <v>-184.72960607183359</v>
      </c>
      <c r="AO117" s="20">
        <f t="shared" si="30"/>
        <v>0</v>
      </c>
      <c r="AP117" s="20">
        <f t="shared" si="30"/>
        <v>0</v>
      </c>
      <c r="AQ117" s="20">
        <f t="shared" si="30"/>
        <v>-8.8611109812686606E-2</v>
      </c>
      <c r="AR117" s="20">
        <f t="shared" si="30"/>
        <v>-0.12138020602321098</v>
      </c>
      <c r="AS117" s="20">
        <f t="shared" si="30"/>
        <v>-0.1371391981291985</v>
      </c>
      <c r="AT117" s="20">
        <f t="shared" si="30"/>
        <v>-0.11995945022221699</v>
      </c>
      <c r="AU117" s="20">
        <f t="shared" si="30"/>
        <v>-0.10679420684957408</v>
      </c>
    </row>
    <row r="118" spans="2:47" x14ac:dyDescent="0.15">
      <c r="B118" s="27" t="s">
        <v>22</v>
      </c>
      <c r="C118" s="23">
        <f>tbl_model!R119</f>
        <v>7826.1018177054639</v>
      </c>
      <c r="D118" s="23">
        <f>tbl_model!S119</f>
        <v>8411.2546996478395</v>
      </c>
      <c r="E118" s="24">
        <f>tbl_model!T119</f>
        <v>9137.3260925844988</v>
      </c>
      <c r="F118" s="24">
        <f>tbl_model!U119</f>
        <v>9392.8568394904833</v>
      </c>
      <c r="G118" s="24">
        <f>tbl_model!V119</f>
        <v>9663.7419338463897</v>
      </c>
      <c r="H118" s="24">
        <f>tbl_model!W119</f>
        <v>9908.1521274384468</v>
      </c>
      <c r="I118" s="24">
        <f>tbl_model!X119</f>
        <v>10137.29414052937</v>
      </c>
      <c r="K118" s="20">
        <f t="shared" si="27"/>
        <v>7.4769392933088152E-2</v>
      </c>
      <c r="L118" s="20">
        <f t="shared" si="27"/>
        <v>8.6321413256818635E-2</v>
      </c>
      <c r="M118" s="20">
        <f t="shared" si="27"/>
        <v>2.7965593469774896E-2</v>
      </c>
      <c r="N118" s="20">
        <f t="shared" si="27"/>
        <v>2.8839478657549877E-2</v>
      </c>
      <c r="O118" s="20">
        <f t="shared" si="27"/>
        <v>2.5291465279720704E-2</v>
      </c>
      <c r="P118" s="20">
        <f t="shared" si="27"/>
        <v>2.3126614341776541E-2</v>
      </c>
      <c r="Q118" s="20"/>
      <c r="R118" s="23">
        <v>7826.1018177054639</v>
      </c>
      <c r="S118" s="23">
        <v>8411.2546996478395</v>
      </c>
      <c r="T118" s="24">
        <v>8650.7700825688553</v>
      </c>
      <c r="U118" s="24">
        <v>8849.4537988818902</v>
      </c>
      <c r="V118" s="24">
        <v>9077.6177267501771</v>
      </c>
      <c r="W118" s="24">
        <v>9334.4298943603771</v>
      </c>
      <c r="X118" s="24">
        <v>9531.7997285246984</v>
      </c>
      <c r="Z118" s="20">
        <f t="shared" si="31"/>
        <v>7.4769392933088152E-2</v>
      </c>
      <c r="AA118" s="20">
        <f t="shared" si="31"/>
        <v>2.8475583188682263E-2</v>
      </c>
      <c r="AB118" s="20">
        <f t="shared" si="31"/>
        <v>2.2967171062999281E-2</v>
      </c>
      <c r="AC118" s="20">
        <f t="shared" si="31"/>
        <v>2.5782826042564988E-2</v>
      </c>
      <c r="AD118" s="20">
        <f t="shared" si="31"/>
        <v>2.8290700857937612E-2</v>
      </c>
      <c r="AE118" s="20">
        <f t="shared" si="31"/>
        <v>2.1144283732160929E-2</v>
      </c>
      <c r="AG118" s="23">
        <f t="shared" si="29"/>
        <v>0</v>
      </c>
      <c r="AH118" s="23">
        <f t="shared" si="29"/>
        <v>0</v>
      </c>
      <c r="AI118" s="24">
        <f t="shared" si="29"/>
        <v>486.55601001564355</v>
      </c>
      <c r="AJ118" s="24">
        <f t="shared" si="29"/>
        <v>543.40304060859307</v>
      </c>
      <c r="AK118" s="24">
        <f t="shared" si="29"/>
        <v>586.12420709621256</v>
      </c>
      <c r="AL118" s="24">
        <f t="shared" si="29"/>
        <v>573.72223307806962</v>
      </c>
      <c r="AM118" s="24">
        <f t="shared" si="29"/>
        <v>605.49441200467118</v>
      </c>
      <c r="AO118" s="20">
        <f t="shared" si="30"/>
        <v>0</v>
      </c>
      <c r="AP118" s="20">
        <f t="shared" si="30"/>
        <v>0</v>
      </c>
      <c r="AQ118" s="20">
        <f t="shared" si="30"/>
        <v>5.6244242462996974E-2</v>
      </c>
      <c r="AR118" s="20">
        <f t="shared" si="30"/>
        <v>6.1405263303058399E-2</v>
      </c>
      <c r="AS118" s="20">
        <f t="shared" si="30"/>
        <v>6.4568064523030655E-2</v>
      </c>
      <c r="AT118" s="20">
        <f t="shared" si="30"/>
        <v>6.1463018049414897E-2</v>
      </c>
      <c r="AU118" s="20">
        <f t="shared" si="30"/>
        <v>6.3523618755089828E-2</v>
      </c>
    </row>
    <row r="119" spans="2:47" x14ac:dyDescent="0.15">
      <c r="B119" s="71" t="s">
        <v>62</v>
      </c>
      <c r="C119" s="23">
        <f>tbl_model!R120</f>
        <v>7215.1018177054639</v>
      </c>
      <c r="D119" s="49">
        <f>tbl_model!S120</f>
        <v>7705.2546996478395</v>
      </c>
      <c r="E119" s="72">
        <f>tbl_model!T120</f>
        <v>8286.6793430769321</v>
      </c>
      <c r="F119" s="72">
        <f>tbl_model!U120</f>
        <v>8475.8291425558036</v>
      </c>
      <c r="G119" s="72">
        <f>tbl_model!V120</f>
        <v>8716.7795291630937</v>
      </c>
      <c r="H119" s="72">
        <f>tbl_model!W120</f>
        <v>8946.1768956318774</v>
      </c>
      <c r="I119" s="72">
        <f>tbl_model!X120</f>
        <v>9150.3257570269107</v>
      </c>
      <c r="K119" s="20">
        <f t="shared" si="27"/>
        <v>6.7934298687174044E-2</v>
      </c>
      <c r="L119" s="20">
        <f t="shared" si="27"/>
        <v>7.5458199124250447E-2</v>
      </c>
      <c r="M119" s="20">
        <f t="shared" si="27"/>
        <v>2.2825765502425988E-2</v>
      </c>
      <c r="N119" s="20">
        <f t="shared" si="27"/>
        <v>2.8427942866086742E-2</v>
      </c>
      <c r="O119" s="20">
        <f t="shared" si="27"/>
        <v>2.6316756745000447E-2</v>
      </c>
      <c r="P119" s="20">
        <f t="shared" si="27"/>
        <v>2.2819676357474172E-2</v>
      </c>
      <c r="Q119" s="20"/>
      <c r="R119" s="23">
        <v>7215.1018177054639</v>
      </c>
      <c r="S119" s="49">
        <v>7705.2546996478395</v>
      </c>
      <c r="T119" s="72">
        <v>7932.5909871584827</v>
      </c>
      <c r="U119" s="72">
        <v>8118.8375514140234</v>
      </c>
      <c r="V119" s="72">
        <v>8324.0000456061407</v>
      </c>
      <c r="W119" s="72">
        <v>8568.0513326786786</v>
      </c>
      <c r="X119" s="72">
        <v>8744.8420327680124</v>
      </c>
      <c r="Z119" s="20">
        <f t="shared" si="31"/>
        <v>6.7934298687174044E-2</v>
      </c>
      <c r="AA119" s="20">
        <f t="shared" si="31"/>
        <v>2.9504058771870678E-2</v>
      </c>
      <c r="AB119" s="20">
        <f t="shared" si="31"/>
        <v>2.3478654648530606E-2</v>
      </c>
      <c r="AC119" s="20">
        <f t="shared" si="31"/>
        <v>2.5269934629543744E-2</v>
      </c>
      <c r="AD119" s="20">
        <f t="shared" si="31"/>
        <v>2.9318991558795249E-2</v>
      </c>
      <c r="AE119" s="20">
        <f t="shared" si="31"/>
        <v>2.0633711590294812E-2</v>
      </c>
      <c r="AG119" s="23">
        <f t="shared" si="29"/>
        <v>0</v>
      </c>
      <c r="AH119" s="49">
        <f t="shared" si="29"/>
        <v>0</v>
      </c>
      <c r="AI119" s="72">
        <f t="shared" si="29"/>
        <v>354.08835591844945</v>
      </c>
      <c r="AJ119" s="72">
        <f t="shared" si="29"/>
        <v>356.99159114178019</v>
      </c>
      <c r="AK119" s="72">
        <f t="shared" si="29"/>
        <v>392.77948355695298</v>
      </c>
      <c r="AL119" s="72">
        <f t="shared" si="29"/>
        <v>378.12556295319882</v>
      </c>
      <c r="AM119" s="72">
        <f t="shared" si="29"/>
        <v>405.48372425889829</v>
      </c>
      <c r="AO119" s="20">
        <f t="shared" si="30"/>
        <v>0</v>
      </c>
      <c r="AP119" s="74">
        <f t="shared" si="30"/>
        <v>0</v>
      </c>
      <c r="AQ119" s="74">
        <f t="shared" si="30"/>
        <v>4.4637162875491576E-2</v>
      </c>
      <c r="AR119" s="74">
        <f t="shared" si="30"/>
        <v>4.3970776466589756E-2</v>
      </c>
      <c r="AS119" s="74">
        <f t="shared" si="30"/>
        <v>4.7186386521499868E-2</v>
      </c>
      <c r="AT119" s="74">
        <f t="shared" si="30"/>
        <v>4.4132037527718992E-2</v>
      </c>
      <c r="AU119" s="74">
        <f t="shared" si="30"/>
        <v>4.6368330352852594E-2</v>
      </c>
    </row>
    <row r="120" spans="2:47" x14ac:dyDescent="0.15">
      <c r="B120" s="71" t="s">
        <v>63</v>
      </c>
      <c r="C120" s="23">
        <f>tbl_model!R121</f>
        <v>611</v>
      </c>
      <c r="D120" s="49">
        <f>tbl_model!S121</f>
        <v>706</v>
      </c>
      <c r="E120" s="72">
        <f>tbl_model!T121</f>
        <v>850.64674950756671</v>
      </c>
      <c r="F120" s="72">
        <f>tbl_model!U121</f>
        <v>917.02769693467962</v>
      </c>
      <c r="G120" s="72">
        <f>tbl_model!V121</f>
        <v>946.96240468329597</v>
      </c>
      <c r="H120" s="72">
        <f>tbl_model!W121</f>
        <v>961.97523180656935</v>
      </c>
      <c r="I120" s="72">
        <f>tbl_model!X121</f>
        <v>986.96838350245889</v>
      </c>
      <c r="K120" s="20">
        <f t="shared" si="27"/>
        <v>0.15548281505728312</v>
      </c>
      <c r="L120" s="20">
        <f t="shared" si="27"/>
        <v>0.20488208145547682</v>
      </c>
      <c r="M120" s="20">
        <f t="shared" si="27"/>
        <v>7.8035856206516208E-2</v>
      </c>
      <c r="N120" s="20">
        <f t="shared" si="27"/>
        <v>3.2643188257757361E-2</v>
      </c>
      <c r="O120" s="20">
        <f t="shared" si="27"/>
        <v>1.585366752579187E-2</v>
      </c>
      <c r="P120" s="20">
        <f t="shared" si="27"/>
        <v>2.598107609169209E-2</v>
      </c>
      <c r="Q120" s="20"/>
      <c r="R120" s="23">
        <v>611</v>
      </c>
      <c r="S120" s="49">
        <v>706</v>
      </c>
      <c r="T120" s="72">
        <v>718.17909541037261</v>
      </c>
      <c r="U120" s="72">
        <v>730.61624746786674</v>
      </c>
      <c r="V120" s="72">
        <v>753.6176811440364</v>
      </c>
      <c r="W120" s="72">
        <v>766.37856168169856</v>
      </c>
      <c r="X120" s="72">
        <v>786.95769575668601</v>
      </c>
      <c r="Z120" s="20">
        <f t="shared" si="31"/>
        <v>0.15548281505728312</v>
      </c>
      <c r="AA120" s="20">
        <f t="shared" si="31"/>
        <v>1.7250843357468293E-2</v>
      </c>
      <c r="AB120" s="20">
        <f t="shared" si="31"/>
        <v>1.7317619152347197E-2</v>
      </c>
      <c r="AC120" s="20">
        <f t="shared" si="31"/>
        <v>3.1482236749985848E-2</v>
      </c>
      <c r="AD120" s="20">
        <f t="shared" si="31"/>
        <v>1.6932830607544025E-2</v>
      </c>
      <c r="AE120" s="20">
        <f t="shared" si="31"/>
        <v>2.6852439647880644E-2</v>
      </c>
      <c r="AG120" s="23">
        <f t="shared" si="29"/>
        <v>0</v>
      </c>
      <c r="AH120" s="49">
        <f t="shared" si="29"/>
        <v>0</v>
      </c>
      <c r="AI120" s="72">
        <f t="shared" si="29"/>
        <v>132.4676540971941</v>
      </c>
      <c r="AJ120" s="72">
        <f t="shared" si="29"/>
        <v>186.41144946681288</v>
      </c>
      <c r="AK120" s="72">
        <f t="shared" si="29"/>
        <v>193.34472353925958</v>
      </c>
      <c r="AL120" s="72">
        <f t="shared" si="29"/>
        <v>195.5966701248708</v>
      </c>
      <c r="AM120" s="72">
        <f t="shared" si="29"/>
        <v>200.01068774577288</v>
      </c>
      <c r="AO120" s="20">
        <f t="shared" si="30"/>
        <v>0</v>
      </c>
      <c r="AP120" s="74">
        <f t="shared" si="30"/>
        <v>0</v>
      </c>
      <c r="AQ120" s="74">
        <f t="shared" si="30"/>
        <v>0.18444933157167598</v>
      </c>
      <c r="AR120" s="74">
        <f t="shared" si="30"/>
        <v>0.25514276490957921</v>
      </c>
      <c r="AS120" s="74">
        <f t="shared" si="30"/>
        <v>0.25655545029908366</v>
      </c>
      <c r="AT120" s="74">
        <f t="shared" si="30"/>
        <v>0.25522200111608595</v>
      </c>
      <c r="AU120" s="74">
        <f t="shared" si="30"/>
        <v>0.25415684835949914</v>
      </c>
    </row>
    <row r="121" spans="2:47" x14ac:dyDescent="0.15">
      <c r="B121" s="27" t="s">
        <v>64</v>
      </c>
      <c r="C121" s="23">
        <f>tbl_model!R122</f>
        <v>2379.483955132655</v>
      </c>
      <c r="D121" s="23">
        <f>tbl_model!S122</f>
        <v>2226.3312975106664</v>
      </c>
      <c r="E121" s="24">
        <f>tbl_model!T122</f>
        <v>2173.0710550704825</v>
      </c>
      <c r="F121" s="24">
        <f>tbl_model!U122</f>
        <v>2153.35263310751</v>
      </c>
      <c r="G121" s="24">
        <f>tbl_model!V122</f>
        <v>2196.4420898116123</v>
      </c>
      <c r="H121" s="24">
        <f>tbl_model!W122</f>
        <v>2271.432286479484</v>
      </c>
      <c r="I121" s="24">
        <f>tbl_model!X122</f>
        <v>2353.5074180701677</v>
      </c>
      <c r="K121" s="20">
        <f t="shared" si="27"/>
        <v>-6.4363811864178055E-2</v>
      </c>
      <c r="L121" s="20">
        <f t="shared" si="27"/>
        <v>-2.3922873697969305E-2</v>
      </c>
      <c r="M121" s="20">
        <f t="shared" si="27"/>
        <v>-9.0739885918423857E-3</v>
      </c>
      <c r="N121" s="20">
        <f t="shared" si="27"/>
        <v>2.0010404260597081E-2</v>
      </c>
      <c r="O121" s="20">
        <f t="shared" si="27"/>
        <v>3.4141668025631233E-2</v>
      </c>
      <c r="P121" s="20">
        <f t="shared" si="27"/>
        <v>3.6133646633108585E-2</v>
      </c>
      <c r="Q121" s="20"/>
      <c r="R121" s="23">
        <v>2379.483955132655</v>
      </c>
      <c r="S121" s="23">
        <v>2226.3312975106664</v>
      </c>
      <c r="T121" s="24">
        <v>2285.5561497500848</v>
      </c>
      <c r="U121" s="24">
        <v>2373.1521601521736</v>
      </c>
      <c r="V121" s="24">
        <v>2474.3894000881355</v>
      </c>
      <c r="W121" s="24">
        <v>2528.4696853765245</v>
      </c>
      <c r="X121" s="24">
        <v>2625.0672455239264</v>
      </c>
      <c r="Z121" s="20">
        <f t="shared" si="31"/>
        <v>-6.4363811864178055E-2</v>
      </c>
      <c r="AA121" s="20">
        <f t="shared" si="31"/>
        <v>2.6601994189112688E-2</v>
      </c>
      <c r="AB121" s="20">
        <f t="shared" si="31"/>
        <v>3.8325906108964691E-2</v>
      </c>
      <c r="AC121" s="20">
        <f t="shared" si="31"/>
        <v>4.2659396913458103E-2</v>
      </c>
      <c r="AD121" s="20">
        <f t="shared" si="31"/>
        <v>2.1856012350547127E-2</v>
      </c>
      <c r="AE121" s="20">
        <f t="shared" si="31"/>
        <v>3.8203962145987536E-2</v>
      </c>
      <c r="AG121" s="23">
        <f t="shared" si="29"/>
        <v>0</v>
      </c>
      <c r="AH121" s="23">
        <f t="shared" si="29"/>
        <v>0</v>
      </c>
      <c r="AI121" s="24">
        <f t="shared" si="29"/>
        <v>-112.4850946796023</v>
      </c>
      <c r="AJ121" s="24">
        <f t="shared" si="29"/>
        <v>-219.79952704466359</v>
      </c>
      <c r="AK121" s="24">
        <f t="shared" si="29"/>
        <v>-277.94731027652324</v>
      </c>
      <c r="AL121" s="24">
        <f t="shared" si="29"/>
        <v>-257.03739889704048</v>
      </c>
      <c r="AM121" s="24">
        <f t="shared" si="29"/>
        <v>-271.55982745375877</v>
      </c>
      <c r="AO121" s="20">
        <f t="shared" si="30"/>
        <v>0</v>
      </c>
      <c r="AP121" s="20">
        <f t="shared" si="30"/>
        <v>0</v>
      </c>
      <c r="AQ121" s="20">
        <f t="shared" si="30"/>
        <v>-4.921563388057737E-2</v>
      </c>
      <c r="AR121" s="20">
        <f t="shared" si="30"/>
        <v>-9.2619230547176246E-2</v>
      </c>
      <c r="AS121" s="20">
        <f t="shared" si="30"/>
        <v>-0.11232965606247058</v>
      </c>
      <c r="AT121" s="20">
        <f t="shared" si="30"/>
        <v>-0.10165729903096066</v>
      </c>
      <c r="AU121" s="20">
        <f t="shared" si="30"/>
        <v>-0.1034487127584266</v>
      </c>
    </row>
    <row r="122" spans="2:47" ht="4" customHeight="1" x14ac:dyDescent="0.15">
      <c r="B122" s="34"/>
      <c r="C122" s="35"/>
      <c r="D122" s="35"/>
      <c r="E122" s="36"/>
      <c r="F122" s="36"/>
      <c r="G122" s="36"/>
      <c r="H122" s="36"/>
      <c r="I122" s="36"/>
      <c r="K122" s="76"/>
      <c r="L122" s="76"/>
      <c r="M122" s="76"/>
      <c r="N122" s="76"/>
      <c r="O122" s="76"/>
      <c r="P122" s="76"/>
      <c r="Q122" s="76"/>
      <c r="R122" s="35"/>
      <c r="S122" s="35"/>
      <c r="T122" s="36"/>
      <c r="U122" s="36"/>
      <c r="V122" s="36"/>
      <c r="W122" s="36"/>
      <c r="X122" s="36"/>
      <c r="Z122" s="76"/>
      <c r="AA122" s="76"/>
      <c r="AB122" s="76"/>
      <c r="AC122" s="76"/>
      <c r="AD122" s="76"/>
      <c r="AE122" s="76"/>
      <c r="AG122" s="35"/>
      <c r="AH122" s="35"/>
      <c r="AI122" s="36"/>
      <c r="AJ122" s="36"/>
      <c r="AK122" s="36"/>
      <c r="AL122" s="36"/>
      <c r="AM122" s="36"/>
      <c r="AO122" s="76"/>
      <c r="AP122" s="76"/>
      <c r="AQ122" s="76"/>
      <c r="AR122" s="76"/>
      <c r="AS122" s="76"/>
      <c r="AT122" s="76"/>
      <c r="AU122" s="76"/>
    </row>
    <row r="123" spans="2:47" ht="4" customHeight="1" x14ac:dyDescent="0.15">
      <c r="B123" s="27"/>
      <c r="C123" s="23"/>
      <c r="D123" s="23"/>
      <c r="E123" s="24"/>
      <c r="F123" s="24"/>
      <c r="G123" s="24"/>
      <c r="H123" s="24"/>
      <c r="I123" s="24"/>
      <c r="K123" s="20"/>
      <c r="L123" s="20"/>
      <c r="M123" s="20"/>
      <c r="N123" s="20"/>
      <c r="O123" s="20"/>
      <c r="P123" s="20"/>
      <c r="Q123" s="20"/>
      <c r="R123" s="23"/>
      <c r="S123" s="23"/>
      <c r="T123" s="24"/>
      <c r="U123" s="24"/>
      <c r="V123" s="24"/>
      <c r="W123" s="24"/>
      <c r="X123" s="24"/>
      <c r="Z123" s="20"/>
      <c r="AA123" s="20"/>
      <c r="AB123" s="20"/>
      <c r="AC123" s="20"/>
      <c r="AD123" s="20"/>
      <c r="AE123" s="20"/>
      <c r="AG123" s="23"/>
      <c r="AH123" s="23"/>
      <c r="AI123" s="24"/>
      <c r="AJ123" s="24"/>
      <c r="AK123" s="24"/>
      <c r="AL123" s="24"/>
      <c r="AM123" s="24"/>
      <c r="AO123" s="20"/>
      <c r="AP123" s="20"/>
      <c r="AQ123" s="20"/>
      <c r="AR123" s="20"/>
      <c r="AS123" s="20"/>
      <c r="AT123" s="20"/>
      <c r="AU123" s="20"/>
    </row>
    <row r="124" spans="2:47" x14ac:dyDescent="0.15">
      <c r="B124" s="79" t="s">
        <v>6</v>
      </c>
      <c r="C124" s="23">
        <f>tbl_model!R125</f>
        <v>3468.4453300169957</v>
      </c>
      <c r="D124" s="23">
        <f>tbl_model!S125</f>
        <v>3479.9435520363495</v>
      </c>
      <c r="E124" s="24">
        <f>tbl_model!T125</f>
        <v>3633.4770123233307</v>
      </c>
      <c r="F124" s="24">
        <f>tbl_model!U125</f>
        <v>3703.6669153280109</v>
      </c>
      <c r="G124" s="24">
        <f>tbl_model!V125</f>
        <v>3809.2344626401969</v>
      </c>
      <c r="H124" s="24">
        <f>tbl_model!W125</f>
        <v>3986.5641640508611</v>
      </c>
      <c r="I124" s="24">
        <f>tbl_model!X125</f>
        <v>4140.7799932158023</v>
      </c>
      <c r="K124" s="20">
        <f t="shared" si="27"/>
        <v>3.3150939182591266E-3</v>
      </c>
      <c r="L124" s="20">
        <f t="shared" si="27"/>
        <v>4.4119526075972804E-2</v>
      </c>
      <c r="M124" s="20">
        <f t="shared" si="27"/>
        <v>1.9317558021317849E-2</v>
      </c>
      <c r="N124" s="20">
        <f t="shared" si="27"/>
        <v>2.8503520895813761E-2</v>
      </c>
      <c r="O124" s="20">
        <f t="shared" si="27"/>
        <v>4.6552582454521874E-2</v>
      </c>
      <c r="P124" s="20">
        <f t="shared" si="27"/>
        <v>3.8683894907698635E-2</v>
      </c>
      <c r="Q124" s="20"/>
      <c r="R124" s="23">
        <v>3468.4453300169957</v>
      </c>
      <c r="S124" s="23">
        <v>3479.9435520363495</v>
      </c>
      <c r="T124" s="24">
        <v>3528.5273971403985</v>
      </c>
      <c r="U124" s="24">
        <v>3628.8138419604538</v>
      </c>
      <c r="V124" s="24">
        <v>3742.8554416731013</v>
      </c>
      <c r="W124" s="24">
        <v>3900.9185158955233</v>
      </c>
      <c r="X124" s="24">
        <v>4040.1980080823814</v>
      </c>
      <c r="Z124" s="20">
        <f t="shared" ref="Z124:AE125" si="32">S124/R124-1</f>
        <v>3.3150939182591266E-3</v>
      </c>
      <c r="AA124" s="20">
        <f t="shared" si="32"/>
        <v>1.3961101488447758E-2</v>
      </c>
      <c r="AB124" s="20">
        <f t="shared" si="32"/>
        <v>2.8421614325945033E-2</v>
      </c>
      <c r="AC124" s="20">
        <f t="shared" si="32"/>
        <v>3.1426687804695153E-2</v>
      </c>
      <c r="AD124" s="20">
        <f t="shared" si="32"/>
        <v>4.223061154394081E-2</v>
      </c>
      <c r="AE124" s="20">
        <f t="shared" si="32"/>
        <v>3.5704281342796573E-2</v>
      </c>
      <c r="AG124" s="23">
        <f t="shared" si="29"/>
        <v>0</v>
      </c>
      <c r="AH124" s="23">
        <f t="shared" si="29"/>
        <v>0</v>
      </c>
      <c r="AI124" s="24">
        <f t="shared" si="29"/>
        <v>104.94961518293212</v>
      </c>
      <c r="AJ124" s="24">
        <f t="shared" si="29"/>
        <v>74.853073367557045</v>
      </c>
      <c r="AK124" s="24">
        <f t="shared" si="29"/>
        <v>66.379020967095585</v>
      </c>
      <c r="AL124" s="24">
        <f t="shared" si="29"/>
        <v>85.645648155337767</v>
      </c>
      <c r="AM124" s="24">
        <f t="shared" si="29"/>
        <v>100.58198513342086</v>
      </c>
      <c r="AO124" s="20">
        <f t="shared" si="30"/>
        <v>0</v>
      </c>
      <c r="AP124" s="20">
        <f t="shared" si="30"/>
        <v>0</v>
      </c>
      <c r="AQ124" s="20">
        <f t="shared" si="30"/>
        <v>2.974317707380858E-2</v>
      </c>
      <c r="AR124" s="20">
        <f t="shared" si="30"/>
        <v>2.0627421694114245E-2</v>
      </c>
      <c r="AS124" s="20">
        <f t="shared" si="30"/>
        <v>1.7734860990897161E-2</v>
      </c>
      <c r="AT124" s="20">
        <f t="shared" si="30"/>
        <v>2.1955251771178297E-2</v>
      </c>
      <c r="AU124" s="20">
        <f t="shared" si="30"/>
        <v>2.4895310807095949E-2</v>
      </c>
    </row>
    <row r="125" spans="2:47" x14ac:dyDescent="0.15">
      <c r="B125" s="79" t="s">
        <v>7</v>
      </c>
      <c r="C125" s="23">
        <f>tbl_model!R126</f>
        <v>13047.961003397271</v>
      </c>
      <c r="D125" s="23">
        <f>tbl_model!S126</f>
        <v>12927.145330737576</v>
      </c>
      <c r="E125" s="24">
        <f>tbl_model!T126</f>
        <v>13161.583643135762</v>
      </c>
      <c r="F125" s="24">
        <f>tbl_model!U126</f>
        <v>13588.757543401762</v>
      </c>
      <c r="G125" s="24">
        <f>tbl_model!V126</f>
        <v>14155.734669307738</v>
      </c>
      <c r="H125" s="24">
        <f>tbl_model!W126</f>
        <v>14777.193160056806</v>
      </c>
      <c r="I125" s="24">
        <f>tbl_model!X126</f>
        <v>15407.477319228543</v>
      </c>
      <c r="K125" s="20">
        <f t="shared" si="27"/>
        <v>-9.2593526780344604E-3</v>
      </c>
      <c r="L125" s="20">
        <f t="shared" si="27"/>
        <v>1.8135350566590214E-2</v>
      </c>
      <c r="M125" s="20">
        <f t="shared" si="27"/>
        <v>3.2456117124536554E-2</v>
      </c>
      <c r="N125" s="20">
        <f t="shared" si="27"/>
        <v>4.1723985735640845E-2</v>
      </c>
      <c r="O125" s="20">
        <f t="shared" si="27"/>
        <v>4.3901535686205362E-2</v>
      </c>
      <c r="P125" s="20">
        <f t="shared" si="27"/>
        <v>4.2652495121699774E-2</v>
      </c>
      <c r="Q125" s="20"/>
      <c r="R125" s="23">
        <v>13047.961003397271</v>
      </c>
      <c r="S125" s="23">
        <v>12927.145330737576</v>
      </c>
      <c r="T125" s="24">
        <v>13275.664436997296</v>
      </c>
      <c r="U125" s="24">
        <v>13827.543828248385</v>
      </c>
      <c r="V125" s="24">
        <v>14443.965945112341</v>
      </c>
      <c r="W125" s="24">
        <v>15016.109404253995</v>
      </c>
      <c r="X125" s="24">
        <v>15611.203002128324</v>
      </c>
      <c r="Z125" s="20">
        <f t="shared" si="32"/>
        <v>-9.2593526780344604E-3</v>
      </c>
      <c r="AA125" s="20">
        <f t="shared" si="32"/>
        <v>2.6960252812430863E-2</v>
      </c>
      <c r="AB125" s="20">
        <f t="shared" si="32"/>
        <v>4.1570754810063004E-2</v>
      </c>
      <c r="AC125" s="20">
        <f t="shared" si="32"/>
        <v>4.4579292209847354E-2</v>
      </c>
      <c r="AD125" s="20">
        <f t="shared" si="32"/>
        <v>3.9611243983530775E-2</v>
      </c>
      <c r="AE125" s="20">
        <f t="shared" si="32"/>
        <v>3.963034510828356E-2</v>
      </c>
      <c r="AG125" s="23">
        <f t="shared" si="29"/>
        <v>0</v>
      </c>
      <c r="AH125" s="23">
        <f t="shared" si="29"/>
        <v>0</v>
      </c>
      <c r="AI125" s="24">
        <f t="shared" si="29"/>
        <v>-114.0807938615344</v>
      </c>
      <c r="AJ125" s="24">
        <f t="shared" si="29"/>
        <v>-238.78628484662295</v>
      </c>
      <c r="AK125" s="24">
        <f t="shared" si="29"/>
        <v>-288.23127580460277</v>
      </c>
      <c r="AL125" s="24">
        <f t="shared" si="29"/>
        <v>-238.91624419718937</v>
      </c>
      <c r="AM125" s="24">
        <f t="shared" si="29"/>
        <v>-203.72568289978153</v>
      </c>
      <c r="AO125" s="20">
        <f t="shared" si="30"/>
        <v>0</v>
      </c>
      <c r="AP125" s="20">
        <f t="shared" si="30"/>
        <v>0</v>
      </c>
      <c r="AQ125" s="20">
        <f t="shared" si="30"/>
        <v>-8.5932266820188952E-3</v>
      </c>
      <c r="AR125" s="20">
        <f t="shared" si="30"/>
        <v>-1.7268886492972424E-2</v>
      </c>
      <c r="AS125" s="20">
        <f t="shared" si="30"/>
        <v>-1.9955133991584662E-2</v>
      </c>
      <c r="AT125" s="20">
        <f t="shared" si="30"/>
        <v>-1.5910662193863945E-2</v>
      </c>
      <c r="AU125" s="20">
        <f t="shared" si="30"/>
        <v>-1.3049966929006507E-2</v>
      </c>
    </row>
    <row r="126" spans="2:47" ht="4" customHeight="1" x14ac:dyDescent="0.15">
      <c r="C126" s="50"/>
      <c r="D126" s="50"/>
      <c r="E126" s="51"/>
      <c r="F126" s="51"/>
      <c r="G126" s="51"/>
      <c r="H126" s="51"/>
      <c r="I126" s="51"/>
      <c r="L126" s="50"/>
      <c r="M126" s="50"/>
      <c r="N126" s="50"/>
      <c r="O126" s="50"/>
      <c r="P126" s="50"/>
      <c r="Q126" s="50"/>
      <c r="R126" s="50"/>
      <c r="S126" s="50"/>
      <c r="T126" s="51"/>
      <c r="U126" s="51"/>
      <c r="V126" s="51"/>
      <c r="W126" s="51"/>
      <c r="X126" s="51"/>
      <c r="AA126" s="50"/>
      <c r="AB126" s="50"/>
      <c r="AC126" s="50"/>
      <c r="AD126" s="50"/>
      <c r="AE126" s="50"/>
      <c r="AG126" s="50"/>
      <c r="AH126" s="50"/>
      <c r="AI126" s="51"/>
      <c r="AJ126" s="51"/>
      <c r="AK126" s="51"/>
      <c r="AL126" s="51"/>
      <c r="AM126" s="51"/>
      <c r="AO126" s="50"/>
      <c r="AP126" s="50"/>
      <c r="AQ126" s="50"/>
      <c r="AR126" s="50"/>
      <c r="AS126" s="50"/>
      <c r="AT126" s="50"/>
      <c r="AU126" s="50"/>
    </row>
    <row r="127" spans="2:47" x14ac:dyDescent="0.15">
      <c r="B127" s="52" t="s">
        <v>65</v>
      </c>
      <c r="K127" s="80"/>
      <c r="L127" s="80"/>
      <c r="M127" s="80"/>
      <c r="N127" s="80"/>
      <c r="O127" s="80"/>
      <c r="P127" s="80"/>
      <c r="Q127" s="80"/>
      <c r="Z127" s="80"/>
      <c r="AA127" s="80"/>
      <c r="AB127" s="80"/>
      <c r="AC127" s="80"/>
      <c r="AD127" s="80"/>
      <c r="AE127" s="80"/>
    </row>
    <row r="128" spans="2:47" x14ac:dyDescent="0.15">
      <c r="B128" s="53"/>
      <c r="C128" s="54"/>
      <c r="D128" s="54"/>
      <c r="E128" s="54"/>
      <c r="F128" s="54"/>
      <c r="G128" s="54"/>
      <c r="H128" s="54"/>
      <c r="I128" s="54"/>
      <c r="K128" s="81"/>
      <c r="L128" s="81"/>
      <c r="M128" s="81"/>
      <c r="N128" s="81"/>
      <c r="O128" s="81"/>
      <c r="P128" s="81"/>
      <c r="Q128" s="81"/>
      <c r="R128" s="54"/>
      <c r="S128" s="54"/>
      <c r="T128" s="54"/>
      <c r="U128" s="54"/>
      <c r="V128" s="54"/>
      <c r="W128" s="54"/>
      <c r="X128" s="54"/>
      <c r="Z128" s="81"/>
      <c r="AA128" s="81"/>
      <c r="AB128" s="81"/>
      <c r="AC128" s="81"/>
      <c r="AD128" s="81"/>
      <c r="AE128" s="81"/>
      <c r="AG128" s="54"/>
      <c r="AH128" s="54"/>
      <c r="AI128" s="54"/>
      <c r="AJ128" s="54"/>
      <c r="AK128" s="54"/>
      <c r="AL128" s="54"/>
      <c r="AM128" s="54"/>
      <c r="AO128" s="54"/>
      <c r="AP128" s="54"/>
      <c r="AQ128" s="54"/>
      <c r="AR128" s="54"/>
      <c r="AS128" s="54"/>
      <c r="AT128" s="54"/>
      <c r="AU128" s="54"/>
    </row>
    <row r="130" spans="2:49" ht="16" x14ac:dyDescent="0.2">
      <c r="B130" s="8" t="s">
        <v>66</v>
      </c>
    </row>
    <row r="131" spans="2:49" ht="10.5" customHeight="1" x14ac:dyDescent="0.15">
      <c r="C131" s="6"/>
      <c r="D131" s="7"/>
      <c r="R131" s="6"/>
      <c r="S131" s="7"/>
      <c r="AG131" s="6"/>
      <c r="AH131" s="7"/>
      <c r="AO131" s="6"/>
      <c r="AP131" s="7"/>
    </row>
    <row r="132" spans="2:49" ht="4" customHeight="1" x14ac:dyDescent="0.2">
      <c r="B132" s="4"/>
    </row>
    <row r="133" spans="2:49" x14ac:dyDescent="0.15">
      <c r="C133" s="9">
        <v>2024</v>
      </c>
      <c r="D133" s="9">
        <v>2025</v>
      </c>
      <c r="E133" s="10">
        <v>2026</v>
      </c>
      <c r="F133" s="10">
        <v>2027</v>
      </c>
      <c r="G133" s="10">
        <v>2028</v>
      </c>
      <c r="H133" s="10">
        <v>2029</v>
      </c>
      <c r="I133" s="10">
        <v>2030</v>
      </c>
      <c r="K133" s="9">
        <v>2025</v>
      </c>
      <c r="L133" s="9">
        <v>2026</v>
      </c>
      <c r="M133" s="9">
        <v>2027</v>
      </c>
      <c r="N133" s="9">
        <v>2028</v>
      </c>
      <c r="O133" s="9">
        <v>2029</v>
      </c>
      <c r="P133" s="9">
        <v>2030</v>
      </c>
      <c r="Q133" s="9"/>
      <c r="R133" s="9">
        <v>2024</v>
      </c>
      <c r="S133" s="9">
        <v>2025</v>
      </c>
      <c r="T133" s="10">
        <v>2026</v>
      </c>
      <c r="U133" s="10">
        <v>2027</v>
      </c>
      <c r="V133" s="10">
        <v>2028</v>
      </c>
      <c r="W133" s="10">
        <v>2029</v>
      </c>
      <c r="X133" s="10">
        <v>2030</v>
      </c>
      <c r="Z133" s="9">
        <v>2025</v>
      </c>
      <c r="AA133" s="9">
        <v>2026</v>
      </c>
      <c r="AB133" s="9">
        <v>2027</v>
      </c>
      <c r="AC133" s="9">
        <v>2028</v>
      </c>
      <c r="AD133" s="9">
        <v>2029</v>
      </c>
      <c r="AE133" s="9">
        <v>2030</v>
      </c>
      <c r="AG133" s="9">
        <v>2024</v>
      </c>
      <c r="AH133" s="9">
        <v>2025</v>
      </c>
      <c r="AI133" s="10">
        <v>2026</v>
      </c>
      <c r="AJ133" s="10">
        <v>2027</v>
      </c>
      <c r="AK133" s="10">
        <v>2028</v>
      </c>
      <c r="AL133" s="10">
        <v>2029</v>
      </c>
      <c r="AM133" s="10">
        <v>2030</v>
      </c>
      <c r="AO133" s="9">
        <v>2024</v>
      </c>
      <c r="AP133" s="9">
        <v>2025</v>
      </c>
      <c r="AQ133" s="9">
        <v>2026</v>
      </c>
      <c r="AR133" s="9">
        <v>2027</v>
      </c>
      <c r="AS133" s="9">
        <v>2028</v>
      </c>
      <c r="AT133" s="9">
        <v>2029</v>
      </c>
      <c r="AU133" s="9">
        <v>2030</v>
      </c>
    </row>
    <row r="134" spans="2:49" ht="4" customHeight="1" x14ac:dyDescent="0.15">
      <c r="E134" s="11"/>
      <c r="F134" s="11"/>
      <c r="G134" s="11"/>
      <c r="H134" s="11"/>
      <c r="I134" s="11"/>
      <c r="T134" s="11"/>
      <c r="U134" s="11"/>
      <c r="V134" s="11"/>
      <c r="W134" s="11"/>
      <c r="X134" s="11"/>
      <c r="AI134" s="11"/>
      <c r="AJ134" s="11"/>
      <c r="AK134" s="11"/>
      <c r="AL134" s="11"/>
      <c r="AM134" s="11"/>
    </row>
    <row r="135" spans="2:49" x14ac:dyDescent="0.15">
      <c r="B135" s="12" t="s">
        <v>9</v>
      </c>
      <c r="C135" s="85">
        <f>tbl_model!R136</f>
        <v>26.035311849565957</v>
      </c>
      <c r="D135" s="85">
        <f>tbl_model!S136</f>
        <v>25.414717339367012</v>
      </c>
      <c r="E135" s="86">
        <f>tbl_model!T136</f>
        <v>26.005466949564415</v>
      </c>
      <c r="F135" s="86">
        <f>tbl_model!U136</f>
        <v>27.284209362098025</v>
      </c>
      <c r="G135" s="86">
        <f>tbl_model!V136</f>
        <v>28.850495341337567</v>
      </c>
      <c r="H135" s="86">
        <f>tbl_model!W136</f>
        <v>30.826288289848133</v>
      </c>
      <c r="I135" s="86">
        <f>tbl_model!X136</f>
        <v>32.831437905346952</v>
      </c>
      <c r="K135" s="15">
        <f t="shared" ref="K135:P157" si="33">D135/C135-1</f>
        <v>-2.3836645928606015E-2</v>
      </c>
      <c r="L135" s="15">
        <f t="shared" si="33"/>
        <v>2.3244390339228316E-2</v>
      </c>
      <c r="M135" s="15">
        <f t="shared" si="33"/>
        <v>4.9172061205962292E-2</v>
      </c>
      <c r="N135" s="15">
        <f t="shared" si="33"/>
        <v>5.7406317275051855E-2</v>
      </c>
      <c r="O135" s="15">
        <f t="shared" si="33"/>
        <v>6.8483848375372913E-2</v>
      </c>
      <c r="P135" s="15">
        <f t="shared" si="33"/>
        <v>6.5046741814815512E-2</v>
      </c>
      <c r="Q135" s="15"/>
      <c r="R135" s="85">
        <v>26.035311849565957</v>
      </c>
      <c r="S135" s="85">
        <v>25.414717339367012</v>
      </c>
      <c r="T135" s="86">
        <v>26.629010786270534</v>
      </c>
      <c r="U135" s="86">
        <v>28.400292435805824</v>
      </c>
      <c r="V135" s="86">
        <v>30.304179198683595</v>
      </c>
      <c r="W135" s="86">
        <v>32.156350592728401</v>
      </c>
      <c r="X135" s="86">
        <v>34.115873207579497</v>
      </c>
      <c r="Z135" s="15">
        <f t="shared" ref="Z135:AE135" si="34">S135/R135-1</f>
        <v>-2.3836645928606015E-2</v>
      </c>
      <c r="AA135" s="15">
        <f t="shared" si="34"/>
        <v>4.7779144292216857E-2</v>
      </c>
      <c r="AB135" s="15">
        <f t="shared" si="34"/>
        <v>6.6516990201098025E-2</v>
      </c>
      <c r="AC135" s="15">
        <f t="shared" si="34"/>
        <v>6.7037576010218647E-2</v>
      </c>
      <c r="AD135" s="15">
        <f t="shared" si="34"/>
        <v>6.1119338751971952E-2</v>
      </c>
      <c r="AE135" s="15">
        <f t="shared" si="34"/>
        <v>6.0937344528586124E-2</v>
      </c>
      <c r="AG135" s="85">
        <f t="shared" ref="AG135:AM157" si="35">C135-R135</f>
        <v>0</v>
      </c>
      <c r="AH135" s="85">
        <f t="shared" si="35"/>
        <v>0</v>
      </c>
      <c r="AI135" s="86">
        <f t="shared" si="35"/>
        <v>-0.62354383670611924</v>
      </c>
      <c r="AJ135" s="86">
        <f t="shared" si="35"/>
        <v>-1.1160830737077987</v>
      </c>
      <c r="AK135" s="86">
        <f t="shared" si="35"/>
        <v>-1.4536838573460287</v>
      </c>
      <c r="AL135" s="86">
        <f t="shared" si="35"/>
        <v>-1.3300623028802683</v>
      </c>
      <c r="AM135" s="86">
        <f t="shared" si="35"/>
        <v>-1.284435302232545</v>
      </c>
      <c r="AO135" s="15">
        <f t="shared" ref="AO135:AU157" si="36">C135/R135-1</f>
        <v>0</v>
      </c>
      <c r="AP135" s="15">
        <f t="shared" si="36"/>
        <v>0</v>
      </c>
      <c r="AQ135" s="15">
        <f t="shared" si="36"/>
        <v>-2.3415959447791734E-2</v>
      </c>
      <c r="AR135" s="15">
        <f t="shared" si="36"/>
        <v>-3.9298295122506932E-2</v>
      </c>
      <c r="AS135" s="15">
        <f t="shared" si="36"/>
        <v>-4.796974858864278E-2</v>
      </c>
      <c r="AT135" s="15">
        <f t="shared" si="36"/>
        <v>-4.1362352330523433E-2</v>
      </c>
      <c r="AU135" s="15">
        <f t="shared" si="36"/>
        <v>-3.7649199081534412E-2</v>
      </c>
    </row>
    <row r="136" spans="2:49" ht="4" customHeight="1" x14ac:dyDescent="0.15">
      <c r="C136" s="87"/>
      <c r="D136" s="87"/>
      <c r="E136" s="89"/>
      <c r="F136" s="89"/>
      <c r="G136" s="89"/>
      <c r="H136" s="89"/>
      <c r="I136" s="89"/>
      <c r="K136" s="20"/>
      <c r="L136" s="20"/>
      <c r="M136" s="20"/>
      <c r="N136" s="20"/>
      <c r="O136" s="20"/>
      <c r="P136" s="20"/>
      <c r="Q136" s="23"/>
      <c r="R136" s="87"/>
      <c r="S136" s="87"/>
      <c r="T136" s="89"/>
      <c r="U136" s="89"/>
      <c r="V136" s="89"/>
      <c r="W136" s="89"/>
      <c r="X136" s="89"/>
      <c r="Z136" s="20"/>
      <c r="AA136" s="20"/>
      <c r="AB136" s="20"/>
      <c r="AC136" s="20"/>
      <c r="AD136" s="20"/>
      <c r="AE136" s="20"/>
      <c r="AG136" s="87"/>
      <c r="AH136" s="87"/>
      <c r="AI136" s="89"/>
      <c r="AJ136" s="89"/>
      <c r="AK136" s="89"/>
      <c r="AL136" s="89"/>
      <c r="AM136" s="89"/>
      <c r="AO136" s="20"/>
      <c r="AP136" s="20"/>
      <c r="AQ136" s="20"/>
      <c r="AR136" s="20"/>
      <c r="AS136" s="20"/>
      <c r="AT136" s="20"/>
      <c r="AU136" s="20"/>
    </row>
    <row r="137" spans="2:49" x14ac:dyDescent="0.15">
      <c r="B137" s="27" t="s">
        <v>50</v>
      </c>
      <c r="C137" s="88">
        <f>tbl_model!R138</f>
        <v>1.9779324679741852</v>
      </c>
      <c r="D137" s="88">
        <f>tbl_model!S138</f>
        <v>1.8538121484482331</v>
      </c>
      <c r="E137" s="90">
        <f>tbl_model!T138</f>
        <v>2.0408414784770876</v>
      </c>
      <c r="F137" s="90">
        <f>tbl_model!U138</f>
        <v>2.2365282001205999</v>
      </c>
      <c r="G137" s="90">
        <f>tbl_model!V138</f>
        <v>2.461156887290326</v>
      </c>
      <c r="H137" s="90">
        <f>tbl_model!W138</f>
        <v>2.7048946466596573</v>
      </c>
      <c r="I137" s="90">
        <f>tbl_model!X138</f>
        <v>2.9803381308249999</v>
      </c>
      <c r="K137" s="20">
        <f t="shared" si="33"/>
        <v>-6.2752556791323189E-2</v>
      </c>
      <c r="L137" s="20">
        <f t="shared" si="33"/>
        <v>0.10088904109589025</v>
      </c>
      <c r="M137" s="20">
        <f t="shared" si="33"/>
        <v>9.5885311871227286E-2</v>
      </c>
      <c r="N137" s="20">
        <f t="shared" si="33"/>
        <v>0.10043633125556539</v>
      </c>
      <c r="O137" s="20">
        <f t="shared" si="33"/>
        <v>9.9033816425120547E-2</v>
      </c>
      <c r="P137" s="20">
        <f t="shared" si="33"/>
        <v>0.10183150183150191</v>
      </c>
      <c r="Q137" s="20"/>
      <c r="R137" s="88">
        <v>1.9779324679741852</v>
      </c>
      <c r="S137" s="88">
        <v>1.8538121484482331</v>
      </c>
      <c r="T137" s="90">
        <v>2.0012029115933507</v>
      </c>
      <c r="U137" s="90">
        <v>2.2104119993095059</v>
      </c>
      <c r="V137" s="90">
        <v>2.4249159363959181</v>
      </c>
      <c r="W137" s="90">
        <v>2.6526476162693267</v>
      </c>
      <c r="X137" s="90">
        <v>2.9372228394706332</v>
      </c>
      <c r="Z137" s="20">
        <f t="shared" ref="Z137:AE153" si="37">S137/R137-1</f>
        <v>-6.2752556791323189E-2</v>
      </c>
      <c r="AA137" s="20">
        <f t="shared" si="37"/>
        <v>7.9506849315068795E-2</v>
      </c>
      <c r="AB137" s="20">
        <f t="shared" si="37"/>
        <v>0.10454166666666675</v>
      </c>
      <c r="AC137" s="20">
        <f t="shared" si="37"/>
        <v>9.7042513863216273E-2</v>
      </c>
      <c r="AD137" s="20">
        <f t="shared" si="37"/>
        <v>9.3913226621735735E-2</v>
      </c>
      <c r="AE137" s="20">
        <f t="shared" si="37"/>
        <v>0.10727969348658983</v>
      </c>
      <c r="AG137" s="88">
        <f t="shared" si="35"/>
        <v>0</v>
      </c>
      <c r="AH137" s="88">
        <f t="shared" si="35"/>
        <v>0</v>
      </c>
      <c r="AI137" s="90">
        <f t="shared" si="35"/>
        <v>3.9638566883736903E-2</v>
      </c>
      <c r="AJ137" s="90">
        <f t="shared" si="35"/>
        <v>2.6116200811094004E-2</v>
      </c>
      <c r="AK137" s="90">
        <f t="shared" si="35"/>
        <v>3.6240950894407931E-2</v>
      </c>
      <c r="AL137" s="90">
        <f t="shared" si="35"/>
        <v>5.2247030390330629E-2</v>
      </c>
      <c r="AM137" s="90">
        <f t="shared" si="35"/>
        <v>4.3115291354366647E-2</v>
      </c>
      <c r="AO137" s="20">
        <f t="shared" si="36"/>
        <v>0</v>
      </c>
      <c r="AP137" s="20">
        <f t="shared" si="36"/>
        <v>0</v>
      </c>
      <c r="AQ137" s="20">
        <f t="shared" si="36"/>
        <v>1.9807370184254269E-2</v>
      </c>
      <c r="AR137" s="20">
        <f t="shared" si="36"/>
        <v>1.1815082807753674E-2</v>
      </c>
      <c r="AS137" s="20">
        <f t="shared" si="36"/>
        <v>1.494524010109477E-2</v>
      </c>
      <c r="AT137" s="20">
        <f t="shared" si="36"/>
        <v>1.9696182059723011E-2</v>
      </c>
      <c r="AU137" s="20">
        <f t="shared" si="36"/>
        <v>1.4678930987114702E-2</v>
      </c>
      <c r="AV137" s="44"/>
      <c r="AW137" s="44"/>
    </row>
    <row r="138" spans="2:49" x14ac:dyDescent="0.15">
      <c r="B138" s="27" t="s">
        <v>51</v>
      </c>
      <c r="C138" s="88">
        <f>tbl_model!R139</f>
        <v>1.5436450695262471</v>
      </c>
      <c r="D138" s="88">
        <f>tbl_model!S139</f>
        <v>1.7258234712243421</v>
      </c>
      <c r="E138" s="90">
        <f>tbl_model!T139</f>
        <v>1.6597390100768878</v>
      </c>
      <c r="F138" s="90">
        <f>tbl_model!U139</f>
        <v>1.7460454386008859</v>
      </c>
      <c r="G138" s="90">
        <f>tbl_model!V139</f>
        <v>1.8411577784167477</v>
      </c>
      <c r="H138" s="90">
        <f>tbl_model!W139</f>
        <v>1.9530545849860295</v>
      </c>
      <c r="I138" s="90">
        <f>tbl_model!X139</f>
        <v>2.0550229703645</v>
      </c>
      <c r="K138" s="20">
        <f t="shared" si="33"/>
        <v>0.11801832253706257</v>
      </c>
      <c r="L138" s="20">
        <f t="shared" si="33"/>
        <v>-3.8291553133515066E-2</v>
      </c>
      <c r="M138" s="20">
        <f t="shared" si="33"/>
        <v>5.1999999999999824E-2</v>
      </c>
      <c r="N138" s="20">
        <f t="shared" si="33"/>
        <v>5.447300380228115E-2</v>
      </c>
      <c r="O138" s="20">
        <f t="shared" si="33"/>
        <v>6.0775240384615126E-2</v>
      </c>
      <c r="P138" s="20">
        <f t="shared" si="33"/>
        <v>5.2209695603156803E-2</v>
      </c>
      <c r="Q138" s="20"/>
      <c r="R138" s="88">
        <v>1.5436450695262471</v>
      </c>
      <c r="S138" s="88">
        <v>1.7258234712243421</v>
      </c>
      <c r="T138" s="90">
        <v>1.7587410851169047</v>
      </c>
      <c r="U138" s="90">
        <v>1.8528854608496328</v>
      </c>
      <c r="V138" s="90">
        <v>1.9646172474335304</v>
      </c>
      <c r="W138" s="90">
        <v>2.0832391608567686</v>
      </c>
      <c r="X138" s="90">
        <v>2.197010750869488</v>
      </c>
      <c r="Z138" s="20">
        <f t="shared" si="37"/>
        <v>0.11801832253706257</v>
      </c>
      <c r="AA138" s="20">
        <f t="shared" si="37"/>
        <v>1.9073569482288999E-2</v>
      </c>
      <c r="AB138" s="20">
        <f t="shared" si="37"/>
        <v>5.3529411764705603E-2</v>
      </c>
      <c r="AC138" s="20">
        <f t="shared" si="37"/>
        <v>6.0301507537688481E-2</v>
      </c>
      <c r="AD138" s="20">
        <f t="shared" si="37"/>
        <v>6.037914691943147E-2</v>
      </c>
      <c r="AE138" s="20">
        <f t="shared" si="37"/>
        <v>5.4612831858406929E-2</v>
      </c>
      <c r="AG138" s="88">
        <f t="shared" si="35"/>
        <v>0</v>
      </c>
      <c r="AH138" s="88">
        <f t="shared" si="35"/>
        <v>0</v>
      </c>
      <c r="AI138" s="90">
        <f t="shared" si="35"/>
        <v>-9.9002075040016901E-2</v>
      </c>
      <c r="AJ138" s="90">
        <f t="shared" si="35"/>
        <v>-0.10684002224874689</v>
      </c>
      <c r="AK138" s="90">
        <f t="shared" si="35"/>
        <v>-0.12345946901678273</v>
      </c>
      <c r="AL138" s="90">
        <f t="shared" si="35"/>
        <v>-0.13018457587073917</v>
      </c>
      <c r="AM138" s="90">
        <f t="shared" si="35"/>
        <v>-0.14198778050498806</v>
      </c>
      <c r="AO138" s="20">
        <f t="shared" si="36"/>
        <v>0</v>
      </c>
      <c r="AP138" s="20">
        <f t="shared" si="36"/>
        <v>0</v>
      </c>
      <c r="AQ138" s="20">
        <f t="shared" si="36"/>
        <v>-5.629144385026752E-2</v>
      </c>
      <c r="AR138" s="20">
        <f t="shared" si="36"/>
        <v>-5.7661428353890765E-2</v>
      </c>
      <c r="AS138" s="20">
        <f t="shared" si="36"/>
        <v>-6.2841486899325338E-2</v>
      </c>
      <c r="AT138" s="20">
        <f t="shared" si="36"/>
        <v>-6.2491421204466269E-2</v>
      </c>
      <c r="AU138" s="20">
        <f t="shared" si="36"/>
        <v>-6.4627713109184803E-2</v>
      </c>
      <c r="AV138" s="44"/>
      <c r="AW138" s="44"/>
    </row>
    <row r="139" spans="2:49" x14ac:dyDescent="0.15">
      <c r="B139" s="27" t="s">
        <v>52</v>
      </c>
      <c r="C139" s="88">
        <f>tbl_model!R140</f>
        <v>0.88887373164978778</v>
      </c>
      <c r="D139" s="88">
        <f>tbl_model!S140</f>
        <v>1.0206091610614692</v>
      </c>
      <c r="E139" s="90">
        <f>tbl_model!T140</f>
        <v>1.1305048811104028</v>
      </c>
      <c r="F139" s="90">
        <f>tbl_model!U140</f>
        <v>1.2084214747360498</v>
      </c>
      <c r="G139" s="90">
        <f>tbl_model!V140</f>
        <v>1.308633640211712</v>
      </c>
      <c r="H139" s="90">
        <f>tbl_model!W140</f>
        <v>1.4428423952707203</v>
      </c>
      <c r="I139" s="90">
        <f>tbl_model!X140</f>
        <v>1.5997027422195944</v>
      </c>
      <c r="K139" s="20">
        <f t="shared" si="33"/>
        <v>0.1482048852621336</v>
      </c>
      <c r="L139" s="20">
        <f t="shared" si="33"/>
        <v>0.1076765957446808</v>
      </c>
      <c r="M139" s="20">
        <f t="shared" si="33"/>
        <v>6.8921943573667654E-2</v>
      </c>
      <c r="N139" s="20">
        <f t="shared" si="33"/>
        <v>8.2928156748911741E-2</v>
      </c>
      <c r="O139" s="20">
        <f t="shared" si="33"/>
        <v>0.10255639999999988</v>
      </c>
      <c r="P139" s="20">
        <f t="shared" si="33"/>
        <v>0.10871620314389396</v>
      </c>
      <c r="Q139" s="20"/>
      <c r="R139" s="88">
        <v>0.88887373164978778</v>
      </c>
      <c r="S139" s="88">
        <v>1.0206091610614692</v>
      </c>
      <c r="T139" s="90">
        <v>1.0524059805636683</v>
      </c>
      <c r="U139" s="90">
        <v>1.1273391505449846</v>
      </c>
      <c r="V139" s="90">
        <v>1.2341956273182912</v>
      </c>
      <c r="W139" s="90">
        <v>1.3444314318680868</v>
      </c>
      <c r="X139" s="90">
        <v>1.4820459394214023</v>
      </c>
      <c r="Z139" s="20">
        <f t="shared" si="37"/>
        <v>0.1482048852621336</v>
      </c>
      <c r="AA139" s="20">
        <f t="shared" si="37"/>
        <v>3.1154746317512361E-2</v>
      </c>
      <c r="AB139" s="20">
        <f t="shared" si="37"/>
        <v>7.1201771336554032E-2</v>
      </c>
      <c r="AC139" s="20">
        <f t="shared" si="37"/>
        <v>9.4786450662739385E-2</v>
      </c>
      <c r="AD139" s="20">
        <f t="shared" si="37"/>
        <v>8.9317934782608299E-2</v>
      </c>
      <c r="AE139" s="20">
        <f t="shared" si="37"/>
        <v>0.10235888888888911</v>
      </c>
      <c r="AG139" s="88">
        <f t="shared" si="35"/>
        <v>0</v>
      </c>
      <c r="AH139" s="88">
        <f t="shared" si="35"/>
        <v>0</v>
      </c>
      <c r="AI139" s="90">
        <f t="shared" si="35"/>
        <v>7.8098900546734518E-2</v>
      </c>
      <c r="AJ139" s="90">
        <f t="shared" si="35"/>
        <v>8.1082324191065203E-2</v>
      </c>
      <c r="AK139" s="90">
        <f t="shared" si="35"/>
        <v>7.443801289342078E-2</v>
      </c>
      <c r="AL139" s="90">
        <f t="shared" si="35"/>
        <v>9.8410963402633556E-2</v>
      </c>
      <c r="AM139" s="90">
        <f t="shared" si="35"/>
        <v>0.11765680279819213</v>
      </c>
      <c r="AO139" s="20">
        <f t="shared" si="36"/>
        <v>0</v>
      </c>
      <c r="AP139" s="20">
        <f t="shared" si="36"/>
        <v>0</v>
      </c>
      <c r="AQ139" s="20">
        <f t="shared" si="36"/>
        <v>7.4209860062658395E-2</v>
      </c>
      <c r="AR139" s="20">
        <f t="shared" si="36"/>
        <v>7.192363021533299E-2</v>
      </c>
      <c r="AS139" s="20">
        <f t="shared" si="36"/>
        <v>6.0312977331772544E-2</v>
      </c>
      <c r="AT139" s="20">
        <f t="shared" si="36"/>
        <v>7.3198945717812824E-2</v>
      </c>
      <c r="AU139" s="20">
        <f t="shared" si="36"/>
        <v>7.9388094301669154E-2</v>
      </c>
      <c r="AV139" s="44"/>
      <c r="AW139" s="44"/>
    </row>
    <row r="140" spans="2:49" x14ac:dyDescent="0.15">
      <c r="B140" s="27" t="s">
        <v>53</v>
      </c>
      <c r="C140" s="88">
        <f>tbl_model!R141</f>
        <v>1.0426858701909778</v>
      </c>
      <c r="D140" s="88">
        <f>tbl_model!S141</f>
        <v>0.91643992083616721</v>
      </c>
      <c r="E140" s="90">
        <f>tbl_model!T141</f>
        <v>0.81350531883684141</v>
      </c>
      <c r="F140" s="90">
        <f>tbl_model!U141</f>
        <v>0.89152180980134166</v>
      </c>
      <c r="G140" s="90">
        <f>tbl_model!V141</f>
        <v>0.9985797255288974</v>
      </c>
      <c r="H140" s="90">
        <f>tbl_model!W141</f>
        <v>1.1380501781469918</v>
      </c>
      <c r="I140" s="90">
        <f>tbl_model!X141</f>
        <v>1.2792712501175636</v>
      </c>
      <c r="K140" s="20">
        <f t="shared" si="33"/>
        <v>-0.12107764472888416</v>
      </c>
      <c r="L140" s="20">
        <f t="shared" si="33"/>
        <v>-0.11232007648183573</v>
      </c>
      <c r="M140" s="20">
        <f t="shared" si="33"/>
        <v>9.5901635991820111E-2</v>
      </c>
      <c r="N140" s="20">
        <f t="shared" si="33"/>
        <v>0.12008446069469847</v>
      </c>
      <c r="O140" s="20">
        <f t="shared" si="33"/>
        <v>0.13966882067851305</v>
      </c>
      <c r="P140" s="20">
        <f t="shared" si="33"/>
        <v>0.12409037376586696</v>
      </c>
      <c r="Q140" s="20"/>
      <c r="R140" s="88">
        <v>1.0426858701909778</v>
      </c>
      <c r="S140" s="88">
        <v>0.91643992083616721</v>
      </c>
      <c r="T140" s="90">
        <v>0.96177399585320134</v>
      </c>
      <c r="U140" s="90">
        <v>1.0807765501290176</v>
      </c>
      <c r="V140" s="90">
        <v>1.2008903762928256</v>
      </c>
      <c r="W140" s="90">
        <v>1.3254540128205188</v>
      </c>
      <c r="X140" s="90">
        <v>1.4524965037403605</v>
      </c>
      <c r="Z140" s="20">
        <f t="shared" si="37"/>
        <v>-0.12107764472888416</v>
      </c>
      <c r="AA140" s="20">
        <f t="shared" si="37"/>
        <v>4.9467590822179552E-2</v>
      </c>
      <c r="AB140" s="20">
        <f t="shared" si="37"/>
        <v>0.12373234750462103</v>
      </c>
      <c r="AC140" s="20">
        <f t="shared" si="37"/>
        <v>0.11113659539473675</v>
      </c>
      <c r="AD140" s="20">
        <f t="shared" si="37"/>
        <v>0.10372606774668625</v>
      </c>
      <c r="AE140" s="20">
        <f t="shared" si="37"/>
        <v>9.5848282694847908E-2</v>
      </c>
      <c r="AG140" s="88">
        <f t="shared" si="35"/>
        <v>0</v>
      </c>
      <c r="AH140" s="88">
        <f t="shared" si="35"/>
        <v>0</v>
      </c>
      <c r="AI140" s="90">
        <f t="shared" si="35"/>
        <v>-0.14826867701635993</v>
      </c>
      <c r="AJ140" s="90">
        <f t="shared" si="35"/>
        <v>-0.18925474032767597</v>
      </c>
      <c r="AK140" s="90">
        <f t="shared" si="35"/>
        <v>-0.20231065076392818</v>
      </c>
      <c r="AL140" s="90">
        <f t="shared" si="35"/>
        <v>-0.18740383467352695</v>
      </c>
      <c r="AM140" s="90">
        <f t="shared" si="35"/>
        <v>-0.17322525362279695</v>
      </c>
      <c r="AO140" s="20">
        <f t="shared" si="36"/>
        <v>0</v>
      </c>
      <c r="AP140" s="20">
        <f t="shared" si="36"/>
        <v>0</v>
      </c>
      <c r="AQ140" s="20">
        <f t="shared" si="36"/>
        <v>-0.15416166132130549</v>
      </c>
      <c r="AR140" s="20">
        <f t="shared" si="36"/>
        <v>-0.17510996172620852</v>
      </c>
      <c r="AS140" s="20">
        <f t="shared" si="36"/>
        <v>-0.16846720962863027</v>
      </c>
      <c r="AT140" s="20">
        <f t="shared" si="36"/>
        <v>-0.14138840945129305</v>
      </c>
      <c r="AU140" s="20">
        <f t="shared" si="36"/>
        <v>-0.11926035840824412</v>
      </c>
      <c r="AV140" s="44"/>
      <c r="AW140" s="44"/>
    </row>
    <row r="141" spans="2:49" x14ac:dyDescent="0.15">
      <c r="B141" s="27" t="s">
        <v>54</v>
      </c>
      <c r="C141" s="88">
        <f>tbl_model!R142</f>
        <v>1.3345486775737465</v>
      </c>
      <c r="D141" s="88">
        <f>tbl_model!S142</f>
        <v>1.2782437206450217</v>
      </c>
      <c r="E141" s="90">
        <f>tbl_model!T142</f>
        <v>1.2979839470483283</v>
      </c>
      <c r="F141" s="90">
        <f>tbl_model!U142</f>
        <v>1.3619843646553362</v>
      </c>
      <c r="G141" s="90">
        <f>tbl_model!V142</f>
        <v>1.458308916760894</v>
      </c>
      <c r="H141" s="90">
        <f>tbl_model!W142</f>
        <v>1.6186892960166488</v>
      </c>
      <c r="I141" s="90">
        <f>tbl_model!X142</f>
        <v>1.764799080872671</v>
      </c>
      <c r="K141" s="20">
        <f t="shared" si="33"/>
        <v>-4.2190260928577805E-2</v>
      </c>
      <c r="L141" s="20">
        <f t="shared" si="33"/>
        <v>1.5443241444867306E-2</v>
      </c>
      <c r="M141" s="20">
        <f t="shared" si="33"/>
        <v>4.9307557117749923E-2</v>
      </c>
      <c r="N141" s="20">
        <f t="shared" si="33"/>
        <v>7.0723684210525883E-2</v>
      </c>
      <c r="O141" s="20">
        <f t="shared" si="33"/>
        <v>0.10997695852534584</v>
      </c>
      <c r="P141" s="20">
        <f t="shared" si="33"/>
        <v>9.0264255910986968E-2</v>
      </c>
      <c r="Q141" s="20"/>
      <c r="R141" s="88">
        <v>1.3345486775737465</v>
      </c>
      <c r="S141" s="88">
        <v>1.2782437206450217</v>
      </c>
      <c r="T141" s="90">
        <v>1.345939119271</v>
      </c>
      <c r="U141" s="90">
        <v>1.4335199464686337</v>
      </c>
      <c r="V141" s="90">
        <v>1.5561236261008193</v>
      </c>
      <c r="W141" s="90">
        <v>1.7258825671299998</v>
      </c>
      <c r="X141" s="90">
        <v>1.8767794036003824</v>
      </c>
      <c r="Z141" s="20">
        <f t="shared" si="37"/>
        <v>-4.2190260928577805E-2</v>
      </c>
      <c r="AA141" s="20">
        <f t="shared" si="37"/>
        <v>5.2959695817490937E-2</v>
      </c>
      <c r="AB141" s="20">
        <f t="shared" si="37"/>
        <v>6.5070422535211003E-2</v>
      </c>
      <c r="AC141" s="20">
        <f t="shared" si="37"/>
        <v>8.5526315789473673E-2</v>
      </c>
      <c r="AD141" s="20">
        <f t="shared" si="37"/>
        <v>0.10909090909090913</v>
      </c>
      <c r="AE141" s="20">
        <f t="shared" si="37"/>
        <v>8.7431693989071135E-2</v>
      </c>
      <c r="AG141" s="88">
        <f t="shared" si="35"/>
        <v>0</v>
      </c>
      <c r="AH141" s="88">
        <f t="shared" si="35"/>
        <v>0</v>
      </c>
      <c r="AI141" s="90">
        <f t="shared" si="35"/>
        <v>-4.7955172222671649E-2</v>
      </c>
      <c r="AJ141" s="90">
        <f t="shared" si="35"/>
        <v>-7.1535581813297444E-2</v>
      </c>
      <c r="AK141" s="90">
        <f t="shared" si="35"/>
        <v>-9.781470933992531E-2</v>
      </c>
      <c r="AL141" s="90">
        <f t="shared" si="35"/>
        <v>-0.10719327111335097</v>
      </c>
      <c r="AM141" s="90">
        <f t="shared" si="35"/>
        <v>-0.11198032272771141</v>
      </c>
      <c r="AO141" s="20">
        <f t="shared" si="36"/>
        <v>0</v>
      </c>
      <c r="AP141" s="20">
        <f t="shared" si="36"/>
        <v>0</v>
      </c>
      <c r="AQ141" s="20">
        <f t="shared" si="36"/>
        <v>-3.5629525538009132E-2</v>
      </c>
      <c r="AR141" s="20">
        <f t="shared" si="36"/>
        <v>-4.9902048443427605E-2</v>
      </c>
      <c r="AS141" s="20">
        <f t="shared" si="36"/>
        <v>-6.2857929601017437E-2</v>
      </c>
      <c r="AT141" s="20">
        <f t="shared" si="36"/>
        <v>-6.2109249583304216E-2</v>
      </c>
      <c r="AU141" s="20">
        <f t="shared" si="36"/>
        <v>-5.966621464029831E-2</v>
      </c>
      <c r="AV141" s="44"/>
      <c r="AW141" s="44"/>
    </row>
    <row r="142" spans="2:49" x14ac:dyDescent="0.15">
      <c r="B142" s="27" t="s">
        <v>55</v>
      </c>
      <c r="C142" s="88">
        <f>tbl_model!R143</f>
        <v>1.3487874016562782</v>
      </c>
      <c r="D142" s="88">
        <f>tbl_model!S143</f>
        <v>1.3140921086944699</v>
      </c>
      <c r="E142" s="90">
        <f>tbl_model!T143</f>
        <v>1.3740033554816171</v>
      </c>
      <c r="F142" s="90">
        <f>tbl_model!U143</f>
        <v>1.4355543361852154</v>
      </c>
      <c r="G142" s="90">
        <f>tbl_model!V143</f>
        <v>1.5213688567086692</v>
      </c>
      <c r="H142" s="90">
        <f>tbl_model!W143</f>
        <v>1.642735107163269</v>
      </c>
      <c r="I142" s="90">
        <f>tbl_model!X143</f>
        <v>1.754061058716625</v>
      </c>
      <c r="K142" s="20">
        <f t="shared" si="33"/>
        <v>-2.5723322236850144E-2</v>
      </c>
      <c r="L142" s="20">
        <f t="shared" si="33"/>
        <v>4.5591360294118255E-2</v>
      </c>
      <c r="M142" s="20">
        <f t="shared" si="33"/>
        <v>4.479681978798622E-2</v>
      </c>
      <c r="N142" s="20">
        <f t="shared" si="33"/>
        <v>5.9777967549102806E-2</v>
      </c>
      <c r="O142" s="20">
        <f t="shared" si="33"/>
        <v>7.9774375503626205E-2</v>
      </c>
      <c r="P142" s="20">
        <f t="shared" si="33"/>
        <v>6.7768656716418185E-2</v>
      </c>
      <c r="Q142" s="20"/>
      <c r="R142" s="88">
        <v>1.3487874016562782</v>
      </c>
      <c r="S142" s="88">
        <v>1.3140921086944699</v>
      </c>
      <c r="T142" s="90">
        <v>1.3574373402753375</v>
      </c>
      <c r="U142" s="90">
        <v>1.4443302376354894</v>
      </c>
      <c r="V142" s="90">
        <v>1.5405966685582277</v>
      </c>
      <c r="W142" s="90">
        <v>1.6598556838273786</v>
      </c>
      <c r="X142" s="90">
        <v>1.7662139402002472</v>
      </c>
      <c r="Z142" s="20">
        <f t="shared" si="37"/>
        <v>-2.5723322236850144E-2</v>
      </c>
      <c r="AA142" s="20">
        <f t="shared" si="37"/>
        <v>3.2984926470588372E-2</v>
      </c>
      <c r="AB142" s="20">
        <f t="shared" si="37"/>
        <v>6.4012455516014422E-2</v>
      </c>
      <c r="AC142" s="20">
        <f t="shared" si="37"/>
        <v>6.6651260504201559E-2</v>
      </c>
      <c r="AD142" s="20">
        <f t="shared" si="37"/>
        <v>7.7410926365795607E-2</v>
      </c>
      <c r="AE142" s="20">
        <f t="shared" si="37"/>
        <v>6.4076809453471606E-2</v>
      </c>
      <c r="AG142" s="88">
        <f t="shared" si="35"/>
        <v>0</v>
      </c>
      <c r="AH142" s="88">
        <f t="shared" si="35"/>
        <v>0</v>
      </c>
      <c r="AI142" s="90">
        <f t="shared" si="35"/>
        <v>1.656601520627965E-2</v>
      </c>
      <c r="AJ142" s="90">
        <f t="shared" si="35"/>
        <v>-8.7759014502739596E-3</v>
      </c>
      <c r="AK142" s="90">
        <f t="shared" si="35"/>
        <v>-1.9227811849558574E-2</v>
      </c>
      <c r="AL142" s="90">
        <f t="shared" si="35"/>
        <v>-1.7120576664109599E-2</v>
      </c>
      <c r="AM142" s="90">
        <f t="shared" si="35"/>
        <v>-1.2152881483622258E-2</v>
      </c>
      <c r="AO142" s="20">
        <f t="shared" si="36"/>
        <v>0</v>
      </c>
      <c r="AP142" s="20">
        <f t="shared" si="36"/>
        <v>0</v>
      </c>
      <c r="AQ142" s="20">
        <f t="shared" si="36"/>
        <v>1.2203889428089143E-2</v>
      </c>
      <c r="AR142" s="20">
        <f t="shared" si="36"/>
        <v>-6.0761044957702293E-3</v>
      </c>
      <c r="AS142" s="20">
        <f t="shared" si="36"/>
        <v>-1.2480756477003752E-2</v>
      </c>
      <c r="AT142" s="20">
        <f t="shared" si="36"/>
        <v>-1.0314497116178267E-2</v>
      </c>
      <c r="AU142" s="20">
        <f t="shared" si="36"/>
        <v>-6.8807527825560655E-3</v>
      </c>
      <c r="AV142" s="44"/>
      <c r="AW142" s="44"/>
    </row>
    <row r="143" spans="2:49" x14ac:dyDescent="0.15">
      <c r="B143" s="27" t="s">
        <v>56</v>
      </c>
      <c r="C143" s="88">
        <f>tbl_model!R144</f>
        <v>1.0116673550222794</v>
      </c>
      <c r="D143" s="88">
        <f>tbl_model!S144</f>
        <v>0.94125232329725173</v>
      </c>
      <c r="E143" s="90">
        <f>tbl_model!T144</f>
        <v>0.87659525707409647</v>
      </c>
      <c r="F143" s="90">
        <f>tbl_model!U144</f>
        <v>0.92327068363546727</v>
      </c>
      <c r="G143" s="90">
        <f>tbl_model!V144</f>
        <v>0.96879966751920921</v>
      </c>
      <c r="H143" s="90">
        <f>tbl_model!W144</f>
        <v>1.0427409582724494</v>
      </c>
      <c r="I143" s="90">
        <f>tbl_model!X144</f>
        <v>1.1166122454368115</v>
      </c>
      <c r="K143" s="20">
        <f t="shared" si="33"/>
        <v>-6.9602949403736569E-2</v>
      </c>
      <c r="L143" s="20">
        <f t="shared" si="33"/>
        <v>-6.8692596685082763E-2</v>
      </c>
      <c r="M143" s="20">
        <f t="shared" si="33"/>
        <v>5.3246268656716556E-2</v>
      </c>
      <c r="N143" s="20">
        <f t="shared" si="33"/>
        <v>4.9312714776632127E-2</v>
      </c>
      <c r="O143" s="20">
        <f t="shared" si="33"/>
        <v>7.6322580645161286E-2</v>
      </c>
      <c r="P143" s="20">
        <f t="shared" si="33"/>
        <v>7.0843373493976403E-2</v>
      </c>
      <c r="Q143" s="20"/>
      <c r="R143" s="88">
        <v>1.0116673550222794</v>
      </c>
      <c r="S143" s="88">
        <v>0.94125232329725173</v>
      </c>
      <c r="T143" s="90">
        <v>0.97508887090454865</v>
      </c>
      <c r="U143" s="90">
        <v>1.0395143855893136</v>
      </c>
      <c r="V143" s="90">
        <v>1.095293206279472</v>
      </c>
      <c r="W143" s="90">
        <v>1.1612136307314778</v>
      </c>
      <c r="X143" s="90">
        <v>1.2254437878898419</v>
      </c>
      <c r="Z143" s="20">
        <f t="shared" si="37"/>
        <v>-6.9602949403736569E-2</v>
      </c>
      <c r="AA143" s="20">
        <f t="shared" si="37"/>
        <v>3.594843462246744E-2</v>
      </c>
      <c r="AB143" s="20">
        <f t="shared" si="37"/>
        <v>6.6071428571428781E-2</v>
      </c>
      <c r="AC143" s="20">
        <f t="shared" si="37"/>
        <v>5.3658536585365901E-2</v>
      </c>
      <c r="AD143" s="20">
        <f t="shared" si="37"/>
        <v>6.0185185185185563E-2</v>
      </c>
      <c r="AE143" s="20">
        <f t="shared" si="37"/>
        <v>5.5312954876273634E-2</v>
      </c>
      <c r="AG143" s="88">
        <f t="shared" si="35"/>
        <v>0</v>
      </c>
      <c r="AH143" s="88">
        <f t="shared" si="35"/>
        <v>0</v>
      </c>
      <c r="AI143" s="90">
        <f t="shared" si="35"/>
        <v>-9.8493613830452187E-2</v>
      </c>
      <c r="AJ143" s="90">
        <f t="shared" si="35"/>
        <v>-0.11624370195384637</v>
      </c>
      <c r="AK143" s="90">
        <f t="shared" si="35"/>
        <v>-0.12649353876026281</v>
      </c>
      <c r="AL143" s="90">
        <f t="shared" si="35"/>
        <v>-0.11847267245902837</v>
      </c>
      <c r="AM143" s="90">
        <f t="shared" si="35"/>
        <v>-0.10883154245303039</v>
      </c>
      <c r="AO143" s="20">
        <f t="shared" si="36"/>
        <v>0</v>
      </c>
      <c r="AP143" s="20">
        <f t="shared" si="36"/>
        <v>0</v>
      </c>
      <c r="AQ143" s="20">
        <f t="shared" si="36"/>
        <v>-0.10100988409300971</v>
      </c>
      <c r="AR143" s="20">
        <f t="shared" si="36"/>
        <v>-0.11182500556540775</v>
      </c>
      <c r="AS143" s="20">
        <f t="shared" si="36"/>
        <v>-0.1154882893777277</v>
      </c>
      <c r="AT143" s="20">
        <f t="shared" si="36"/>
        <v>-0.10202487236082425</v>
      </c>
      <c r="AU143" s="20">
        <f t="shared" si="36"/>
        <v>-8.8809901791116252E-2</v>
      </c>
      <c r="AV143" s="44"/>
      <c r="AW143" s="44"/>
    </row>
    <row r="144" spans="2:49" x14ac:dyDescent="0.15">
      <c r="B144" s="27" t="s">
        <v>57</v>
      </c>
      <c r="C144" s="88">
        <f>tbl_model!R145</f>
        <v>1.0770152789368417</v>
      </c>
      <c r="D144" s="88">
        <f>tbl_model!S145</f>
        <v>1.0905716914465917</v>
      </c>
      <c r="E144" s="90">
        <f>tbl_model!T145</f>
        <v>0.97169937707891341</v>
      </c>
      <c r="F144" s="90">
        <f>tbl_model!U145</f>
        <v>1.0227539050484049</v>
      </c>
      <c r="G144" s="90">
        <f>tbl_model!V145</f>
        <v>1.0846243551357304</v>
      </c>
      <c r="H144" s="90">
        <f>tbl_model!W145</f>
        <v>1.1658696251833505</v>
      </c>
      <c r="I144" s="90">
        <f>tbl_model!X145</f>
        <v>1.2532082904845423</v>
      </c>
      <c r="K144" s="20">
        <f t="shared" si="33"/>
        <v>1.258701967824627E-2</v>
      </c>
      <c r="L144" s="20">
        <f t="shared" si="33"/>
        <v>-0.10899999999999987</v>
      </c>
      <c r="M144" s="20">
        <f t="shared" si="33"/>
        <v>5.2541484716157605E-2</v>
      </c>
      <c r="N144" s="20">
        <f t="shared" si="33"/>
        <v>6.0493975903614272E-2</v>
      </c>
      <c r="O144" s="20">
        <f t="shared" si="33"/>
        <v>7.4906367041198241E-2</v>
      </c>
      <c r="P144" s="20">
        <f t="shared" si="33"/>
        <v>7.4912891986062879E-2</v>
      </c>
      <c r="Q144" s="20"/>
      <c r="R144" s="88">
        <v>1.0770152789368417</v>
      </c>
      <c r="S144" s="88">
        <v>1.0905716914465917</v>
      </c>
      <c r="T144" s="90">
        <v>1.1456717546345265</v>
      </c>
      <c r="U144" s="90">
        <v>1.2290747724924886</v>
      </c>
      <c r="V144" s="90">
        <v>1.308823898951925</v>
      </c>
      <c r="W144" s="90">
        <v>1.3979552755830598</v>
      </c>
      <c r="X144" s="90">
        <v>1.4826253922575519</v>
      </c>
      <c r="Z144" s="20">
        <f t="shared" si="37"/>
        <v>1.258701967824627E-2</v>
      </c>
      <c r="AA144" s="20">
        <f t="shared" si="37"/>
        <v>5.0524017467248994E-2</v>
      </c>
      <c r="AB144" s="20">
        <f t="shared" si="37"/>
        <v>7.2798353909464986E-2</v>
      </c>
      <c r="AC144" s="20">
        <f t="shared" si="37"/>
        <v>6.4885496183206159E-2</v>
      </c>
      <c r="AD144" s="20">
        <f t="shared" si="37"/>
        <v>6.8100358422939156E-2</v>
      </c>
      <c r="AE144" s="20">
        <f t="shared" si="37"/>
        <v>6.0567114093959651E-2</v>
      </c>
      <c r="AG144" s="88">
        <f t="shared" si="35"/>
        <v>0</v>
      </c>
      <c r="AH144" s="88">
        <f t="shared" si="35"/>
        <v>0</v>
      </c>
      <c r="AI144" s="90">
        <f t="shared" si="35"/>
        <v>-0.17397237755561312</v>
      </c>
      <c r="AJ144" s="90">
        <f t="shared" si="35"/>
        <v>-0.20632086744408373</v>
      </c>
      <c r="AK144" s="90">
        <f t="shared" si="35"/>
        <v>-0.22419954381619456</v>
      </c>
      <c r="AL144" s="90">
        <f t="shared" si="35"/>
        <v>-0.2320856503997093</v>
      </c>
      <c r="AM144" s="90">
        <f t="shared" si="35"/>
        <v>-0.22941710177300956</v>
      </c>
      <c r="AO144" s="20">
        <f t="shared" si="36"/>
        <v>0</v>
      </c>
      <c r="AP144" s="20">
        <f t="shared" si="36"/>
        <v>0</v>
      </c>
      <c r="AQ144" s="20">
        <f t="shared" si="36"/>
        <v>-0.15185185185185168</v>
      </c>
      <c r="AR144" s="20">
        <f t="shared" si="36"/>
        <v>-0.1678668149909851</v>
      </c>
      <c r="AS144" s="20">
        <f t="shared" si="36"/>
        <v>-0.17129847949424537</v>
      </c>
      <c r="AT144" s="20">
        <f t="shared" si="36"/>
        <v>-0.16601793666318176</v>
      </c>
      <c r="AU144" s="20">
        <f t="shared" si="36"/>
        <v>-0.15473706505436458</v>
      </c>
      <c r="AV144" s="44"/>
      <c r="AW144" s="44"/>
    </row>
    <row r="145" spans="2:49" x14ac:dyDescent="0.15">
      <c r="B145" s="27" t="s">
        <v>58</v>
      </c>
      <c r="C145" s="88">
        <f>tbl_model!R146</f>
        <v>0.44027870629061111</v>
      </c>
      <c r="D145" s="88">
        <f>tbl_model!S146</f>
        <v>0.47455794290189168</v>
      </c>
      <c r="E145" s="90">
        <f>tbl_model!T146</f>
        <v>0.44397268348186464</v>
      </c>
      <c r="F145" s="90">
        <f>tbl_model!U146</f>
        <v>0.46100177271130605</v>
      </c>
      <c r="G145" s="90">
        <f>tbl_model!V146</f>
        <v>0.48377679290127529</v>
      </c>
      <c r="H145" s="90">
        <f>tbl_model!W146</f>
        <v>0.51253189459890836</v>
      </c>
      <c r="I145" s="90">
        <f>tbl_model!X146</f>
        <v>0.54176416991290066</v>
      </c>
      <c r="K145" s="20">
        <f t="shared" si="33"/>
        <v>7.7858038832007814E-2</v>
      </c>
      <c r="L145" s="20">
        <f t="shared" si="33"/>
        <v>-6.4450000000000229E-2</v>
      </c>
      <c r="M145" s="20">
        <f t="shared" si="33"/>
        <v>3.8356164383561708E-2</v>
      </c>
      <c r="N145" s="20">
        <f t="shared" si="33"/>
        <v>4.9403324538258797E-2</v>
      </c>
      <c r="O145" s="20">
        <f t="shared" si="33"/>
        <v>5.9438778625954258E-2</v>
      </c>
      <c r="P145" s="20">
        <f t="shared" si="33"/>
        <v>5.7035036496350333E-2</v>
      </c>
      <c r="Q145" s="20"/>
      <c r="R145" s="88">
        <v>0.44027870629061111</v>
      </c>
      <c r="S145" s="88">
        <v>0.47455794290189168</v>
      </c>
      <c r="T145" s="90">
        <v>0.49666064161239076</v>
      </c>
      <c r="U145" s="90">
        <v>0.5223569791014675</v>
      </c>
      <c r="V145" s="90">
        <v>0.54352756800258228</v>
      </c>
      <c r="W145" s="90">
        <v>0.56494308574918761</v>
      </c>
      <c r="X145" s="90">
        <v>0.58924365181350546</v>
      </c>
      <c r="Z145" s="20">
        <f t="shared" si="37"/>
        <v>7.7858038832007814E-2</v>
      </c>
      <c r="AA145" s="20">
        <f t="shared" si="37"/>
        <v>4.6575342465753566E-2</v>
      </c>
      <c r="AB145" s="20">
        <f t="shared" si="37"/>
        <v>5.173821989528804E-2</v>
      </c>
      <c r="AC145" s="20">
        <f t="shared" si="37"/>
        <v>4.0528967254407799E-2</v>
      </c>
      <c r="AD145" s="20">
        <f t="shared" si="37"/>
        <v>3.9400977995109887E-2</v>
      </c>
      <c r="AE145" s="20">
        <f t="shared" si="37"/>
        <v>4.301418439716298E-2</v>
      </c>
      <c r="AG145" s="88">
        <f t="shared" si="35"/>
        <v>0</v>
      </c>
      <c r="AH145" s="88">
        <f t="shared" si="35"/>
        <v>0</v>
      </c>
      <c r="AI145" s="90">
        <f t="shared" si="35"/>
        <v>-5.2687958130526125E-2</v>
      </c>
      <c r="AJ145" s="90">
        <f t="shared" si="35"/>
        <v>-6.1355206390161454E-2</v>
      </c>
      <c r="AK145" s="90">
        <f t="shared" si="35"/>
        <v>-5.9750775101306997E-2</v>
      </c>
      <c r="AL145" s="90">
        <f t="shared" si="35"/>
        <v>-5.2411191150279257E-2</v>
      </c>
      <c r="AM145" s="90">
        <f t="shared" si="35"/>
        <v>-4.7479481900604803E-2</v>
      </c>
      <c r="AO145" s="20">
        <f t="shared" si="36"/>
        <v>0</v>
      </c>
      <c r="AP145" s="20">
        <f t="shared" si="36"/>
        <v>0</v>
      </c>
      <c r="AQ145" s="20">
        <f t="shared" si="36"/>
        <v>-0.10608442408376995</v>
      </c>
      <c r="AR145" s="20">
        <f t="shared" si="36"/>
        <v>-0.11745838352863902</v>
      </c>
      <c r="AS145" s="20">
        <f t="shared" si="36"/>
        <v>-0.10993145264164983</v>
      </c>
      <c r="AT145" s="20">
        <f t="shared" si="36"/>
        <v>-9.2772515448658388E-2</v>
      </c>
      <c r="AU145" s="20">
        <f t="shared" si="36"/>
        <v>-8.057699349747427E-2</v>
      </c>
      <c r="AV145" s="44"/>
      <c r="AW145" s="44"/>
    </row>
    <row r="146" spans="2:49" x14ac:dyDescent="0.15">
      <c r="B146" s="27" t="s">
        <v>59</v>
      </c>
      <c r="C146" s="88">
        <f>tbl_model!R147</f>
        <v>0.46474814399597086</v>
      </c>
      <c r="D146" s="88">
        <f>tbl_model!S147</f>
        <v>0.37659771224175187</v>
      </c>
      <c r="E146" s="90">
        <f>tbl_model!T147</f>
        <v>0.36042801293007964</v>
      </c>
      <c r="F146" s="90">
        <f>tbl_model!U147</f>
        <v>0.39112319050913691</v>
      </c>
      <c r="G146" s="90">
        <f>tbl_model!V147</f>
        <v>0.43364508775790056</v>
      </c>
      <c r="H146" s="90">
        <f>tbl_model!W147</f>
        <v>0.483938712531163</v>
      </c>
      <c r="I146" s="90">
        <f>tbl_model!X147</f>
        <v>0.54043072354741051</v>
      </c>
      <c r="K146" s="20">
        <f t="shared" si="33"/>
        <v>-0.18967355306960243</v>
      </c>
      <c r="L146" s="20">
        <f t="shared" si="33"/>
        <v>-4.2936265372988558E-2</v>
      </c>
      <c r="M146" s="20">
        <f t="shared" si="33"/>
        <v>8.5163129606721011E-2</v>
      </c>
      <c r="N146" s="20">
        <f t="shared" si="33"/>
        <v>0.10871740229315385</v>
      </c>
      <c r="O146" s="20">
        <f t="shared" si="33"/>
        <v>0.11597877202598639</v>
      </c>
      <c r="P146" s="20">
        <f t="shared" si="33"/>
        <v>0.11673381267800464</v>
      </c>
      <c r="Q146" s="20"/>
      <c r="R146" s="88">
        <v>0.46474814399597086</v>
      </c>
      <c r="S146" s="88">
        <v>0.37659771224175187</v>
      </c>
      <c r="T146" s="90">
        <v>0.39408133862450084</v>
      </c>
      <c r="U146" s="90">
        <v>0.44664991491900857</v>
      </c>
      <c r="V146" s="90">
        <v>0.49638924310960791</v>
      </c>
      <c r="W146" s="90">
        <v>0.54580053079997981</v>
      </c>
      <c r="X146" s="90">
        <v>0.60391088940600945</v>
      </c>
      <c r="Z146" s="20">
        <f t="shared" si="37"/>
        <v>-0.18967355306960243</v>
      </c>
      <c r="AA146" s="20">
        <f t="shared" si="37"/>
        <v>4.642520603398026E-2</v>
      </c>
      <c r="AB146" s="20">
        <f t="shared" si="37"/>
        <v>0.13339524393109503</v>
      </c>
      <c r="AC146" s="20">
        <f t="shared" si="37"/>
        <v>0.11136088137309641</v>
      </c>
      <c r="AD146" s="20">
        <f t="shared" si="37"/>
        <v>9.9541415081513707E-2</v>
      </c>
      <c r="AE146" s="20">
        <f t="shared" si="37"/>
        <v>0.10646812402482886</v>
      </c>
      <c r="AG146" s="88">
        <f t="shared" si="35"/>
        <v>0</v>
      </c>
      <c r="AH146" s="88">
        <f t="shared" si="35"/>
        <v>0</v>
      </c>
      <c r="AI146" s="90">
        <f t="shared" si="35"/>
        <v>-3.3653325694421199E-2</v>
      </c>
      <c r="AJ146" s="90">
        <f t="shared" si="35"/>
        <v>-5.5526724409871664E-2</v>
      </c>
      <c r="AK146" s="90">
        <f t="shared" si="35"/>
        <v>-6.2744155351707354E-2</v>
      </c>
      <c r="AL146" s="90">
        <f t="shared" si="35"/>
        <v>-6.1861818268816815E-2</v>
      </c>
      <c r="AM146" s="90">
        <f t="shared" si="35"/>
        <v>-6.3480165858598947E-2</v>
      </c>
      <c r="AO146" s="20">
        <f t="shared" si="36"/>
        <v>0</v>
      </c>
      <c r="AP146" s="20">
        <f t="shared" si="36"/>
        <v>0</v>
      </c>
      <c r="AQ146" s="20">
        <f t="shared" si="36"/>
        <v>-8.5396902608696368E-2</v>
      </c>
      <c r="AR146" s="20">
        <f t="shared" si="36"/>
        <v>-0.12431822453148877</v>
      </c>
      <c r="AS146" s="20">
        <f t="shared" si="36"/>
        <v>-0.12640111811982357</v>
      </c>
      <c r="AT146" s="20">
        <f t="shared" si="36"/>
        <v>-0.11334144028432136</v>
      </c>
      <c r="AU146" s="20">
        <f t="shared" si="36"/>
        <v>-0.10511512041294091</v>
      </c>
      <c r="AV146" s="44"/>
      <c r="AW146" s="44"/>
    </row>
    <row r="147" spans="2:49" x14ac:dyDescent="0.15">
      <c r="B147" s="27" t="s">
        <v>60</v>
      </c>
      <c r="C147" s="88">
        <f>tbl_model!R148</f>
        <v>0.53295906288688355</v>
      </c>
      <c r="D147" s="88">
        <f>tbl_model!S148</f>
        <v>0.43550745111576777</v>
      </c>
      <c r="E147" s="90">
        <f>tbl_model!T148</f>
        <v>0.4772850894714315</v>
      </c>
      <c r="F147" s="90">
        <f>tbl_model!U148</f>
        <v>0.49924251489505672</v>
      </c>
      <c r="G147" s="90">
        <f>tbl_model!V148</f>
        <v>0.52175601211753508</v>
      </c>
      <c r="H147" s="90">
        <f>tbl_model!W148</f>
        <v>0.54782630413240108</v>
      </c>
      <c r="I147" s="90">
        <f>tbl_model!X148</f>
        <v>0.57879222996381996</v>
      </c>
      <c r="K147" s="20">
        <f t="shared" si="33"/>
        <v>-0.18285008841626382</v>
      </c>
      <c r="L147" s="20">
        <f t="shared" si="33"/>
        <v>9.5928641975308704E-2</v>
      </c>
      <c r="M147" s="20">
        <f t="shared" si="33"/>
        <v>4.6004842615012143E-2</v>
      </c>
      <c r="N147" s="20">
        <f t="shared" si="33"/>
        <v>4.5095312499999762E-2</v>
      </c>
      <c r="O147" s="20">
        <f t="shared" si="33"/>
        <v>4.9966442953019996E-2</v>
      </c>
      <c r="P147" s="20">
        <f t="shared" si="33"/>
        <v>5.6525080299785868E-2</v>
      </c>
      <c r="Q147" s="20"/>
      <c r="R147" s="88">
        <v>0.53295906288688355</v>
      </c>
      <c r="S147" s="88">
        <v>0.43550745111576777</v>
      </c>
      <c r="T147" s="90">
        <v>0.46663816891774668</v>
      </c>
      <c r="U147" s="90">
        <v>0.4915580665696469</v>
      </c>
      <c r="V147" s="90">
        <v>0.51414477337695841</v>
      </c>
      <c r="W147" s="90">
        <v>0.54419400923600103</v>
      </c>
      <c r="X147" s="90">
        <v>0.57453088383429995</v>
      </c>
      <c r="Z147" s="20">
        <f t="shared" si="37"/>
        <v>-0.18285008841626382</v>
      </c>
      <c r="AA147" s="20">
        <f t="shared" si="37"/>
        <v>7.1481481481481257E-2</v>
      </c>
      <c r="AB147" s="20">
        <f t="shared" si="37"/>
        <v>5.3403041825095032E-2</v>
      </c>
      <c r="AC147" s="20">
        <f t="shared" si="37"/>
        <v>4.5949214026602236E-2</v>
      </c>
      <c r="AD147" s="20">
        <f t="shared" si="37"/>
        <v>5.8445086705201765E-2</v>
      </c>
      <c r="AE147" s="20">
        <f t="shared" si="37"/>
        <v>5.5746432491767361E-2</v>
      </c>
      <c r="AG147" s="88">
        <f t="shared" si="35"/>
        <v>0</v>
      </c>
      <c r="AH147" s="88">
        <f t="shared" si="35"/>
        <v>0</v>
      </c>
      <c r="AI147" s="90">
        <f t="shared" si="35"/>
        <v>1.0646920553684824E-2</v>
      </c>
      <c r="AJ147" s="90">
        <f t="shared" si="35"/>
        <v>7.6844483254098206E-3</v>
      </c>
      <c r="AK147" s="90">
        <f t="shared" si="35"/>
        <v>7.6112387405766757E-3</v>
      </c>
      <c r="AL147" s="90">
        <f t="shared" si="35"/>
        <v>3.6322948964000457E-3</v>
      </c>
      <c r="AM147" s="90">
        <f t="shared" si="35"/>
        <v>4.261346129520005E-3</v>
      </c>
      <c r="AO147" s="20">
        <f t="shared" si="36"/>
        <v>0</v>
      </c>
      <c r="AP147" s="20">
        <f t="shared" si="36"/>
        <v>0</v>
      </c>
      <c r="AQ147" s="20">
        <f t="shared" si="36"/>
        <v>2.2816223067173791E-2</v>
      </c>
      <c r="AR147" s="20">
        <f t="shared" si="36"/>
        <v>1.5632839430417711E-2</v>
      </c>
      <c r="AS147" s="20">
        <f t="shared" si="36"/>
        <v>1.4803687861271619E-2</v>
      </c>
      <c r="AT147" s="20">
        <f t="shared" si="36"/>
        <v>6.6746322722286422E-3</v>
      </c>
      <c r="AU147" s="20">
        <f t="shared" si="36"/>
        <v>7.4170880094046598E-3</v>
      </c>
      <c r="AV147" s="44"/>
      <c r="AW147" s="44"/>
    </row>
    <row r="148" spans="2:49" x14ac:dyDescent="0.15">
      <c r="B148" s="27" t="s">
        <v>61</v>
      </c>
      <c r="C148" s="88">
        <f>tbl_model!R149</f>
        <v>0.28250605934137285</v>
      </c>
      <c r="D148" s="88">
        <f>tbl_model!S149</f>
        <v>0.24792297143092201</v>
      </c>
      <c r="E148" s="90">
        <f>tbl_model!T149</f>
        <v>0.21938061877289844</v>
      </c>
      <c r="F148" s="90">
        <f>tbl_model!U149</f>
        <v>0.24885362468107924</v>
      </c>
      <c r="G148" s="90">
        <f>tbl_model!V149</f>
        <v>0.28980377274247832</v>
      </c>
      <c r="H148" s="90">
        <f>tbl_model!W149</f>
        <v>0.32432083320584931</v>
      </c>
      <c r="I148" s="90">
        <f>tbl_model!X149</f>
        <v>0.34780925009540958</v>
      </c>
      <c r="K148" s="20">
        <f t="shared" si="33"/>
        <v>-0.1224153846153847</v>
      </c>
      <c r="L148" s="20">
        <f t="shared" si="33"/>
        <v>-0.11512588967971549</v>
      </c>
      <c r="M148" s="20">
        <f t="shared" si="33"/>
        <v>0.13434644351464375</v>
      </c>
      <c r="N148" s="20">
        <f t="shared" si="33"/>
        <v>0.16455516014234917</v>
      </c>
      <c r="O148" s="20">
        <f t="shared" si="33"/>
        <v>0.11910493827160451</v>
      </c>
      <c r="P148" s="20">
        <f t="shared" si="33"/>
        <v>7.2423398328691269E-2</v>
      </c>
      <c r="Q148" s="20"/>
      <c r="R148" s="88">
        <v>0.28250605934137285</v>
      </c>
      <c r="S148" s="88">
        <v>0.24792297143092201</v>
      </c>
      <c r="T148" s="90">
        <v>0.20702891546713825</v>
      </c>
      <c r="U148" s="90">
        <v>0.2441642033204644</v>
      </c>
      <c r="V148" s="90">
        <v>0.29214629763152422</v>
      </c>
      <c r="W148" s="90">
        <v>0.31706465831186015</v>
      </c>
      <c r="X148" s="90">
        <v>0.34198301899219602</v>
      </c>
      <c r="Z148" s="20">
        <f t="shared" si="37"/>
        <v>-0.1224153846153847</v>
      </c>
      <c r="AA148" s="20">
        <f t="shared" si="37"/>
        <v>-0.16494661921708187</v>
      </c>
      <c r="AB148" s="20">
        <f t="shared" si="37"/>
        <v>0.17937246963562758</v>
      </c>
      <c r="AC148" s="20">
        <f t="shared" si="37"/>
        <v>0.19651567944250847</v>
      </c>
      <c r="AD148" s="20">
        <f t="shared" si="37"/>
        <v>8.5294117647058965E-2</v>
      </c>
      <c r="AE148" s="20">
        <f t="shared" si="37"/>
        <v>7.8590785907858951E-2</v>
      </c>
      <c r="AG148" s="88">
        <f t="shared" si="35"/>
        <v>0</v>
      </c>
      <c r="AH148" s="88">
        <f t="shared" si="35"/>
        <v>0</v>
      </c>
      <c r="AI148" s="90">
        <f t="shared" si="35"/>
        <v>1.2351703305760187E-2</v>
      </c>
      <c r="AJ148" s="90">
        <f t="shared" si="35"/>
        <v>4.6894213606148427E-3</v>
      </c>
      <c r="AK148" s="90">
        <f t="shared" si="35"/>
        <v>-2.3425248890459049E-3</v>
      </c>
      <c r="AL148" s="90">
        <f t="shared" si="35"/>
        <v>7.2561748939891646E-3</v>
      </c>
      <c r="AM148" s="90">
        <f t="shared" si="35"/>
        <v>5.8262311032135639E-3</v>
      </c>
      <c r="AO148" s="20">
        <f t="shared" si="36"/>
        <v>0</v>
      </c>
      <c r="AP148" s="20">
        <f t="shared" si="36"/>
        <v>0</v>
      </c>
      <c r="AQ148" s="20">
        <f t="shared" si="36"/>
        <v>5.9661730236522326E-2</v>
      </c>
      <c r="AR148" s="20">
        <f t="shared" si="36"/>
        <v>1.9206015037593449E-2</v>
      </c>
      <c r="AS148" s="20">
        <f t="shared" si="36"/>
        <v>-8.0183281733745559E-3</v>
      </c>
      <c r="AT148" s="20">
        <f t="shared" si="36"/>
        <v>2.2885473684210123E-2</v>
      </c>
      <c r="AU148" s="20">
        <f t="shared" si="36"/>
        <v>1.703660936260265E-2</v>
      </c>
      <c r="AV148" s="44"/>
      <c r="AW148" s="44"/>
    </row>
    <row r="149" spans="2:49" x14ac:dyDescent="0.15">
      <c r="B149" s="27" t="s">
        <v>23</v>
      </c>
      <c r="C149" s="88">
        <f>tbl_model!R150</f>
        <v>3.7385925544218321</v>
      </c>
      <c r="D149" s="88">
        <f>tbl_model!S150</f>
        <v>3.0184989260212478</v>
      </c>
      <c r="E149" s="90">
        <f>tbl_model!T150</f>
        <v>2.8870202688920115</v>
      </c>
      <c r="F149" s="90">
        <f>tbl_model!U150</f>
        <v>2.973010302508448</v>
      </c>
      <c r="G149" s="90">
        <f>tbl_model!V150</f>
        <v>3.1215765694717921</v>
      </c>
      <c r="H149" s="90">
        <f>tbl_model!W150</f>
        <v>3.3715810520140455</v>
      </c>
      <c r="I149" s="90">
        <f>tbl_model!X150</f>
        <v>3.6094066419333704</v>
      </c>
      <c r="K149" s="20">
        <f t="shared" si="33"/>
        <v>-0.19261088709677421</v>
      </c>
      <c r="L149" s="20">
        <f t="shared" si="33"/>
        <v>-4.3557629255989605E-2</v>
      </c>
      <c r="M149" s="20">
        <f t="shared" si="33"/>
        <v>2.9785046728971531E-2</v>
      </c>
      <c r="N149" s="20">
        <f t="shared" si="33"/>
        <v>4.9971662337662481E-2</v>
      </c>
      <c r="O149" s="20">
        <f t="shared" si="33"/>
        <v>8.0089171922685498E-2</v>
      </c>
      <c r="P149" s="20">
        <f t="shared" si="33"/>
        <v>7.0538298279158251E-2</v>
      </c>
      <c r="Q149" s="20"/>
      <c r="R149" s="88">
        <v>3.7385925544218321</v>
      </c>
      <c r="S149" s="88">
        <v>3.0184989260212478</v>
      </c>
      <c r="T149" s="90">
        <v>3.1589561900441785</v>
      </c>
      <c r="U149" s="90">
        <v>3.3728285437247867</v>
      </c>
      <c r="V149" s="90">
        <v>3.607144670102044</v>
      </c>
      <c r="W149" s="90">
        <v>3.8182010071824823</v>
      </c>
      <c r="X149" s="90">
        <v>4.0182020123206126</v>
      </c>
      <c r="Z149" s="20">
        <f t="shared" si="37"/>
        <v>-0.19261088709677421</v>
      </c>
      <c r="AA149" s="20">
        <f t="shared" si="37"/>
        <v>4.6532156368221944E-2</v>
      </c>
      <c r="AB149" s="20">
        <f t="shared" si="37"/>
        <v>6.7703488372093279E-2</v>
      </c>
      <c r="AC149" s="20">
        <f t="shared" si="37"/>
        <v>6.9471698113207303E-2</v>
      </c>
      <c r="AD149" s="20">
        <f t="shared" si="37"/>
        <v>5.8510638297872175E-2</v>
      </c>
      <c r="AE149" s="20">
        <f t="shared" si="37"/>
        <v>5.2380952380952417E-2</v>
      </c>
      <c r="AG149" s="88">
        <f t="shared" si="35"/>
        <v>0</v>
      </c>
      <c r="AH149" s="88">
        <f t="shared" si="35"/>
        <v>0</v>
      </c>
      <c r="AI149" s="90">
        <f t="shared" si="35"/>
        <v>-0.27193592115216703</v>
      </c>
      <c r="AJ149" s="90">
        <f t="shared" si="35"/>
        <v>-0.39981824121633869</v>
      </c>
      <c r="AK149" s="90">
        <f t="shared" si="35"/>
        <v>-0.48556810063025191</v>
      </c>
      <c r="AL149" s="90">
        <f t="shared" si="35"/>
        <v>-0.44661995516843689</v>
      </c>
      <c r="AM149" s="90">
        <f t="shared" si="35"/>
        <v>-0.40879537038724223</v>
      </c>
      <c r="AO149" s="20">
        <f t="shared" si="36"/>
        <v>0</v>
      </c>
      <c r="AP149" s="20">
        <f t="shared" si="36"/>
        <v>0</v>
      </c>
      <c r="AQ149" s="20">
        <f t="shared" si="36"/>
        <v>-8.6084106518857451E-2</v>
      </c>
      <c r="AR149" s="20">
        <f t="shared" si="36"/>
        <v>-0.11854093264248733</v>
      </c>
      <c r="AS149" s="20">
        <f t="shared" si="36"/>
        <v>-0.13461287113181286</v>
      </c>
      <c r="AT149" s="20">
        <f t="shared" si="36"/>
        <v>-0.11697130515871024</v>
      </c>
      <c r="AU149" s="20">
        <f t="shared" si="36"/>
        <v>-0.10173589310188824</v>
      </c>
      <c r="AV149" s="44"/>
      <c r="AW149" s="44"/>
    </row>
    <row r="150" spans="2:49" x14ac:dyDescent="0.15">
      <c r="B150" s="27" t="s">
        <v>22</v>
      </c>
      <c r="C150" s="88">
        <f>tbl_model!R151</f>
        <v>4.8630585924710452</v>
      </c>
      <c r="D150" s="88">
        <f>tbl_model!S151</f>
        <v>5.3538698436953656</v>
      </c>
      <c r="E150" s="90">
        <f>tbl_model!T151</f>
        <v>6.0596290285516492</v>
      </c>
      <c r="F150" s="90">
        <f>tbl_model!U151</f>
        <v>6.4223052461432726</v>
      </c>
      <c r="G150" s="90">
        <f>tbl_model!V151</f>
        <v>6.7119918776199601</v>
      </c>
      <c r="H150" s="90">
        <f>tbl_model!W151</f>
        <v>6.9594618844678005</v>
      </c>
      <c r="I150" s="90">
        <f>tbl_model!X151</f>
        <v>7.2118157557803482</v>
      </c>
      <c r="K150" s="20">
        <f t="shared" si="33"/>
        <v>0.10092645233273378</v>
      </c>
      <c r="L150" s="20">
        <f t="shared" si="33"/>
        <v>0.1318222529610753</v>
      </c>
      <c r="M150" s="20">
        <f t="shared" si="33"/>
        <v>5.9851224535820924E-2</v>
      </c>
      <c r="N150" s="20">
        <f t="shared" si="33"/>
        <v>4.5106331819193768E-2</v>
      </c>
      <c r="O150" s="20">
        <f t="shared" si="33"/>
        <v>3.6869831096338013E-2</v>
      </c>
      <c r="P150" s="20">
        <f t="shared" si="33"/>
        <v>3.626054363136233E-2</v>
      </c>
      <c r="Q150" s="20"/>
      <c r="R150" s="88">
        <v>4.8630585924710452</v>
      </c>
      <c r="S150" s="88">
        <v>5.3538698436953656</v>
      </c>
      <c r="T150" s="90">
        <v>5.5964551762813119</v>
      </c>
      <c r="U150" s="90">
        <v>5.8442714121807233</v>
      </c>
      <c r="V150" s="90">
        <v>6.1062523888891356</v>
      </c>
      <c r="W150" s="90">
        <v>6.3465535749805237</v>
      </c>
      <c r="X150" s="90">
        <v>6.5688001178863731</v>
      </c>
      <c r="Z150" s="20">
        <f t="shared" si="37"/>
        <v>0.10092645233273378</v>
      </c>
      <c r="AA150" s="20">
        <f t="shared" si="37"/>
        <v>4.5310278297409745E-2</v>
      </c>
      <c r="AB150" s="20">
        <f t="shared" si="37"/>
        <v>4.428092928353955E-2</v>
      </c>
      <c r="AC150" s="20">
        <f t="shared" si="37"/>
        <v>4.4826969562431263E-2</v>
      </c>
      <c r="AD150" s="20">
        <f t="shared" si="37"/>
        <v>3.9353300647814171E-2</v>
      </c>
      <c r="AE150" s="20">
        <f t="shared" si="37"/>
        <v>3.5018461639084286E-2</v>
      </c>
      <c r="AG150" s="88">
        <f t="shared" si="35"/>
        <v>0</v>
      </c>
      <c r="AH150" s="88">
        <f t="shared" si="35"/>
        <v>0</v>
      </c>
      <c r="AI150" s="90">
        <f t="shared" si="35"/>
        <v>0.46317385227033725</v>
      </c>
      <c r="AJ150" s="90">
        <f t="shared" si="35"/>
        <v>0.57803383396254926</v>
      </c>
      <c r="AK150" s="90">
        <f t="shared" si="35"/>
        <v>0.6057394887308245</v>
      </c>
      <c r="AL150" s="90">
        <f t="shared" si="35"/>
        <v>0.6129083094872767</v>
      </c>
      <c r="AM150" s="90">
        <f t="shared" si="35"/>
        <v>0.64301563789397509</v>
      </c>
      <c r="AO150" s="20">
        <f t="shared" si="36"/>
        <v>0</v>
      </c>
      <c r="AP150" s="20">
        <f t="shared" si="36"/>
        <v>0</v>
      </c>
      <c r="AQ150" s="20">
        <f t="shared" si="36"/>
        <v>8.2762005176659548E-2</v>
      </c>
      <c r="AR150" s="20">
        <f t="shared" si="36"/>
        <v>9.8906055724551356E-2</v>
      </c>
      <c r="AS150" s="20">
        <f t="shared" si="36"/>
        <v>9.919987746216008E-2</v>
      </c>
      <c r="AT150" s="20">
        <f t="shared" si="36"/>
        <v>9.6573408267361494E-2</v>
      </c>
      <c r="AU150" s="20">
        <f t="shared" si="36"/>
        <v>9.7889359754316452E-2</v>
      </c>
      <c r="AV150" s="44"/>
      <c r="AW150" s="44"/>
    </row>
    <row r="151" spans="2:49" x14ac:dyDescent="0.15">
      <c r="B151" s="71" t="s">
        <v>62</v>
      </c>
      <c r="C151" s="88">
        <f>tbl_model!R152</f>
        <v>3.7422157017271243</v>
      </c>
      <c r="D151" s="88">
        <f>tbl_model!S152</f>
        <v>4.0483942274725679</v>
      </c>
      <c r="E151" s="90">
        <f>tbl_model!T152</f>
        <v>4.4583718555880036</v>
      </c>
      <c r="F151" s="90">
        <f>tbl_model!U152</f>
        <v>4.6650207710262546</v>
      </c>
      <c r="G151" s="90">
        <f>tbl_model!V152</f>
        <v>4.8791975561286565</v>
      </c>
      <c r="H151" s="90">
        <f>tbl_model!W152</f>
        <v>5.0827162444939562</v>
      </c>
      <c r="I151" s="90">
        <f>tbl_model!X152</f>
        <v>5.2766827169733368</v>
      </c>
      <c r="K151" s="20">
        <f t="shared" si="33"/>
        <v>8.1817444570107201E-2</v>
      </c>
      <c r="L151" s="20">
        <f t="shared" si="33"/>
        <v>0.10126919590323258</v>
      </c>
      <c r="M151" s="20">
        <f t="shared" si="33"/>
        <v>4.6350758108981482E-2</v>
      </c>
      <c r="N151" s="20">
        <f t="shared" si="33"/>
        <v>4.591121789481023E-2</v>
      </c>
      <c r="O151" s="20">
        <f t="shared" si="33"/>
        <v>4.1711508096175409E-2</v>
      </c>
      <c r="P151" s="20">
        <f t="shared" si="33"/>
        <v>3.8161971502836067E-2</v>
      </c>
      <c r="Q151" s="20"/>
      <c r="R151" s="88">
        <v>3.7422157017271243</v>
      </c>
      <c r="S151" s="88">
        <v>4.0483942274725679</v>
      </c>
      <c r="T151" s="90">
        <v>4.2511950544654526</v>
      </c>
      <c r="U151" s="90">
        <v>4.4510805650776231</v>
      </c>
      <c r="V151" s="90">
        <v>4.6548302615877262</v>
      </c>
      <c r="W151" s="90">
        <v>4.8631747685958642</v>
      </c>
      <c r="X151" s="90">
        <v>5.0379729158970337</v>
      </c>
      <c r="Z151" s="20">
        <f t="shared" si="37"/>
        <v>8.1817444570107201E-2</v>
      </c>
      <c r="AA151" s="20">
        <f t="shared" si="37"/>
        <v>5.0094139947308047E-2</v>
      </c>
      <c r="AB151" s="20">
        <f t="shared" si="37"/>
        <v>4.701866370544705E-2</v>
      </c>
      <c r="AC151" s="20">
        <f t="shared" si="37"/>
        <v>4.5775333322134459E-2</v>
      </c>
      <c r="AD151" s="20">
        <f t="shared" si="37"/>
        <v>4.4758776432177294E-2</v>
      </c>
      <c r="AE151" s="20">
        <f t="shared" si="37"/>
        <v>3.5943217264149174E-2</v>
      </c>
      <c r="AG151" s="88">
        <f t="shared" si="35"/>
        <v>0</v>
      </c>
      <c r="AH151" s="88">
        <f t="shared" si="35"/>
        <v>0</v>
      </c>
      <c r="AI151" s="90">
        <f t="shared" si="35"/>
        <v>0.20717680112255099</v>
      </c>
      <c r="AJ151" s="90">
        <f t="shared" si="35"/>
        <v>0.2139402059486315</v>
      </c>
      <c r="AK151" s="90">
        <f t="shared" si="35"/>
        <v>0.2243672945409303</v>
      </c>
      <c r="AL151" s="90">
        <f t="shared" si="35"/>
        <v>0.21954147589809203</v>
      </c>
      <c r="AM151" s="90">
        <f t="shared" si="35"/>
        <v>0.23870980107630313</v>
      </c>
      <c r="AO151" s="20">
        <f t="shared" si="36"/>
        <v>0</v>
      </c>
      <c r="AP151" s="20">
        <f t="shared" si="36"/>
        <v>0</v>
      </c>
      <c r="AQ151" s="20">
        <f t="shared" si="36"/>
        <v>4.8733779200493821E-2</v>
      </c>
      <c r="AR151" s="20">
        <f t="shared" si="36"/>
        <v>4.8064779511556743E-2</v>
      </c>
      <c r="AS151" s="20">
        <f t="shared" si="36"/>
        <v>4.8200961567264722E-2</v>
      </c>
      <c r="AT151" s="20">
        <f t="shared" si="36"/>
        <v>4.5143653342625045E-2</v>
      </c>
      <c r="AU151" s="20">
        <f t="shared" si="36"/>
        <v>4.7382112818246336E-2</v>
      </c>
    </row>
    <row r="152" spans="2:49" x14ac:dyDescent="0.15">
      <c r="B152" s="71" t="s">
        <v>63</v>
      </c>
      <c r="C152" s="88">
        <f>tbl_model!R153</f>
        <v>1.1208428907439201</v>
      </c>
      <c r="D152" s="88">
        <f>tbl_model!S153</f>
        <v>1.3054756162227974</v>
      </c>
      <c r="E152" s="90">
        <f>tbl_model!T153</f>
        <v>1.6012571729636458</v>
      </c>
      <c r="F152" s="90">
        <f>tbl_model!U153</f>
        <v>1.757284475117018</v>
      </c>
      <c r="G152" s="90">
        <f>tbl_model!V153</f>
        <v>1.8327943214913038</v>
      </c>
      <c r="H152" s="90">
        <f>tbl_model!W153</f>
        <v>1.8767456399738454</v>
      </c>
      <c r="I152" s="90">
        <f>tbl_model!X153</f>
        <v>1.9351330388070107</v>
      </c>
      <c r="K152" s="20">
        <f t="shared" si="33"/>
        <v>0.1647266775777414</v>
      </c>
      <c r="L152" s="20">
        <f t="shared" si="33"/>
        <v>0.22656995892167564</v>
      </c>
      <c r="M152" s="20">
        <f t="shared" si="33"/>
        <v>9.7440501618233588E-2</v>
      </c>
      <c r="N152" s="20">
        <f t="shared" si="33"/>
        <v>4.2969620140334674E-2</v>
      </c>
      <c r="O152" s="20">
        <f t="shared" si="33"/>
        <v>2.3980496865998235E-2</v>
      </c>
      <c r="P152" s="20">
        <f t="shared" si="33"/>
        <v>3.1110981472150412E-2</v>
      </c>
      <c r="Q152" s="20"/>
      <c r="R152" s="88">
        <v>1.1208428907439201</v>
      </c>
      <c r="S152" s="88">
        <v>1.3054756162227974</v>
      </c>
      <c r="T152" s="90">
        <v>1.3452601218158593</v>
      </c>
      <c r="U152" s="90">
        <v>1.3931908471031005</v>
      </c>
      <c r="V152" s="90">
        <v>1.4514221273014087</v>
      </c>
      <c r="W152" s="90">
        <v>1.4833788063846598</v>
      </c>
      <c r="X152" s="90">
        <v>1.5308272019893396</v>
      </c>
      <c r="Z152" s="20">
        <f t="shared" si="37"/>
        <v>0.1647266775777414</v>
      </c>
      <c r="AA152" s="20">
        <f t="shared" si="37"/>
        <v>3.047510432111511E-2</v>
      </c>
      <c r="AB152" s="20">
        <f t="shared" si="37"/>
        <v>3.5629336297089864E-2</v>
      </c>
      <c r="AC152" s="20">
        <f t="shared" si="37"/>
        <v>4.1797059117485658E-2</v>
      </c>
      <c r="AD152" s="20">
        <f t="shared" si="37"/>
        <v>2.2017494760581569E-2</v>
      </c>
      <c r="AE152" s="20">
        <f t="shared" si="37"/>
        <v>3.198670184612018E-2</v>
      </c>
      <c r="AG152" s="88">
        <f t="shared" si="35"/>
        <v>0</v>
      </c>
      <c r="AH152" s="88">
        <f t="shared" si="35"/>
        <v>0</v>
      </c>
      <c r="AI152" s="90">
        <f t="shared" si="35"/>
        <v>0.25599705114778648</v>
      </c>
      <c r="AJ152" s="90">
        <f t="shared" si="35"/>
        <v>0.36409362801391754</v>
      </c>
      <c r="AK152" s="90">
        <f t="shared" si="35"/>
        <v>0.3813721941898951</v>
      </c>
      <c r="AL152" s="90">
        <f t="shared" si="35"/>
        <v>0.39336683358918556</v>
      </c>
      <c r="AM152" s="90">
        <f t="shared" si="35"/>
        <v>0.40430583681767107</v>
      </c>
      <c r="AO152" s="20">
        <f t="shared" si="36"/>
        <v>0</v>
      </c>
      <c r="AP152" s="20">
        <f t="shared" si="36"/>
        <v>0</v>
      </c>
      <c r="AQ152" s="20">
        <f t="shared" si="36"/>
        <v>0.19029557703846645</v>
      </c>
      <c r="AR152" s="20">
        <f t="shared" si="36"/>
        <v>0.26133794143924161</v>
      </c>
      <c r="AS152" s="20">
        <f t="shared" si="36"/>
        <v>0.26275759960954326</v>
      </c>
      <c r="AT152" s="20">
        <f t="shared" si="36"/>
        <v>0.26518299432085879</v>
      </c>
      <c r="AU152" s="20">
        <f t="shared" si="36"/>
        <v>0.264109388892664</v>
      </c>
      <c r="AV152" s="44"/>
      <c r="AW152" s="44"/>
    </row>
    <row r="153" spans="2:49" x14ac:dyDescent="0.15">
      <c r="B153" s="27" t="s">
        <v>64</v>
      </c>
      <c r="C153" s="88">
        <f>tbl_model!R154</f>
        <v>5.4880128776279014</v>
      </c>
      <c r="D153" s="88">
        <f>tbl_model!S154</f>
        <v>5.3669179463065193</v>
      </c>
      <c r="E153" s="90">
        <f>tbl_model!T154</f>
        <v>5.3928786222803078</v>
      </c>
      <c r="F153" s="90">
        <f>tbl_model!U154</f>
        <v>5.4625924978664244</v>
      </c>
      <c r="G153" s="90">
        <f>tbl_model!V154</f>
        <v>5.6453154011544378</v>
      </c>
      <c r="H153" s="90">
        <f>tbl_model!W154</f>
        <v>5.9177508171988462</v>
      </c>
      <c r="I153" s="90">
        <f>tbl_model!X154</f>
        <v>6.1984033650763868</v>
      </c>
      <c r="K153" s="20">
        <f t="shared" si="33"/>
        <v>-2.2065351161078772E-2</v>
      </c>
      <c r="L153" s="20">
        <f t="shared" si="33"/>
        <v>4.8371665513637918E-3</v>
      </c>
      <c r="M153" s="20">
        <f t="shared" si="33"/>
        <v>1.292702478006813E-2</v>
      </c>
      <c r="N153" s="20">
        <f t="shared" si="33"/>
        <v>3.3449850663284986E-2</v>
      </c>
      <c r="O153" s="20">
        <f t="shared" si="33"/>
        <v>4.8258670541011295E-2</v>
      </c>
      <c r="P153" s="20">
        <f t="shared" si="33"/>
        <v>4.7425543343575072E-2</v>
      </c>
      <c r="Q153" s="20"/>
      <c r="R153" s="88">
        <v>5.4880128776279014</v>
      </c>
      <c r="S153" s="88">
        <v>5.3669179463065193</v>
      </c>
      <c r="T153" s="90">
        <v>5.7109292971107326</v>
      </c>
      <c r="U153" s="90">
        <v>6.0606108129706593</v>
      </c>
      <c r="V153" s="90">
        <v>6.4191176702407331</v>
      </c>
      <c r="W153" s="90">
        <v>6.6689143473817545</v>
      </c>
      <c r="X153" s="90">
        <v>6.9993640758765956</v>
      </c>
      <c r="Z153" s="20">
        <f t="shared" si="37"/>
        <v>-2.2065351161078772E-2</v>
      </c>
      <c r="AA153" s="20">
        <f t="shared" si="37"/>
        <v>6.4098492700258136E-2</v>
      </c>
      <c r="AB153" s="20">
        <f t="shared" si="37"/>
        <v>6.1230230259869733E-2</v>
      </c>
      <c r="AC153" s="20">
        <f t="shared" si="37"/>
        <v>5.915358506486057E-2</v>
      </c>
      <c r="AD153" s="20">
        <f t="shared" si="37"/>
        <v>3.8914487936416498E-2</v>
      </c>
      <c r="AE153" s="20">
        <f t="shared" si="37"/>
        <v>4.9550753133390746E-2</v>
      </c>
      <c r="AG153" s="88">
        <f t="shared" si="35"/>
        <v>0</v>
      </c>
      <c r="AH153" s="88">
        <f t="shared" si="35"/>
        <v>0</v>
      </c>
      <c r="AI153" s="90">
        <f t="shared" si="35"/>
        <v>-0.31805067483042482</v>
      </c>
      <c r="AJ153" s="90">
        <f t="shared" si="35"/>
        <v>-0.59801831510423487</v>
      </c>
      <c r="AK153" s="90">
        <f t="shared" si="35"/>
        <v>-0.77380226908629535</v>
      </c>
      <c r="AL153" s="90">
        <f t="shared" si="35"/>
        <v>-0.75116353018290827</v>
      </c>
      <c r="AM153" s="90">
        <f t="shared" si="35"/>
        <v>-0.80096071080020881</v>
      </c>
      <c r="AO153" s="20">
        <f t="shared" si="36"/>
        <v>0</v>
      </c>
      <c r="AP153" s="20">
        <f t="shared" si="36"/>
        <v>0</v>
      </c>
      <c r="AQ153" s="20">
        <f t="shared" si="36"/>
        <v>-5.5691579825954518E-2</v>
      </c>
      <c r="AR153" s="20">
        <f t="shared" si="36"/>
        <v>-9.8672944618780289E-2</v>
      </c>
      <c r="AS153" s="20">
        <f t="shared" si="36"/>
        <v>-0.12054651571097863</v>
      </c>
      <c r="AT153" s="20">
        <f t="shared" si="36"/>
        <v>-0.11263655387594207</v>
      </c>
      <c r="AU153" s="20">
        <f t="shared" si="36"/>
        <v>-0.11443335453298265</v>
      </c>
    </row>
    <row r="154" spans="2:49" ht="4" customHeight="1" x14ac:dyDescent="0.15">
      <c r="C154" s="50"/>
      <c r="D154" s="50"/>
      <c r="E154" s="51"/>
      <c r="F154" s="51"/>
      <c r="G154" s="51"/>
      <c r="H154" s="51"/>
      <c r="I154" s="51"/>
      <c r="K154" s="76"/>
      <c r="L154" s="76"/>
      <c r="M154" s="76"/>
      <c r="N154" s="76"/>
      <c r="O154" s="76"/>
      <c r="P154" s="76"/>
      <c r="Q154" s="50"/>
      <c r="R154" s="50"/>
      <c r="S154" s="50"/>
      <c r="T154" s="51"/>
      <c r="U154" s="51"/>
      <c r="V154" s="51"/>
      <c r="W154" s="51"/>
      <c r="X154" s="51"/>
      <c r="Z154" s="76"/>
      <c r="AA154" s="76"/>
      <c r="AB154" s="76"/>
      <c r="AC154" s="76"/>
      <c r="AD154" s="76"/>
      <c r="AE154" s="76"/>
      <c r="AG154" s="50"/>
      <c r="AH154" s="50"/>
      <c r="AI154" s="51"/>
      <c r="AJ154" s="51"/>
      <c r="AK154" s="51"/>
      <c r="AL154" s="51"/>
      <c r="AM154" s="51"/>
      <c r="AO154" s="76"/>
      <c r="AP154" s="76"/>
      <c r="AQ154" s="76"/>
      <c r="AR154" s="76"/>
      <c r="AS154" s="76"/>
      <c r="AT154" s="76"/>
      <c r="AU154" s="76"/>
    </row>
    <row r="155" spans="2:49" ht="4" customHeight="1" x14ac:dyDescent="0.15">
      <c r="B155" s="95"/>
      <c r="E155" s="11"/>
      <c r="F155" s="11"/>
      <c r="G155" s="11"/>
      <c r="H155" s="11"/>
      <c r="I155" s="11"/>
      <c r="K155" s="105"/>
      <c r="L155" s="105"/>
      <c r="M155" s="105"/>
      <c r="N155" s="105"/>
      <c r="O155" s="105"/>
      <c r="P155" s="105"/>
      <c r="T155" s="11"/>
      <c r="U155" s="11"/>
      <c r="V155" s="11"/>
      <c r="W155" s="11"/>
      <c r="X155" s="11"/>
      <c r="Z155" s="105"/>
      <c r="AA155" s="105"/>
      <c r="AB155" s="105"/>
      <c r="AC155" s="105"/>
      <c r="AD155" s="105"/>
      <c r="AE155" s="105"/>
      <c r="AI155" s="11"/>
      <c r="AJ155" s="11"/>
      <c r="AK155" s="11"/>
      <c r="AL155" s="11"/>
      <c r="AM155" s="11"/>
      <c r="AO155" s="105"/>
      <c r="AP155" s="105"/>
      <c r="AQ155" s="105"/>
      <c r="AR155" s="105"/>
      <c r="AS155" s="105"/>
      <c r="AT155" s="105"/>
      <c r="AU155" s="105"/>
    </row>
    <row r="156" spans="2:49" ht="12.5" customHeight="1" x14ac:dyDescent="0.15">
      <c r="B156" s="79" t="s">
        <v>6</v>
      </c>
      <c r="C156" s="45">
        <f>tbl_model!R157</f>
        <v>5.8787734156319935</v>
      </c>
      <c r="D156" s="45">
        <f>tbl_model!S157</f>
        <v>5.7909466635134912</v>
      </c>
      <c r="E156" s="66">
        <f>tbl_model!T157</f>
        <v>6.0336625751778996</v>
      </c>
      <c r="F156" s="66">
        <f>tbl_model!U157</f>
        <v>6.4869087019318954</v>
      </c>
      <c r="G156" s="66">
        <f>tbl_model!V157</f>
        <v>6.7993604072016041</v>
      </c>
      <c r="H156" s="66">
        <f>tbl_model!W157</f>
        <v>7.2776872106292814</v>
      </c>
      <c r="I156" s="66">
        <f>tbl_model!X157</f>
        <v>7.7307786498846589</v>
      </c>
      <c r="K156" s="20">
        <f t="shared" si="33"/>
        <v>-1.4939638919398757E-2</v>
      </c>
      <c r="L156" s="105">
        <f t="shared" si="33"/>
        <v>4.1912993810436339E-2</v>
      </c>
      <c r="M156" s="105">
        <f t="shared" si="33"/>
        <v>7.5119568107540724E-2</v>
      </c>
      <c r="N156" s="105">
        <f t="shared" si="33"/>
        <v>4.8166502663534727E-2</v>
      </c>
      <c r="O156" s="105">
        <f t="shared" si="33"/>
        <v>7.0348793824938749E-2</v>
      </c>
      <c r="P156" s="105">
        <f t="shared" si="33"/>
        <v>6.2257613736631079E-2</v>
      </c>
      <c r="R156" s="45">
        <v>5.8787734156319935</v>
      </c>
      <c r="S156" s="45">
        <v>5.7909466635134912</v>
      </c>
      <c r="T156" s="66">
        <v>6.0122826104979055</v>
      </c>
      <c r="U156" s="66">
        <v>6.5787242177387384</v>
      </c>
      <c r="V156" s="66">
        <v>6.9586397368699124</v>
      </c>
      <c r="W156" s="66">
        <v>7.396785709557431</v>
      </c>
      <c r="X156" s="66">
        <v>7.827054038767308</v>
      </c>
      <c r="Z156" s="20">
        <f t="shared" ref="Z156:AE157" si="38">S156/R156-1</f>
        <v>-1.4939638919398757E-2</v>
      </c>
      <c r="AA156" s="105">
        <f t="shared" si="38"/>
        <v>3.8221030143303913E-2</v>
      </c>
      <c r="AB156" s="105">
        <f t="shared" si="38"/>
        <v>9.4214068755148483E-2</v>
      </c>
      <c r="AC156" s="105">
        <f t="shared" si="38"/>
        <v>5.7749117694700924E-2</v>
      </c>
      <c r="AD156" s="105">
        <f t="shared" si="38"/>
        <v>6.2964313322046328E-2</v>
      </c>
      <c r="AE156" s="105">
        <f t="shared" si="38"/>
        <v>5.8169635582915991E-2</v>
      </c>
      <c r="AG156" s="45">
        <f t="shared" si="35"/>
        <v>0</v>
      </c>
      <c r="AH156" s="45">
        <f t="shared" si="35"/>
        <v>0</v>
      </c>
      <c r="AI156" s="66">
        <f t="shared" si="35"/>
        <v>2.1379964679994146E-2</v>
      </c>
      <c r="AJ156" s="66">
        <f t="shared" si="35"/>
        <v>-9.1815515806842996E-2</v>
      </c>
      <c r="AK156" s="66">
        <f t="shared" si="35"/>
        <v>-0.15927932966830838</v>
      </c>
      <c r="AL156" s="66">
        <f t="shared" si="35"/>
        <v>-0.11909849892814961</v>
      </c>
      <c r="AM156" s="66">
        <f t="shared" si="35"/>
        <v>-9.6275388882649082E-2</v>
      </c>
      <c r="AO156" s="105">
        <f t="shared" si="36"/>
        <v>0</v>
      </c>
      <c r="AP156" s="105">
        <f t="shared" si="36"/>
        <v>0</v>
      </c>
      <c r="AQ156" s="105">
        <f t="shared" si="36"/>
        <v>3.5560478548801733E-3</v>
      </c>
      <c r="AR156" s="105">
        <f t="shared" si="36"/>
        <v>-1.3956431789506119E-2</v>
      </c>
      <c r="AS156" s="105">
        <f t="shared" si="36"/>
        <v>-2.2889434672753173E-2</v>
      </c>
      <c r="AT156" s="105">
        <f t="shared" si="36"/>
        <v>-1.6101385602432905E-2</v>
      </c>
      <c r="AU156" s="105">
        <f t="shared" si="36"/>
        <v>-1.2300335273756624E-2</v>
      </c>
    </row>
    <row r="157" spans="2:49" ht="12.5" customHeight="1" x14ac:dyDescent="0.15">
      <c r="B157" s="79" t="s">
        <v>7</v>
      </c>
      <c r="C157" s="45">
        <f>tbl_model!R158</f>
        <v>20.156538433933964</v>
      </c>
      <c r="D157" s="45">
        <f>tbl_model!S158</f>
        <v>19.623770675853521</v>
      </c>
      <c r="E157" s="66">
        <f>tbl_model!T158</f>
        <v>19.971804374386515</v>
      </c>
      <c r="F157" s="66">
        <f>tbl_model!U158</f>
        <v>20.79730066016613</v>
      </c>
      <c r="G157" s="66">
        <f>tbl_model!V158</f>
        <v>22.051134934135963</v>
      </c>
      <c r="H157" s="66">
        <f>tbl_model!W158</f>
        <v>23.548601079218852</v>
      </c>
      <c r="I157" s="66">
        <f>tbl_model!X158</f>
        <v>25.100659255462293</v>
      </c>
      <c r="K157" s="20">
        <f t="shared" si="33"/>
        <v>-2.6431510540694703E-2</v>
      </c>
      <c r="L157" s="105">
        <f t="shared" si="33"/>
        <v>1.7735312151871074E-2</v>
      </c>
      <c r="M157" s="105">
        <f t="shared" si="33"/>
        <v>4.1333084898342864E-2</v>
      </c>
      <c r="N157" s="105">
        <f t="shared" si="33"/>
        <v>6.0288317914802825E-2</v>
      </c>
      <c r="O157" s="105">
        <f t="shared" si="33"/>
        <v>6.7908801499588778E-2</v>
      </c>
      <c r="P157" s="105">
        <f t="shared" si="33"/>
        <v>6.5908720905425655E-2</v>
      </c>
      <c r="R157" s="45">
        <v>20.156538433933964</v>
      </c>
      <c r="S157" s="45">
        <v>19.623770675853521</v>
      </c>
      <c r="T157" s="66">
        <v>20.616728175772629</v>
      </c>
      <c r="U157" s="66">
        <v>21.821568218067085</v>
      </c>
      <c r="V157" s="66">
        <v>23.345539461813683</v>
      </c>
      <c r="W157" s="66">
        <v>24.75956488317097</v>
      </c>
      <c r="X157" s="66">
        <v>26.288819168812189</v>
      </c>
      <c r="Z157" s="20">
        <f t="shared" si="38"/>
        <v>-2.6431510540694703E-2</v>
      </c>
      <c r="AA157" s="105">
        <f t="shared" si="38"/>
        <v>5.0599730109000651E-2</v>
      </c>
      <c r="AB157" s="105">
        <f t="shared" si="38"/>
        <v>5.8439924706884527E-2</v>
      </c>
      <c r="AC157" s="105">
        <f t="shared" si="38"/>
        <v>6.9837842473889244E-2</v>
      </c>
      <c r="AD157" s="105">
        <f t="shared" si="38"/>
        <v>6.0569404432491591E-2</v>
      </c>
      <c r="AE157" s="105">
        <f t="shared" si="38"/>
        <v>6.1764182563670555E-2</v>
      </c>
      <c r="AG157" s="45">
        <f t="shared" si="35"/>
        <v>0</v>
      </c>
      <c r="AH157" s="45">
        <f t="shared" si="35"/>
        <v>0</v>
      </c>
      <c r="AI157" s="66">
        <f t="shared" si="35"/>
        <v>-0.64492380138611338</v>
      </c>
      <c r="AJ157" s="66">
        <f t="shared" si="35"/>
        <v>-1.0242675579009557</v>
      </c>
      <c r="AK157" s="66">
        <f t="shared" si="35"/>
        <v>-1.2944045276777203</v>
      </c>
      <c r="AL157" s="66">
        <f t="shared" si="35"/>
        <v>-1.2109638039521187</v>
      </c>
      <c r="AM157" s="66">
        <f t="shared" si="35"/>
        <v>-1.1881599133498959</v>
      </c>
      <c r="AO157" s="105">
        <f t="shared" si="36"/>
        <v>0</v>
      </c>
      <c r="AP157" s="105">
        <f t="shared" si="36"/>
        <v>0</v>
      </c>
      <c r="AQ157" s="105">
        <f t="shared" si="36"/>
        <v>-3.1281578526314524E-2</v>
      </c>
      <c r="AR157" s="105">
        <f t="shared" si="36"/>
        <v>-4.6938311108773445E-2</v>
      </c>
      <c r="AS157" s="105">
        <f t="shared" si="36"/>
        <v>-5.5445475132197219E-2</v>
      </c>
      <c r="AT157" s="105">
        <f t="shared" si="36"/>
        <v>-4.890892912157796E-2</v>
      </c>
      <c r="AU157" s="105">
        <f t="shared" si="36"/>
        <v>-4.519639721054769E-2</v>
      </c>
    </row>
    <row r="158" spans="2:49" ht="4" customHeight="1" x14ac:dyDescent="0.15">
      <c r="E158" s="11"/>
      <c r="F158" s="11"/>
      <c r="G158" s="11"/>
      <c r="H158" s="11"/>
      <c r="I158" s="11"/>
      <c r="T158" s="11"/>
      <c r="U158" s="11"/>
      <c r="V158" s="11"/>
      <c r="W158" s="11"/>
      <c r="X158" s="11"/>
      <c r="AI158" s="11"/>
      <c r="AJ158" s="11"/>
      <c r="AK158" s="11"/>
      <c r="AL158" s="11"/>
      <c r="AM158" s="11"/>
    </row>
    <row r="159" spans="2:49" x14ac:dyDescent="0.15">
      <c r="B159" s="52" t="s">
        <v>68</v>
      </c>
      <c r="C159" s="95"/>
      <c r="D159" s="95"/>
      <c r="E159" s="95"/>
      <c r="F159" s="95"/>
      <c r="G159" s="95"/>
      <c r="H159" s="95"/>
      <c r="I159" s="95"/>
      <c r="K159" s="80"/>
      <c r="L159" s="80"/>
      <c r="M159" s="80"/>
      <c r="N159" s="80"/>
      <c r="O159" s="80"/>
      <c r="P159" s="80"/>
      <c r="Q159" s="80"/>
      <c r="R159" s="95"/>
      <c r="S159" s="95"/>
      <c r="T159" s="95"/>
      <c r="U159" s="95"/>
      <c r="V159" s="95"/>
      <c r="W159" s="95"/>
      <c r="X159" s="95"/>
      <c r="Z159" s="80"/>
      <c r="AA159" s="80"/>
      <c r="AB159" s="80"/>
      <c r="AC159" s="80"/>
      <c r="AD159" s="80"/>
      <c r="AE159" s="80"/>
      <c r="AG159" s="95"/>
      <c r="AH159" s="95"/>
      <c r="AI159" s="95"/>
      <c r="AJ159" s="95"/>
      <c r="AK159" s="95"/>
      <c r="AL159" s="95"/>
      <c r="AM159" s="95"/>
      <c r="AO159" s="95"/>
      <c r="AP159" s="95"/>
      <c r="AQ159" s="95"/>
      <c r="AR159" s="95"/>
      <c r="AS159" s="95"/>
      <c r="AT159" s="95"/>
      <c r="AU159" s="95"/>
    </row>
    <row r="160" spans="2:49" x14ac:dyDescent="0.15">
      <c r="B160" s="54"/>
      <c r="C160" s="54"/>
      <c r="D160" s="54"/>
      <c r="E160" s="54"/>
      <c r="F160" s="54"/>
      <c r="G160" s="54"/>
      <c r="H160" s="54"/>
      <c r="I160" s="54"/>
      <c r="R160" s="54"/>
      <c r="S160" s="54"/>
      <c r="T160" s="54"/>
      <c r="U160" s="54"/>
      <c r="V160" s="54"/>
      <c r="W160" s="54"/>
      <c r="X160" s="54"/>
      <c r="AG160" s="54"/>
      <c r="AH160" s="54"/>
      <c r="AI160" s="54"/>
      <c r="AJ160" s="54"/>
      <c r="AK160" s="54"/>
      <c r="AL160" s="54"/>
      <c r="AM160" s="54"/>
      <c r="AO160" s="54"/>
      <c r="AP160" s="54"/>
      <c r="AQ160" s="54"/>
      <c r="AR160" s="54"/>
      <c r="AS160" s="54"/>
      <c r="AT160" s="54"/>
      <c r="AU160" s="54"/>
    </row>
    <row r="161" spans="2:47" x14ac:dyDescent="0.15">
      <c r="B161" s="54"/>
      <c r="C161" s="54"/>
      <c r="D161" s="54"/>
      <c r="E161" s="54"/>
      <c r="F161" s="54"/>
      <c r="G161" s="54"/>
      <c r="H161" s="54"/>
      <c r="I161" s="54"/>
      <c r="R161" s="54"/>
      <c r="S161" s="54"/>
      <c r="T161" s="54"/>
      <c r="U161" s="54"/>
      <c r="V161" s="54"/>
      <c r="W161" s="54"/>
      <c r="X161" s="54"/>
      <c r="AG161" s="54"/>
      <c r="AH161" s="54"/>
      <c r="AI161" s="54"/>
      <c r="AJ161" s="54"/>
      <c r="AK161" s="54"/>
      <c r="AL161" s="54"/>
      <c r="AM161" s="54"/>
      <c r="AO161" s="54"/>
      <c r="AP161" s="54"/>
      <c r="AQ161" s="54"/>
      <c r="AR161" s="54"/>
      <c r="AS161" s="54"/>
      <c r="AT161" s="54"/>
      <c r="AU161" s="54"/>
    </row>
    <row r="162" spans="2:47" x14ac:dyDescent="0.15">
      <c r="C162" s="44"/>
      <c r="D162" s="44"/>
      <c r="E162" s="44"/>
      <c r="F162" s="44"/>
      <c r="G162" s="44"/>
      <c r="H162" s="44"/>
      <c r="I162" s="44"/>
      <c r="R162" s="44"/>
      <c r="S162" s="44"/>
      <c r="T162" s="44"/>
      <c r="U162" s="44"/>
      <c r="V162" s="44"/>
      <c r="W162" s="44"/>
      <c r="X162" s="44"/>
      <c r="AG162" s="44"/>
      <c r="AH162" s="44"/>
      <c r="AI162" s="44"/>
      <c r="AJ162" s="44"/>
      <c r="AK162" s="44"/>
      <c r="AL162" s="44"/>
      <c r="AM162" s="44"/>
      <c r="AO162" s="44"/>
      <c r="AP162" s="44"/>
      <c r="AQ162" s="44"/>
      <c r="AR162" s="44"/>
      <c r="AS162" s="44"/>
      <c r="AT162" s="44"/>
      <c r="AU162" s="44"/>
    </row>
    <row r="163" spans="2:47" x14ac:dyDescent="0.15">
      <c r="B163" s="27"/>
    </row>
    <row r="164" spans="2:47" x14ac:dyDescent="0.15">
      <c r="B164" s="27"/>
    </row>
    <row r="167" spans="2:47" x14ac:dyDescent="0.15">
      <c r="B167" s="18"/>
      <c r="C167" s="96"/>
      <c r="D167" s="96"/>
      <c r="E167" s="96"/>
      <c r="F167" s="96"/>
      <c r="G167" s="96"/>
      <c r="H167" s="96"/>
      <c r="I167" s="96"/>
      <c r="R167" s="96"/>
      <c r="S167" s="96"/>
      <c r="T167" s="96"/>
      <c r="U167" s="96"/>
      <c r="V167" s="96"/>
      <c r="W167" s="96"/>
      <c r="X167" s="96"/>
      <c r="AG167" s="96"/>
      <c r="AH167" s="96"/>
      <c r="AI167" s="96"/>
      <c r="AJ167" s="96"/>
      <c r="AK167" s="96"/>
      <c r="AL167" s="96"/>
      <c r="AM167" s="96"/>
      <c r="AO167" s="96"/>
      <c r="AP167" s="96"/>
      <c r="AQ167" s="96"/>
      <c r="AR167" s="96"/>
      <c r="AS167" s="96"/>
      <c r="AT167" s="96"/>
      <c r="AU167" s="96"/>
    </row>
    <row r="168" spans="2:47" x14ac:dyDescent="0.15">
      <c r="B168" s="18"/>
      <c r="C168" s="96"/>
      <c r="D168" s="96"/>
      <c r="E168" s="96"/>
      <c r="F168" s="96"/>
      <c r="G168" s="96"/>
      <c r="H168" s="96"/>
      <c r="I168" s="96"/>
      <c r="R168" s="96"/>
      <c r="S168" s="96"/>
      <c r="T168" s="96"/>
      <c r="U168" s="96"/>
      <c r="V168" s="96"/>
      <c r="W168" s="96"/>
      <c r="X168" s="96"/>
      <c r="AG168" s="96"/>
      <c r="AH168" s="96"/>
      <c r="AI168" s="96"/>
      <c r="AJ168" s="96"/>
      <c r="AK168" s="96"/>
      <c r="AL168" s="96"/>
      <c r="AM168" s="96"/>
      <c r="AO168" s="96"/>
      <c r="AP168" s="96"/>
      <c r="AQ168" s="96"/>
      <c r="AR168" s="96"/>
      <c r="AS168" s="96"/>
      <c r="AT168" s="96"/>
      <c r="AU168" s="96"/>
    </row>
    <row r="169" spans="2:47" x14ac:dyDescent="0.15">
      <c r="B169" s="18"/>
      <c r="C169" s="96"/>
      <c r="D169" s="96"/>
      <c r="E169" s="96"/>
      <c r="F169" s="96"/>
      <c r="G169" s="96"/>
      <c r="H169" s="96"/>
      <c r="I169" s="96"/>
      <c r="R169" s="96"/>
      <c r="S169" s="96"/>
      <c r="T169" s="96"/>
      <c r="U169" s="96"/>
      <c r="V169" s="96"/>
      <c r="W169" s="96"/>
      <c r="X169" s="96"/>
      <c r="AG169" s="96"/>
      <c r="AH169" s="96"/>
      <c r="AI169" s="96"/>
      <c r="AJ169" s="96"/>
      <c r="AK169" s="96"/>
      <c r="AL169" s="96"/>
      <c r="AM169" s="96"/>
      <c r="AO169" s="96"/>
      <c r="AP169" s="96"/>
      <c r="AQ169" s="96"/>
      <c r="AR169" s="96"/>
      <c r="AS169" s="96"/>
      <c r="AT169" s="96"/>
      <c r="AU169" s="96"/>
    </row>
    <row r="170" spans="2:47" x14ac:dyDescent="0.15">
      <c r="B170" s="18"/>
      <c r="C170" s="96"/>
      <c r="D170" s="96"/>
      <c r="E170" s="96"/>
      <c r="F170" s="96"/>
      <c r="G170" s="96"/>
      <c r="H170" s="96"/>
      <c r="I170" s="96"/>
      <c r="R170" s="96"/>
      <c r="S170" s="96"/>
      <c r="T170" s="96"/>
      <c r="U170" s="96"/>
      <c r="V170" s="96"/>
      <c r="W170" s="96"/>
      <c r="X170" s="96"/>
      <c r="AG170" s="96"/>
      <c r="AH170" s="96"/>
      <c r="AI170" s="96"/>
      <c r="AJ170" s="96"/>
      <c r="AK170" s="96"/>
      <c r="AL170" s="96"/>
      <c r="AM170" s="96"/>
      <c r="AO170" s="96"/>
      <c r="AP170" s="96"/>
      <c r="AQ170" s="96"/>
      <c r="AR170" s="96"/>
      <c r="AS170" s="96"/>
      <c r="AT170" s="96"/>
      <c r="AU170" s="96"/>
    </row>
    <row r="171" spans="2:47" x14ac:dyDescent="0.15">
      <c r="B171" s="27"/>
    </row>
    <row r="172" spans="2:47" x14ac:dyDescent="0.15">
      <c r="B172" s="27"/>
    </row>
    <row r="173" spans="2:47" x14ac:dyDescent="0.15">
      <c r="B173" s="71"/>
    </row>
    <row r="174" spans="2:47" x14ac:dyDescent="0.15">
      <c r="B174" s="71"/>
    </row>
    <row r="175" spans="2:47" x14ac:dyDescent="0.15">
      <c r="B175" s="27"/>
    </row>
  </sheetData>
  <mergeCells count="1">
    <mergeCell ref="B38:B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E0C4-1AF7-4398-9FEA-72E8A01B27A7}">
  <dimension ref="B1:BU62"/>
  <sheetViews>
    <sheetView zoomScaleNormal="100" workbookViewId="0">
      <selection activeCell="B8" sqref="B8"/>
    </sheetView>
  </sheetViews>
  <sheetFormatPr baseColWidth="10" defaultColWidth="8.75" defaultRowHeight="13" x14ac:dyDescent="0.15"/>
  <cols>
    <col min="1" max="1" width="4.75" style="2" customWidth="1"/>
    <col min="2" max="2" width="25.75" style="2" customWidth="1"/>
    <col min="3" max="8" width="9.75" style="2" customWidth="1"/>
    <col min="9" max="9" width="4.75" style="2" customWidth="1"/>
    <col min="10" max="14" width="9.75" style="2" customWidth="1"/>
    <col min="15" max="21" width="8.75" style="2" customWidth="1"/>
    <col min="22" max="22" width="4.75" style="2" customWidth="1"/>
    <col min="23" max="27" width="8.75" style="2" customWidth="1"/>
    <col min="28" max="55" width="8.75" style="2"/>
    <col min="56" max="56" width="13" style="2" customWidth="1"/>
    <col min="57" max="16384" width="8.75" style="2"/>
  </cols>
  <sheetData>
    <row r="1" spans="2:27" x14ac:dyDescent="0.15"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2:27" x14ac:dyDescent="0.15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27" ht="16" x14ac:dyDescent="0.2"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P3" s="8"/>
    </row>
    <row r="4" spans="2:27" ht="16" x14ac:dyDescent="0.2">
      <c r="B4" s="4"/>
      <c r="C4" s="108"/>
      <c r="D4" s="108" t="s">
        <v>73</v>
      </c>
      <c r="E4" s="109"/>
      <c r="F4" s="109"/>
      <c r="G4" s="109"/>
      <c r="H4" s="109"/>
      <c r="J4" s="108" t="s">
        <v>74</v>
      </c>
      <c r="K4" s="109"/>
      <c r="L4" s="109"/>
      <c r="M4" s="109"/>
      <c r="N4" s="109"/>
      <c r="P4" s="8"/>
      <c r="Q4" s="108" t="s">
        <v>75</v>
      </c>
      <c r="R4" s="109"/>
      <c r="S4" s="109"/>
      <c r="T4" s="109"/>
      <c r="U4" s="109"/>
      <c r="W4" s="108" t="s">
        <v>76</v>
      </c>
      <c r="X4" s="109"/>
      <c r="Y4" s="109"/>
      <c r="Z4" s="109"/>
      <c r="AA4" s="109"/>
    </row>
    <row r="5" spans="2:27" ht="15.5" customHeight="1" x14ac:dyDescent="0.2">
      <c r="B5" s="4"/>
      <c r="D5" s="7" t="s">
        <v>4</v>
      </c>
      <c r="J5" s="7" t="s">
        <v>4</v>
      </c>
      <c r="Q5" s="7" t="s">
        <v>4</v>
      </c>
      <c r="W5" s="7" t="s">
        <v>4</v>
      </c>
    </row>
    <row r="6" spans="2:27" x14ac:dyDescent="0.15">
      <c r="C6" s="9">
        <v>2025</v>
      </c>
      <c r="D6" s="10">
        <v>2026</v>
      </c>
      <c r="E6" s="10">
        <v>2027</v>
      </c>
      <c r="F6" s="10">
        <v>2028</v>
      </c>
      <c r="G6" s="10">
        <v>2029</v>
      </c>
      <c r="H6" s="10">
        <v>2030</v>
      </c>
      <c r="I6" s="12"/>
      <c r="J6" s="110">
        <v>2026</v>
      </c>
      <c r="K6" s="110">
        <v>2027</v>
      </c>
      <c r="L6" s="110">
        <v>2028</v>
      </c>
      <c r="M6" s="110">
        <v>2029</v>
      </c>
      <c r="N6" s="110">
        <v>2030</v>
      </c>
      <c r="P6" s="9">
        <v>2025</v>
      </c>
      <c r="Q6" s="10">
        <v>2026</v>
      </c>
      <c r="R6" s="10">
        <v>2027</v>
      </c>
      <c r="S6" s="10">
        <v>2028</v>
      </c>
      <c r="T6" s="10">
        <v>2029</v>
      </c>
      <c r="U6" s="10">
        <v>2030</v>
      </c>
      <c r="W6" s="110">
        <v>2026</v>
      </c>
      <c r="X6" s="110">
        <v>2027</v>
      </c>
      <c r="Y6" s="110">
        <v>2028</v>
      </c>
      <c r="Z6" s="110">
        <v>2029</v>
      </c>
      <c r="AA6" s="110">
        <v>2030</v>
      </c>
    </row>
    <row r="7" spans="2:27" ht="4" customHeight="1" x14ac:dyDescent="0.15">
      <c r="D7" s="11"/>
      <c r="E7" s="11"/>
      <c r="F7" s="11"/>
      <c r="G7" s="11"/>
      <c r="H7" s="11"/>
      <c r="J7" s="111"/>
      <c r="K7" s="111"/>
      <c r="L7" s="111"/>
      <c r="M7" s="111"/>
      <c r="N7" s="111"/>
      <c r="Q7" s="11"/>
      <c r="R7" s="11"/>
      <c r="S7" s="11"/>
      <c r="T7" s="11"/>
      <c r="U7" s="11"/>
      <c r="W7" s="111"/>
      <c r="X7" s="111"/>
      <c r="Y7" s="111"/>
      <c r="Z7" s="111"/>
      <c r="AA7" s="111"/>
    </row>
    <row r="8" spans="2:27" x14ac:dyDescent="0.15">
      <c r="B8" s="12" t="s">
        <v>77</v>
      </c>
      <c r="C8" s="13">
        <f>C10+C11</f>
        <v>271.40345634632916</v>
      </c>
      <c r="D8" s="14">
        <f t="shared" ref="D8:H8" si="0">D10+D11</f>
        <v>276.33703781053242</v>
      </c>
      <c r="E8" s="14">
        <f t="shared" si="0"/>
        <v>282.50111679940574</v>
      </c>
      <c r="F8" s="14">
        <f t="shared" si="0"/>
        <v>289.55265899933642</v>
      </c>
      <c r="G8" s="14">
        <f t="shared" si="0"/>
        <v>296.4839755779609</v>
      </c>
      <c r="H8" s="14">
        <f t="shared" si="0"/>
        <v>304.46597017530405</v>
      </c>
      <c r="I8" s="13"/>
      <c r="J8" s="112">
        <f>J10+J11</f>
        <v>274.3890169184408</v>
      </c>
      <c r="K8" s="112">
        <f>K10+K11</f>
        <v>275.49941222059317</v>
      </c>
      <c r="L8" s="112">
        <f>L10+L11</f>
        <v>279.2655321878334</v>
      </c>
      <c r="M8" s="112">
        <f>M10+M11</f>
        <v>285.7751193301612</v>
      </c>
      <c r="N8" s="112">
        <f>N10+N11</f>
        <v>294.09871016456225</v>
      </c>
      <c r="P8" s="15">
        <f>tbl_model!AP8</f>
        <v>7.0426669549985554E-3</v>
      </c>
      <c r="Q8" s="17">
        <f>D8/C8-1</f>
        <v>1.817803476278379E-2</v>
      </c>
      <c r="R8" s="17">
        <f>E8/D8-1</f>
        <v>2.2306380055719055E-2</v>
      </c>
      <c r="S8" s="17">
        <f>F8/E8-1</f>
        <v>2.4961112649114714E-2</v>
      </c>
      <c r="T8" s="17">
        <f>G8/F8-1</f>
        <v>2.393801736298462E-2</v>
      </c>
      <c r="U8" s="17">
        <f>H8/G8-1</f>
        <v>2.6922178784816841E-2</v>
      </c>
      <c r="W8" s="113">
        <f>J8/C8-1</f>
        <v>1.1000451550262635E-2</v>
      </c>
      <c r="X8" s="113">
        <f>K8/J8-1</f>
        <v>4.0467920860054463E-3</v>
      </c>
      <c r="Y8" s="113">
        <f t="shared" ref="Y8:AA8" si="1">L8/K8-1</f>
        <v>1.3670156088117835E-2</v>
      </c>
      <c r="Z8" s="113">
        <f t="shared" si="1"/>
        <v>2.3309669085655349E-2</v>
      </c>
      <c r="AA8" s="113">
        <f t="shared" si="1"/>
        <v>2.9126366402754122E-2</v>
      </c>
    </row>
    <row r="9" spans="2:27" ht="4" customHeight="1" x14ac:dyDescent="0.15">
      <c r="C9" s="23"/>
      <c r="D9" s="24"/>
      <c r="E9" s="24"/>
      <c r="F9" s="24"/>
      <c r="G9" s="24"/>
      <c r="H9" s="24"/>
      <c r="I9" s="23"/>
      <c r="J9" s="114"/>
      <c r="K9" s="114"/>
      <c r="L9" s="114"/>
      <c r="M9" s="114"/>
      <c r="N9" s="114"/>
      <c r="P9" s="25"/>
      <c r="Q9" s="26"/>
      <c r="R9" s="26"/>
      <c r="S9" s="26"/>
      <c r="T9" s="26"/>
      <c r="U9" s="26"/>
      <c r="W9" s="115"/>
      <c r="X9" s="115"/>
      <c r="Y9" s="115"/>
      <c r="Z9" s="115"/>
      <c r="AA9" s="115"/>
    </row>
    <row r="10" spans="2:27" x14ac:dyDescent="0.15">
      <c r="B10" s="41" t="s">
        <v>8</v>
      </c>
      <c r="C10" s="13">
        <f>tbl_model!S13</f>
        <v>254.99636746355526</v>
      </c>
      <c r="D10" s="14">
        <f>tbl_model!T13</f>
        <v>259.54197715507331</v>
      </c>
      <c r="E10" s="14">
        <f>tbl_model!U13</f>
        <v>265.20869234067595</v>
      </c>
      <c r="F10" s="14">
        <f>tbl_model!V13</f>
        <v>271.58768986738846</v>
      </c>
      <c r="G10" s="14">
        <f>tbl_model!W13</f>
        <v>277.72021825385326</v>
      </c>
      <c r="H10" s="14">
        <f>tbl_model!X13</f>
        <v>284.91771286285973</v>
      </c>
      <c r="I10" s="13"/>
      <c r="J10" s="112">
        <v>257.98112652499657</v>
      </c>
      <c r="K10" s="112">
        <v>258.85783445677743</v>
      </c>
      <c r="L10" s="112">
        <v>262.13791826853912</v>
      </c>
      <c r="M10" s="112">
        <v>267.75913453358118</v>
      </c>
      <c r="N10" s="112">
        <v>275.25334297881744</v>
      </c>
      <c r="P10" s="15">
        <f>tbl_model!AP13</f>
        <v>7.9345515351787466E-3</v>
      </c>
      <c r="Q10" s="17">
        <f t="shared" ref="Q10:U14" si="2">D10/C10-1</f>
        <v>1.7826174297042474E-2</v>
      </c>
      <c r="R10" s="17">
        <f t="shared" si="2"/>
        <v>2.1833520911404891E-2</v>
      </c>
      <c r="S10" s="17">
        <f t="shared" si="2"/>
        <v>2.4052746802575742E-2</v>
      </c>
      <c r="T10" s="17">
        <f t="shared" si="2"/>
        <v>2.2580288486047317E-2</v>
      </c>
      <c r="U10" s="17">
        <f t="shared" si="2"/>
        <v>2.5916350830559765E-2</v>
      </c>
      <c r="W10" s="113">
        <f t="shared" ref="W10:W14" si="3">J10/C10-1</f>
        <v>1.1705104237878627E-2</v>
      </c>
      <c r="X10" s="113">
        <f>K10/J10-1</f>
        <v>3.3983413577189925E-3</v>
      </c>
      <c r="Y10" s="113">
        <f t="shared" ref="Y10:AA14" si="4">L10/K10-1</f>
        <v>1.2671371599183301E-2</v>
      </c>
      <c r="Z10" s="113">
        <f t="shared" si="4"/>
        <v>2.1443735809649533E-2</v>
      </c>
      <c r="AA10" s="113">
        <f t="shared" si="4"/>
        <v>2.7988619168084261E-2</v>
      </c>
    </row>
    <row r="11" spans="2:27" x14ac:dyDescent="0.15">
      <c r="B11" s="41" t="s">
        <v>20</v>
      </c>
      <c r="C11" s="13">
        <f>C28/1000</f>
        <v>16.407088882773927</v>
      </c>
      <c r="D11" s="14">
        <f t="shared" ref="D11:H11" si="5">D28/1000</f>
        <v>16.795060655459093</v>
      </c>
      <c r="E11" s="14">
        <f t="shared" si="5"/>
        <v>17.292424458729773</v>
      </c>
      <c r="F11" s="14">
        <f t="shared" si="5"/>
        <v>17.964969131947935</v>
      </c>
      <c r="G11" s="14">
        <f t="shared" si="5"/>
        <v>18.763757324107669</v>
      </c>
      <c r="H11" s="14">
        <f t="shared" si="5"/>
        <v>19.548257312444346</v>
      </c>
      <c r="I11" s="13"/>
      <c r="J11" s="112">
        <f>J28/1000</f>
        <v>16.407890393444262</v>
      </c>
      <c r="K11" s="112">
        <f>K28/1000</f>
        <v>16.641577763815722</v>
      </c>
      <c r="L11" s="112">
        <f>L28/1000</f>
        <v>17.127613919294262</v>
      </c>
      <c r="M11" s="112">
        <f>M28/1000</f>
        <v>18.015984796580032</v>
      </c>
      <c r="N11" s="112">
        <f>N28/1000</f>
        <v>18.84536718574482</v>
      </c>
      <c r="P11" s="15">
        <f>tbl_model!AP30</f>
        <v>-6.6187188928127361E-3</v>
      </c>
      <c r="Q11" s="17">
        <f t="shared" si="2"/>
        <v>2.3646594192130221E-2</v>
      </c>
      <c r="R11" s="17">
        <f t="shared" si="2"/>
        <v>2.961369497102817E-2</v>
      </c>
      <c r="S11" s="17">
        <f t="shared" si="2"/>
        <v>3.8892445349306692E-2</v>
      </c>
      <c r="T11" s="17">
        <f t="shared" si="2"/>
        <v>4.4463655144233449E-2</v>
      </c>
      <c r="U11" s="17">
        <f t="shared" si="2"/>
        <v>4.1809322876327659E-2</v>
      </c>
      <c r="W11" s="113">
        <f t="shared" si="3"/>
        <v>4.8851485846324039E-5</v>
      </c>
      <c r="X11" s="113">
        <f>K11/J11-1</f>
        <v>1.424237758589797E-2</v>
      </c>
      <c r="Y11" s="113">
        <f t="shared" si="4"/>
        <v>2.9206134320709953E-2</v>
      </c>
      <c r="Z11" s="113">
        <f t="shared" si="4"/>
        <v>5.1867754695533952E-2</v>
      </c>
      <c r="AA11" s="113">
        <f t="shared" si="4"/>
        <v>4.6035917466039855E-2</v>
      </c>
    </row>
    <row r="12" spans="2:27" ht="13.25" customHeight="1" x14ac:dyDescent="0.15">
      <c r="B12" s="47" t="s">
        <v>21</v>
      </c>
      <c r="C12" s="5">
        <f>(C28-SUM(C42:C43))/1000</f>
        <v>6.6159999999999997</v>
      </c>
      <c r="D12" s="19">
        <f t="shared" ref="D12:H12" si="6">(D28-SUM(D42:D43))/1000</f>
        <v>6.3678526469901335</v>
      </c>
      <c r="E12" s="19">
        <f t="shared" si="6"/>
        <v>6.5856762308898285</v>
      </c>
      <c r="F12" s="19">
        <f t="shared" si="6"/>
        <v>6.9358246532313936</v>
      </c>
      <c r="G12" s="19">
        <f t="shared" si="6"/>
        <v>7.3967461175891236</v>
      </c>
      <c r="H12" s="19">
        <f t="shared" si="6"/>
        <v>7.8659209905336178</v>
      </c>
      <c r="I12" s="5"/>
      <c r="J12" s="116">
        <f t="shared" ref="J12:N12" si="7">(J28-SUM(J42:J43))/1000</f>
        <v>6.2150241834623703</v>
      </c>
      <c r="K12" s="116">
        <f t="shared" si="7"/>
        <v>6.2862123613188068</v>
      </c>
      <c r="L12" s="116">
        <f t="shared" si="7"/>
        <v>6.5211322520806609</v>
      </c>
      <c r="M12" s="116">
        <f t="shared" si="7"/>
        <v>7.0240402115477405</v>
      </c>
      <c r="N12" s="116">
        <f t="shared" si="7"/>
        <v>7.5069222577502313</v>
      </c>
      <c r="P12" s="20">
        <f>tbl_model!AP31</f>
        <v>-4.9971280873061574E-2</v>
      </c>
      <c r="Q12" s="22">
        <f t="shared" si="2"/>
        <v>-3.7507157347319575E-2</v>
      </c>
      <c r="R12" s="22">
        <f t="shared" si="2"/>
        <v>3.4206756339227207E-2</v>
      </c>
      <c r="S12" s="22">
        <f t="shared" si="2"/>
        <v>5.3168180467058068E-2</v>
      </c>
      <c r="T12" s="22">
        <f t="shared" si="2"/>
        <v>6.6455178353303168E-2</v>
      </c>
      <c r="U12" s="22">
        <f t="shared" si="2"/>
        <v>6.3429900862599364E-2</v>
      </c>
      <c r="W12" s="117">
        <f t="shared" si="3"/>
        <v>-6.0606985570983873E-2</v>
      </c>
      <c r="X12" s="117">
        <f>K12/J12-1</f>
        <v>1.1454207699764352E-2</v>
      </c>
      <c r="Y12" s="117">
        <f t="shared" si="4"/>
        <v>3.7370657760052106E-2</v>
      </c>
      <c r="Z12" s="117">
        <f t="shared" si="4"/>
        <v>7.7119730136836262E-2</v>
      </c>
      <c r="AA12" s="117">
        <f t="shared" si="4"/>
        <v>6.8747050366912532E-2</v>
      </c>
    </row>
    <row r="13" spans="2:27" ht="13.25" customHeight="1" x14ac:dyDescent="0.15">
      <c r="B13" s="47" t="s">
        <v>22</v>
      </c>
      <c r="C13" s="5">
        <f t="shared" ref="C13:H13" si="8">C43/1000</f>
        <v>8.4112546996478397</v>
      </c>
      <c r="D13" s="19">
        <f t="shared" si="8"/>
        <v>9.1373260925844981</v>
      </c>
      <c r="E13" s="19">
        <f t="shared" si="8"/>
        <v>9.3928568394904826</v>
      </c>
      <c r="F13" s="19">
        <f t="shared" si="8"/>
        <v>9.6637419338463904</v>
      </c>
      <c r="G13" s="19">
        <f t="shared" si="8"/>
        <v>9.9081521274384468</v>
      </c>
      <c r="H13" s="19">
        <f t="shared" si="8"/>
        <v>10.13729414052937</v>
      </c>
      <c r="I13" s="5"/>
      <c r="J13" s="116">
        <f>J43/1000</f>
        <v>8.9545795707328093</v>
      </c>
      <c r="K13" s="116">
        <f>K43/1000</f>
        <v>9.1129497056736675</v>
      </c>
      <c r="L13" s="116">
        <f>L43/1000</f>
        <v>9.3476351369451152</v>
      </c>
      <c r="M13" s="116">
        <f>M43/1000</f>
        <v>9.6415548296174105</v>
      </c>
      <c r="N13" s="116">
        <f>N43/1000</f>
        <v>9.9039894752163349</v>
      </c>
      <c r="P13" s="20">
        <f>tbl_model!AP32</f>
        <v>7.4769392933088152E-2</v>
      </c>
      <c r="Q13" s="22">
        <f t="shared" si="2"/>
        <v>8.6321413256818635E-2</v>
      </c>
      <c r="R13" s="22">
        <f t="shared" si="2"/>
        <v>2.7965593469774896E-2</v>
      </c>
      <c r="S13" s="22">
        <f t="shared" si="2"/>
        <v>2.8839478657549877E-2</v>
      </c>
      <c r="T13" s="22">
        <f t="shared" si="2"/>
        <v>2.5291465279720704E-2</v>
      </c>
      <c r="U13" s="22">
        <f t="shared" si="2"/>
        <v>2.3126614341776763E-2</v>
      </c>
      <c r="W13" s="117">
        <f t="shared" si="3"/>
        <v>6.4594984991682258E-2</v>
      </c>
      <c r="X13" s="117">
        <f>K13/J13-1</f>
        <v>1.7685937535077079E-2</v>
      </c>
      <c r="Y13" s="117">
        <f t="shared" si="4"/>
        <v>2.5752960221577137E-2</v>
      </c>
      <c r="Z13" s="117">
        <f t="shared" si="4"/>
        <v>3.1443214071398939E-2</v>
      </c>
      <c r="AA13" s="117">
        <f t="shared" si="4"/>
        <v>2.7219120799143681E-2</v>
      </c>
    </row>
    <row r="14" spans="2:27" x14ac:dyDescent="0.15">
      <c r="B14" s="47" t="s">
        <v>23</v>
      </c>
      <c r="C14" s="5">
        <f t="shared" ref="C14:H14" si="9">C42/1000</f>
        <v>1.3798341831260867</v>
      </c>
      <c r="D14" s="19">
        <f t="shared" si="9"/>
        <v>1.2898819158844606</v>
      </c>
      <c r="E14" s="19">
        <f t="shared" si="9"/>
        <v>1.3138913883494603</v>
      </c>
      <c r="F14" s="19">
        <f t="shared" si="9"/>
        <v>1.3654025448701514</v>
      </c>
      <c r="G14" s="19">
        <f t="shared" si="9"/>
        <v>1.4588590790800977</v>
      </c>
      <c r="H14" s="19">
        <f t="shared" si="9"/>
        <v>1.5450421813813568</v>
      </c>
      <c r="I14" s="5"/>
      <c r="J14" s="116">
        <f>J42/1000</f>
        <v>1.2382866392490821</v>
      </c>
      <c r="K14" s="116">
        <f>K42/1000</f>
        <v>1.2424156968232496</v>
      </c>
      <c r="L14" s="116">
        <f>L42/1000</f>
        <v>1.2588465302684846</v>
      </c>
      <c r="M14" s="116">
        <f>M42/1000</f>
        <v>1.3503897554148816</v>
      </c>
      <c r="N14" s="116">
        <f>N42/1000</f>
        <v>1.4344554527782545</v>
      </c>
      <c r="P14" s="20">
        <f>tbl_model!AP33</f>
        <v>-0.20070058870260143</v>
      </c>
      <c r="Q14" s="22">
        <f t="shared" si="2"/>
        <v>-6.519063547029591E-2</v>
      </c>
      <c r="R14" s="22">
        <f t="shared" si="2"/>
        <v>1.8613698020982561E-2</v>
      </c>
      <c r="S14" s="22">
        <f t="shared" si="2"/>
        <v>3.9205033975753922E-2</v>
      </c>
      <c r="T14" s="22">
        <f t="shared" si="2"/>
        <v>6.8446140342322215E-2</v>
      </c>
      <c r="U14" s="22">
        <f t="shared" si="2"/>
        <v>5.9075686978349529E-2</v>
      </c>
      <c r="W14" s="117">
        <f t="shared" si="3"/>
        <v>-0.10258301005148407</v>
      </c>
      <c r="X14" s="117">
        <f>K14/J14-1</f>
        <v>3.3344925506677559E-3</v>
      </c>
      <c r="Y14" s="117">
        <f t="shared" si="4"/>
        <v>1.3224908126360013E-2</v>
      </c>
      <c r="Z14" s="117">
        <f t="shared" si="4"/>
        <v>7.2719924903691613E-2</v>
      </c>
      <c r="AA14" s="117">
        <f t="shared" si="4"/>
        <v>6.2252914039284457E-2</v>
      </c>
    </row>
    <row r="15" spans="2:27" ht="4" customHeight="1" x14ac:dyDescent="0.15">
      <c r="B15" s="34"/>
      <c r="C15" s="35"/>
      <c r="D15" s="36"/>
      <c r="E15" s="36"/>
      <c r="F15" s="36"/>
      <c r="G15" s="36"/>
      <c r="H15" s="36"/>
      <c r="I15" s="23"/>
      <c r="J15" s="118"/>
      <c r="K15" s="118"/>
      <c r="L15" s="118"/>
      <c r="M15" s="118"/>
      <c r="N15" s="118"/>
      <c r="P15" s="37"/>
      <c r="Q15" s="38"/>
      <c r="R15" s="38"/>
      <c r="S15" s="38"/>
      <c r="T15" s="38"/>
      <c r="U15" s="38"/>
      <c r="W15" s="119"/>
      <c r="X15" s="119"/>
      <c r="Y15" s="119"/>
      <c r="Z15" s="119"/>
      <c r="AA15" s="119"/>
    </row>
    <row r="16" spans="2:27" ht="4" customHeight="1" x14ac:dyDescent="0.15">
      <c r="B16" s="27"/>
      <c r="C16" s="23"/>
      <c r="D16" s="24"/>
      <c r="E16" s="24"/>
      <c r="F16" s="24"/>
      <c r="G16" s="24"/>
      <c r="H16" s="24"/>
      <c r="I16" s="23"/>
      <c r="J16" s="114"/>
      <c r="K16" s="114"/>
      <c r="L16" s="114"/>
      <c r="M16" s="114"/>
      <c r="N16" s="114"/>
      <c r="P16" s="25"/>
      <c r="Q16" s="26"/>
      <c r="R16" s="26"/>
      <c r="S16" s="26"/>
      <c r="T16" s="26"/>
      <c r="U16" s="26"/>
      <c r="W16" s="115"/>
      <c r="X16" s="115"/>
      <c r="Y16" s="115"/>
      <c r="Z16" s="115"/>
      <c r="AA16" s="115"/>
    </row>
    <row r="17" spans="2:73" x14ac:dyDescent="0.15">
      <c r="B17" s="130" t="s">
        <v>24</v>
      </c>
      <c r="D17" s="11"/>
      <c r="E17" s="11"/>
      <c r="F17" s="11"/>
      <c r="G17" s="11"/>
      <c r="H17" s="11"/>
      <c r="J17" s="111"/>
      <c r="K17" s="111"/>
      <c r="L17" s="111"/>
      <c r="M17" s="111"/>
      <c r="N17" s="111"/>
      <c r="P17" s="25"/>
      <c r="Q17" s="26"/>
      <c r="R17" s="26"/>
      <c r="S17" s="26"/>
      <c r="T17" s="26"/>
      <c r="U17" s="26"/>
      <c r="W17" s="115"/>
      <c r="X17" s="115"/>
      <c r="Y17" s="115"/>
      <c r="Z17" s="115"/>
      <c r="AA17" s="115"/>
    </row>
    <row r="18" spans="2:73" x14ac:dyDescent="0.15">
      <c r="B18" s="130"/>
      <c r="C18" s="39">
        <f>C19+C20</f>
        <v>158.864619602</v>
      </c>
      <c r="D18" s="40">
        <f t="shared" ref="D18:H18" si="10">D19+D20</f>
        <v>166.25502387019625</v>
      </c>
      <c r="E18" s="40">
        <f t="shared" si="10"/>
        <v>171.73652286029147</v>
      </c>
      <c r="F18" s="40">
        <f t="shared" si="10"/>
        <v>178.87832226456905</v>
      </c>
      <c r="G18" s="40">
        <f t="shared" si="10"/>
        <v>187.2233045071585</v>
      </c>
      <c r="H18" s="40">
        <f t="shared" si="10"/>
        <v>196.29328823581594</v>
      </c>
      <c r="I18" s="39"/>
      <c r="J18" s="120">
        <f t="shared" ref="J18:N18" si="11">J19+J20</f>
        <v>164.20365112694904</v>
      </c>
      <c r="K18" s="120">
        <f t="shared" si="11"/>
        <v>166.30070540246388</v>
      </c>
      <c r="L18" s="120">
        <f t="shared" si="11"/>
        <v>171.33583640609658</v>
      </c>
      <c r="M18" s="120">
        <f t="shared" si="11"/>
        <v>179.72313596670378</v>
      </c>
      <c r="N18" s="120">
        <f t="shared" si="11"/>
        <v>189.06201761244608</v>
      </c>
      <c r="P18" s="20">
        <f>tbl_model!AP40</f>
        <v>1.7126961415026454E-2</v>
      </c>
      <c r="Q18" s="22">
        <f t="shared" ref="Q18:U20" si="12">D18/C18-1</f>
        <v>4.6520139516975201E-2</v>
      </c>
      <c r="R18" s="22">
        <f t="shared" si="12"/>
        <v>3.2970426171150757E-2</v>
      </c>
      <c r="S18" s="22">
        <f t="shared" si="12"/>
        <v>4.1585792499639007E-2</v>
      </c>
      <c r="T18" s="22">
        <f t="shared" si="12"/>
        <v>4.6651724686051388E-2</v>
      </c>
      <c r="U18" s="22">
        <f t="shared" si="12"/>
        <v>4.8444736901386287E-2</v>
      </c>
      <c r="W18" s="117">
        <f t="shared" ref="W18:W20" si="13">J18/C18-1</f>
        <v>3.3607429636156816E-2</v>
      </c>
      <c r="X18" s="117">
        <f>K18/J18-1</f>
        <v>1.2771057532049435E-2</v>
      </c>
      <c r="Y18" s="117">
        <f t="shared" ref="Y18:AA20" si="14">L18/K18-1</f>
        <v>3.0277267865143509E-2</v>
      </c>
      <c r="Z18" s="117">
        <f t="shared" si="14"/>
        <v>4.8952395112064062E-2</v>
      </c>
      <c r="AA18" s="117">
        <f t="shared" si="14"/>
        <v>5.196260122832741E-2</v>
      </c>
    </row>
    <row r="19" spans="2:73" ht="13" customHeight="1" x14ac:dyDescent="0.15">
      <c r="B19" s="41" t="s">
        <v>8</v>
      </c>
      <c r="C19" s="42">
        <f>tbl_model!S41</f>
        <v>133.449902262633</v>
      </c>
      <c r="D19" s="43">
        <f>tbl_model!T41</f>
        <v>140.24955692063185</v>
      </c>
      <c r="E19" s="43">
        <f>tbl_model!U41</f>
        <v>144.45231349819346</v>
      </c>
      <c r="F19" s="43">
        <f>tbl_model!V41</f>
        <v>150.02782692323149</v>
      </c>
      <c r="G19" s="43">
        <f>tbl_model!W41</f>
        <v>156.39701621731038</v>
      </c>
      <c r="H19" s="43">
        <f>tbl_model!X41</f>
        <v>163.46185033046899</v>
      </c>
      <c r="I19" s="42"/>
      <c r="J19" s="121">
        <v>138.84849044179268</v>
      </c>
      <c r="K19" s="121">
        <v>140.14833446426661</v>
      </c>
      <c r="L19" s="121">
        <v>143.93998852290585</v>
      </c>
      <c r="M19" s="121">
        <v>150.18372163362554</v>
      </c>
      <c r="N19" s="121">
        <v>157.44223352506137</v>
      </c>
      <c r="P19" s="20">
        <f>tbl_model!AP41</f>
        <v>2.5321086848192342E-2</v>
      </c>
      <c r="Q19" s="22">
        <f t="shared" si="12"/>
        <v>5.0952863529393433E-2</v>
      </c>
      <c r="R19" s="22">
        <f t="shared" si="12"/>
        <v>2.9966273475929617E-2</v>
      </c>
      <c r="S19" s="22">
        <f t="shared" si="12"/>
        <v>3.8597605604342E-2</v>
      </c>
      <c r="T19" s="22">
        <f t="shared" si="12"/>
        <v>4.2453386313046959E-2</v>
      </c>
      <c r="U19" s="22">
        <f t="shared" si="12"/>
        <v>4.5172435408500133E-2</v>
      </c>
      <c r="W19" s="117">
        <f t="shared" si="13"/>
        <v>4.0454043709489573E-2</v>
      </c>
      <c r="X19" s="117">
        <f>K19/J19-1</f>
        <v>9.3615999593372745E-3</v>
      </c>
      <c r="Y19" s="117">
        <f t="shared" si="14"/>
        <v>2.7054578087804426E-2</v>
      </c>
      <c r="Z19" s="117">
        <f t="shared" si="14"/>
        <v>4.3377335060201805E-2</v>
      </c>
      <c r="AA19" s="117">
        <f t="shared" si="14"/>
        <v>4.8330883084273468E-2</v>
      </c>
      <c r="AP19" s="21"/>
      <c r="AQ19" s="21"/>
      <c r="BE19" s="45"/>
      <c r="BF19" s="45"/>
      <c r="BR19" s="46"/>
      <c r="BT19" s="45"/>
      <c r="BU19" s="45"/>
    </row>
    <row r="20" spans="2:73" x14ac:dyDescent="0.15">
      <c r="B20" s="41" t="s">
        <v>20</v>
      </c>
      <c r="C20" s="42">
        <f>tbl_model!S45</f>
        <v>25.414717339367012</v>
      </c>
      <c r="D20" s="43">
        <f>tbl_model!T45</f>
        <v>26.005466949564415</v>
      </c>
      <c r="E20" s="43">
        <f>tbl_model!U45</f>
        <v>27.284209362098025</v>
      </c>
      <c r="F20" s="43">
        <f>tbl_model!V45</f>
        <v>28.850495341337567</v>
      </c>
      <c r="G20" s="43">
        <f>tbl_model!W45</f>
        <v>30.826288289848133</v>
      </c>
      <c r="H20" s="43">
        <f>tbl_model!X45</f>
        <v>32.831437905346952</v>
      </c>
      <c r="I20" s="42"/>
      <c r="J20" s="121">
        <v>25.355160685156353</v>
      </c>
      <c r="K20" s="121">
        <v>26.152370938197272</v>
      </c>
      <c r="L20" s="121">
        <v>27.395847883190729</v>
      </c>
      <c r="M20" s="121">
        <v>29.539414333078231</v>
      </c>
      <c r="N20" s="121">
        <v>31.61978408738473</v>
      </c>
      <c r="P20" s="20">
        <f>tbl_model!AP45</f>
        <v>-2.3836645928606015E-2</v>
      </c>
      <c r="Q20" s="22">
        <f t="shared" si="12"/>
        <v>2.3244390339228316E-2</v>
      </c>
      <c r="R20" s="22">
        <f t="shared" si="12"/>
        <v>4.9172061205962292E-2</v>
      </c>
      <c r="S20" s="22">
        <f t="shared" si="12"/>
        <v>5.7406317275051855E-2</v>
      </c>
      <c r="T20" s="22">
        <f t="shared" si="12"/>
        <v>6.8483848375372913E-2</v>
      </c>
      <c r="U20" s="22">
        <f t="shared" si="12"/>
        <v>6.5046741814815512E-2</v>
      </c>
      <c r="W20" s="117">
        <f t="shared" si="13"/>
        <v>-2.3433923507938381E-3</v>
      </c>
      <c r="X20" s="117">
        <f>K20/J20-1</f>
        <v>3.144173539028805E-2</v>
      </c>
      <c r="Y20" s="117">
        <f t="shared" si="14"/>
        <v>4.7547388645259536E-2</v>
      </c>
      <c r="Z20" s="117">
        <f t="shared" si="14"/>
        <v>7.8244209086981042E-2</v>
      </c>
      <c r="AA20" s="117">
        <f t="shared" si="14"/>
        <v>7.0426912695317201E-2</v>
      </c>
      <c r="AP20" s="21"/>
      <c r="AQ20" s="21"/>
      <c r="BC20" s="21"/>
      <c r="BF20" s="45"/>
      <c r="BT20" s="45"/>
      <c r="BU20" s="45"/>
    </row>
    <row r="21" spans="2:73" ht="4" customHeight="1" x14ac:dyDescent="0.15">
      <c r="B21" s="50"/>
      <c r="C21" s="50"/>
      <c r="D21" s="51"/>
      <c r="E21" s="51"/>
      <c r="F21" s="51"/>
      <c r="G21" s="51"/>
      <c r="H21" s="51"/>
      <c r="J21" s="122"/>
      <c r="K21" s="122"/>
      <c r="L21" s="122"/>
      <c r="M21" s="122"/>
      <c r="N21" s="122"/>
      <c r="P21" s="50"/>
      <c r="Q21" s="51"/>
      <c r="R21" s="51"/>
      <c r="S21" s="51"/>
      <c r="T21" s="51"/>
      <c r="U21" s="51"/>
      <c r="W21" s="122"/>
      <c r="X21" s="122"/>
      <c r="Y21" s="122"/>
      <c r="Z21" s="122"/>
      <c r="AA21" s="122"/>
      <c r="BC21" s="21"/>
      <c r="BF21" s="45"/>
      <c r="BT21" s="45"/>
      <c r="BU21" s="45"/>
    </row>
    <row r="22" spans="2:73" x14ac:dyDescent="0.15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2:73" x14ac:dyDescent="0.15"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2:73" ht="16" x14ac:dyDescent="0.2">
      <c r="B24" s="4"/>
      <c r="C24" s="108"/>
      <c r="D24" s="108" t="s">
        <v>73</v>
      </c>
      <c r="E24" s="109"/>
      <c r="F24" s="109"/>
      <c r="G24" s="109"/>
      <c r="H24" s="109"/>
      <c r="J24" s="108" t="s">
        <v>74</v>
      </c>
      <c r="K24" s="109"/>
      <c r="L24" s="109"/>
      <c r="M24" s="109"/>
      <c r="N24" s="109"/>
      <c r="P24" s="8"/>
      <c r="Q24" s="108" t="s">
        <v>75</v>
      </c>
      <c r="R24" s="109"/>
      <c r="S24" s="109"/>
      <c r="T24" s="109"/>
      <c r="U24" s="109"/>
      <c r="W24" s="108" t="s">
        <v>76</v>
      </c>
      <c r="X24" s="109"/>
      <c r="Y24" s="109"/>
      <c r="Z24" s="109"/>
      <c r="AA24" s="109"/>
    </row>
    <row r="25" spans="2:73" ht="15.5" customHeight="1" x14ac:dyDescent="0.2">
      <c r="B25" s="4"/>
      <c r="C25" s="7"/>
      <c r="D25" s="7" t="s">
        <v>4</v>
      </c>
      <c r="J25" s="7" t="s">
        <v>4</v>
      </c>
      <c r="P25" s="7"/>
      <c r="Q25" s="7" t="s">
        <v>4</v>
      </c>
      <c r="W25" s="7" t="s">
        <v>4</v>
      </c>
    </row>
    <row r="26" spans="2:73" x14ac:dyDescent="0.15">
      <c r="C26" s="9">
        <v>2025</v>
      </c>
      <c r="D26" s="10">
        <v>2026</v>
      </c>
      <c r="E26" s="10">
        <v>2027</v>
      </c>
      <c r="F26" s="10">
        <v>2028</v>
      </c>
      <c r="G26" s="10">
        <v>2029</v>
      </c>
      <c r="H26" s="10">
        <v>2030</v>
      </c>
      <c r="I26" s="12"/>
      <c r="J26" s="110">
        <v>2026</v>
      </c>
      <c r="K26" s="110">
        <v>2027</v>
      </c>
      <c r="L26" s="110">
        <v>2028</v>
      </c>
      <c r="M26" s="110">
        <v>2029</v>
      </c>
      <c r="N26" s="110">
        <v>2030</v>
      </c>
      <c r="P26" s="9">
        <v>2025</v>
      </c>
      <c r="Q26" s="10">
        <v>2026</v>
      </c>
      <c r="R26" s="10">
        <v>2027</v>
      </c>
      <c r="S26" s="10">
        <v>2028</v>
      </c>
      <c r="T26" s="10">
        <v>2029</v>
      </c>
      <c r="U26" s="10">
        <v>2030</v>
      </c>
      <c r="W26" s="110">
        <v>2026</v>
      </c>
      <c r="X26" s="110">
        <v>2027</v>
      </c>
      <c r="Y26" s="110">
        <v>2028</v>
      </c>
      <c r="Z26" s="110">
        <v>2029</v>
      </c>
      <c r="AA26" s="110">
        <v>2030</v>
      </c>
    </row>
    <row r="27" spans="2:73" ht="4" customHeight="1" x14ac:dyDescent="0.15">
      <c r="D27" s="11"/>
      <c r="E27" s="11"/>
      <c r="F27" s="11"/>
      <c r="G27" s="11"/>
      <c r="H27" s="11"/>
      <c r="J27" s="111"/>
      <c r="K27" s="111"/>
      <c r="L27" s="111"/>
      <c r="M27" s="111"/>
      <c r="N27" s="111"/>
      <c r="Q27" s="11"/>
      <c r="R27" s="11"/>
      <c r="S27" s="11"/>
      <c r="T27" s="11"/>
      <c r="U27" s="11"/>
      <c r="W27" s="111"/>
      <c r="X27" s="111"/>
      <c r="Y27" s="111"/>
      <c r="Z27" s="111"/>
      <c r="AA27" s="111"/>
    </row>
    <row r="28" spans="2:73" x14ac:dyDescent="0.15">
      <c r="B28" s="12" t="s">
        <v>78</v>
      </c>
      <c r="C28" s="69">
        <v>16407.088882773925</v>
      </c>
      <c r="D28" s="70">
        <v>16795.060655459092</v>
      </c>
      <c r="E28" s="70">
        <v>17292.424458729773</v>
      </c>
      <c r="F28" s="70">
        <v>17964.969131947935</v>
      </c>
      <c r="G28" s="70">
        <v>18763.757324107668</v>
      </c>
      <c r="H28" s="70">
        <v>19548.257312444344</v>
      </c>
      <c r="I28" s="69"/>
      <c r="J28" s="123">
        <v>16407.890393444261</v>
      </c>
      <c r="K28" s="123">
        <v>16641.577763815723</v>
      </c>
      <c r="L28" s="123">
        <v>17127.613919294261</v>
      </c>
      <c r="M28" s="123">
        <v>18015.984796580033</v>
      </c>
      <c r="N28" s="123">
        <v>18845.367185744821</v>
      </c>
      <c r="P28" s="15">
        <f>tbl_model!AP104</f>
        <v>-6.6187188928127361E-3</v>
      </c>
      <c r="Q28" s="17">
        <f>D28/C28-1</f>
        <v>2.3646594192130221E-2</v>
      </c>
      <c r="R28" s="17">
        <f>E28/D28-1</f>
        <v>2.961369497102817E-2</v>
      </c>
      <c r="S28" s="17">
        <f>F28/E28-1</f>
        <v>3.8892445349306692E-2</v>
      </c>
      <c r="T28" s="17">
        <f>G28/F28-1</f>
        <v>4.4463655144233449E-2</v>
      </c>
      <c r="U28" s="17">
        <f>H28/G28-1</f>
        <v>4.1809322876327659E-2</v>
      </c>
      <c r="W28" s="113">
        <f>J28/C28-1</f>
        <v>4.8851485846324039E-5</v>
      </c>
      <c r="X28" s="113">
        <f>K28/J28-1</f>
        <v>1.424237758589797E-2</v>
      </c>
      <c r="Y28" s="113">
        <f t="shared" ref="Y28:AA28" si="15">L28/K28-1</f>
        <v>2.9206134320709731E-2</v>
      </c>
      <c r="Z28" s="113">
        <f t="shared" si="15"/>
        <v>5.1867754695534174E-2</v>
      </c>
      <c r="AA28" s="113">
        <f t="shared" si="15"/>
        <v>4.6035917466039855E-2</v>
      </c>
    </row>
    <row r="29" spans="2:73" ht="4" customHeight="1" x14ac:dyDescent="0.15">
      <c r="C29" s="23"/>
      <c r="D29" s="24"/>
      <c r="E29" s="24"/>
      <c r="F29" s="24"/>
      <c r="G29" s="24"/>
      <c r="H29" s="24"/>
      <c r="I29" s="23"/>
      <c r="J29" s="114"/>
      <c r="K29" s="114"/>
      <c r="L29" s="114"/>
      <c r="M29" s="114"/>
      <c r="N29" s="114"/>
      <c r="P29" s="20"/>
      <c r="Q29" s="22"/>
      <c r="R29" s="22"/>
      <c r="S29" s="22"/>
      <c r="T29" s="22"/>
      <c r="U29" s="22"/>
      <c r="W29" s="117"/>
      <c r="X29" s="117"/>
      <c r="Y29" s="117"/>
      <c r="Z29" s="117"/>
      <c r="AA29" s="117"/>
    </row>
    <row r="30" spans="2:73" x14ac:dyDescent="0.15">
      <c r="B30" s="27" t="s">
        <v>50</v>
      </c>
      <c r="C30" s="23">
        <v>599</v>
      </c>
      <c r="D30" s="24">
        <v>610.26371183902302</v>
      </c>
      <c r="E30" s="24">
        <v>677.1236290349832</v>
      </c>
      <c r="F30" s="24">
        <v>757.67778296955748</v>
      </c>
      <c r="G30" s="24">
        <v>845.14511343956633</v>
      </c>
      <c r="H30" s="24">
        <v>934.59784022060387</v>
      </c>
      <c r="I30" s="23"/>
      <c r="J30" s="114">
        <v>591.95580048385227</v>
      </c>
      <c r="K30" s="114">
        <v>637.10562255901561</v>
      </c>
      <c r="L30" s="114">
        <v>720.02801625601717</v>
      </c>
      <c r="M30" s="114">
        <v>815.19624272175531</v>
      </c>
      <c r="N30" s="114">
        <v>905.98648547646621</v>
      </c>
      <c r="P30" s="20">
        <f>tbl_model!AP106</f>
        <v>-7.4188562596599672E-2</v>
      </c>
      <c r="Q30" s="22">
        <f t="shared" ref="Q30:U46" si="16">D30/C30-1</f>
        <v>1.8804193387350621E-2</v>
      </c>
      <c r="R30" s="22">
        <f t="shared" si="16"/>
        <v>0.10955905766456042</v>
      </c>
      <c r="S30" s="22">
        <f t="shared" si="16"/>
        <v>0.11896520883398765</v>
      </c>
      <c r="T30" s="22">
        <f t="shared" si="16"/>
        <v>0.11544132933025852</v>
      </c>
      <c r="U30" s="22">
        <f t="shared" si="16"/>
        <v>0.10584303850138044</v>
      </c>
      <c r="W30" s="117">
        <f t="shared" ref="W30:W46" si="17">J30/C30-1</f>
        <v>-1.175993241426998E-2</v>
      </c>
      <c r="X30" s="117">
        <f t="shared" ref="X30:AA46" si="18">K30/J30-1</f>
        <v>7.6272285934623429E-2</v>
      </c>
      <c r="Y30" s="117">
        <f t="shared" si="18"/>
        <v>0.13015486092232753</v>
      </c>
      <c r="Z30" s="117">
        <f t="shared" si="18"/>
        <v>0.13217294927021239</v>
      </c>
      <c r="AA30" s="117">
        <f t="shared" si="18"/>
        <v>0.11137225369388704</v>
      </c>
      <c r="AB30" s="23"/>
      <c r="AC30" s="23"/>
    </row>
    <row r="31" spans="2:73" x14ac:dyDescent="0.15">
      <c r="B31" s="27" t="s">
        <v>51</v>
      </c>
      <c r="C31" s="23">
        <v>666</v>
      </c>
      <c r="D31" s="24">
        <v>608.86141241210635</v>
      </c>
      <c r="E31" s="24">
        <v>631.68046053194735</v>
      </c>
      <c r="F31" s="24">
        <v>659.48598758911635</v>
      </c>
      <c r="G31" s="24">
        <v>688.37126321914991</v>
      </c>
      <c r="H31" s="24">
        <v>715.41630544523196</v>
      </c>
      <c r="I31" s="23"/>
      <c r="J31" s="114">
        <v>599.7284912259247</v>
      </c>
      <c r="K31" s="114">
        <v>615.9832010877285</v>
      </c>
      <c r="L31" s="114">
        <v>646.31324960151437</v>
      </c>
      <c r="M31" s="114">
        <v>680.01853602291305</v>
      </c>
      <c r="N31" s="114">
        <v>711.68256040425842</v>
      </c>
      <c r="P31" s="20">
        <f>tbl_model!AP107</f>
        <v>0.10631229235880402</v>
      </c>
      <c r="Q31" s="22">
        <f t="shared" si="16"/>
        <v>-8.5793675056897389E-2</v>
      </c>
      <c r="R31" s="22">
        <f t="shared" si="16"/>
        <v>3.7478230110592037E-2</v>
      </c>
      <c r="S31" s="22">
        <f t="shared" si="16"/>
        <v>4.4018342808567423E-2</v>
      </c>
      <c r="T31" s="22">
        <f t="shared" si="16"/>
        <v>4.3799680620401737E-2</v>
      </c>
      <c r="U31" s="22">
        <f t="shared" si="16"/>
        <v>3.9288453297144699E-2</v>
      </c>
      <c r="W31" s="117">
        <f t="shared" si="17"/>
        <v>-9.9506769931044015E-2</v>
      </c>
      <c r="X31" s="117">
        <f t="shared" si="18"/>
        <v>2.7103447809486259E-2</v>
      </c>
      <c r="Y31" s="117">
        <f t="shared" si="18"/>
        <v>4.9238434522610008E-2</v>
      </c>
      <c r="Z31" s="117">
        <f t="shared" si="18"/>
        <v>5.215007806536498E-2</v>
      </c>
      <c r="AA31" s="117">
        <f t="shared" si="18"/>
        <v>4.6563472470224632E-2</v>
      </c>
      <c r="AB31" s="23"/>
      <c r="AC31" s="23"/>
    </row>
    <row r="32" spans="2:73" x14ac:dyDescent="0.15">
      <c r="B32" s="27" t="s">
        <v>52</v>
      </c>
      <c r="C32" s="23">
        <v>410</v>
      </c>
      <c r="D32" s="24">
        <v>448.09605042443968</v>
      </c>
      <c r="E32" s="24">
        <v>477.0193781934633</v>
      </c>
      <c r="F32" s="24">
        <v>512.15009792629508</v>
      </c>
      <c r="G32" s="24">
        <v>557.89985375813364</v>
      </c>
      <c r="H32" s="24">
        <v>610.41823321291429</v>
      </c>
      <c r="I32" s="23"/>
      <c r="J32" s="114">
        <v>443.61508992019526</v>
      </c>
      <c r="K32" s="114">
        <v>467.52669256741336</v>
      </c>
      <c r="L32" s="114">
        <v>499.44851942267405</v>
      </c>
      <c r="M32" s="114">
        <v>552.76867696996521</v>
      </c>
      <c r="N32" s="114">
        <v>610.85206900037178</v>
      </c>
      <c r="P32" s="20">
        <f>tbl_model!AP108</f>
        <v>8.7533156498673659E-2</v>
      </c>
      <c r="Q32" s="22">
        <f t="shared" si="16"/>
        <v>9.2917196157169979E-2</v>
      </c>
      <c r="R32" s="22">
        <f t="shared" si="16"/>
        <v>6.4547160684918392E-2</v>
      </c>
      <c r="S32" s="22">
        <f t="shared" si="16"/>
        <v>7.364631572385294E-2</v>
      </c>
      <c r="T32" s="22">
        <f t="shared" si="16"/>
        <v>8.9328804225714542E-2</v>
      </c>
      <c r="U32" s="22">
        <f t="shared" si="16"/>
        <v>9.4135854492532145E-2</v>
      </c>
      <c r="W32" s="117">
        <f t="shared" si="17"/>
        <v>8.1988024195598141E-2</v>
      </c>
      <c r="X32" s="117">
        <f t="shared" si="18"/>
        <v>5.3901689078069248E-2</v>
      </c>
      <c r="Y32" s="117">
        <f t="shared" si="18"/>
        <v>6.8278084145233731E-2</v>
      </c>
      <c r="Z32" s="117">
        <f t="shared" si="18"/>
        <v>0.10675806509332597</v>
      </c>
      <c r="AA32" s="117">
        <f t="shared" si="18"/>
        <v>0.10507721303745754</v>
      </c>
      <c r="AB32" s="23"/>
      <c r="AC32" s="23"/>
    </row>
    <row r="33" spans="2:29" x14ac:dyDescent="0.15">
      <c r="B33" s="27" t="s">
        <v>53</v>
      </c>
      <c r="C33" s="23">
        <v>368</v>
      </c>
      <c r="D33" s="24">
        <v>324.02829631968137</v>
      </c>
      <c r="E33" s="24">
        <v>352.134753096883</v>
      </c>
      <c r="F33" s="24">
        <v>389.57537239598327</v>
      </c>
      <c r="G33" s="24">
        <v>439.68102872522684</v>
      </c>
      <c r="H33" s="24">
        <v>487.9951397819159</v>
      </c>
      <c r="I33" s="23"/>
      <c r="J33" s="114">
        <v>314.30744743009092</v>
      </c>
      <c r="K33" s="114">
        <v>334.73929629389698</v>
      </c>
      <c r="L33" s="114">
        <v>374.03365248961796</v>
      </c>
      <c r="M33" s="114">
        <v>424.25109573408895</v>
      </c>
      <c r="N33" s="114">
        <v>475.57839395367176</v>
      </c>
      <c r="P33" s="20">
        <f>tbl_model!AP109</f>
        <v>-0.15402298850574714</v>
      </c>
      <c r="Q33" s="22">
        <f t="shared" si="16"/>
        <v>-0.11948832521825714</v>
      </c>
      <c r="R33" s="22">
        <f t="shared" si="16"/>
        <v>8.6740747942186669E-2</v>
      </c>
      <c r="S33" s="22">
        <f t="shared" si="16"/>
        <v>0.10632469237933817</v>
      </c>
      <c r="T33" s="22">
        <f t="shared" si="16"/>
        <v>0.12861607760542348</v>
      </c>
      <c r="U33" s="22">
        <f t="shared" si="16"/>
        <v>0.10988445691361037</v>
      </c>
      <c r="W33" s="117">
        <f t="shared" si="17"/>
        <v>-0.14590367546170946</v>
      </c>
      <c r="X33" s="117">
        <f t="shared" si="18"/>
        <v>6.5005932983343007E-2</v>
      </c>
      <c r="Y33" s="117">
        <f t="shared" si="18"/>
        <v>0.11738793930313163</v>
      </c>
      <c r="Z33" s="117">
        <f t="shared" si="18"/>
        <v>0.13425915799345045</v>
      </c>
      <c r="AA33" s="117">
        <f t="shared" si="18"/>
        <v>0.12098330148274639</v>
      </c>
      <c r="AB33" s="23"/>
      <c r="AC33" s="23"/>
    </row>
    <row r="34" spans="2:29" x14ac:dyDescent="0.15">
      <c r="B34" s="27" t="s">
        <v>54</v>
      </c>
      <c r="C34" s="23">
        <v>410</v>
      </c>
      <c r="D34" s="24">
        <v>385.73260826022084</v>
      </c>
      <c r="E34" s="24">
        <v>402.45000050199758</v>
      </c>
      <c r="F34" s="24">
        <v>425.68227957853867</v>
      </c>
      <c r="G34" s="24">
        <v>464.17295035370887</v>
      </c>
      <c r="H34" s="24">
        <v>501.0932350445741</v>
      </c>
      <c r="I34" s="23"/>
      <c r="J34" s="114">
        <v>374.16063001241423</v>
      </c>
      <c r="K34" s="114">
        <v>382.56897047719889</v>
      </c>
      <c r="L34" s="114">
        <v>408.70011071703243</v>
      </c>
      <c r="M34" s="114">
        <v>445.65523467229798</v>
      </c>
      <c r="N34" s="114">
        <v>481.10262152570579</v>
      </c>
      <c r="P34" s="20">
        <f>tbl_model!AP110</f>
        <v>-5.092592592592593E-2</v>
      </c>
      <c r="Q34" s="22">
        <f t="shared" si="16"/>
        <v>-5.9188760340924795E-2</v>
      </c>
      <c r="R34" s="22">
        <f t="shared" si="16"/>
        <v>4.3339328549840683E-2</v>
      </c>
      <c r="S34" s="22">
        <f t="shared" si="16"/>
        <v>5.7727119014939099E-2</v>
      </c>
      <c r="T34" s="22">
        <f t="shared" si="16"/>
        <v>9.0421125383183032E-2</v>
      </c>
      <c r="U34" s="22">
        <f t="shared" si="16"/>
        <v>7.9539931533561425E-2</v>
      </c>
      <c r="W34" s="117">
        <f t="shared" si="17"/>
        <v>-8.7413097530697037E-2</v>
      </c>
      <c r="X34" s="117">
        <f t="shared" si="18"/>
        <v>2.2472541978843852E-2</v>
      </c>
      <c r="Y34" s="117">
        <f t="shared" si="18"/>
        <v>6.8304390205088383E-2</v>
      </c>
      <c r="Z34" s="117">
        <f t="shared" si="18"/>
        <v>9.0421125383183032E-2</v>
      </c>
      <c r="AA34" s="117">
        <f t="shared" si="18"/>
        <v>7.9539931533561425E-2</v>
      </c>
      <c r="AB34" s="23"/>
      <c r="AC34" s="23"/>
    </row>
    <row r="35" spans="2:29" x14ac:dyDescent="0.15">
      <c r="B35" s="27" t="s">
        <v>55</v>
      </c>
      <c r="C35" s="23">
        <v>599</v>
      </c>
      <c r="D35" s="24">
        <v>608.99879744807947</v>
      </c>
      <c r="E35" s="24">
        <v>630.91673723300448</v>
      </c>
      <c r="F35" s="24">
        <v>664.10522692773986</v>
      </c>
      <c r="G35" s="24">
        <v>707.45062886262599</v>
      </c>
      <c r="H35" s="24">
        <v>748.2940059878714</v>
      </c>
      <c r="I35" s="23"/>
      <c r="J35" s="114">
        <v>602.90880947359869</v>
      </c>
      <c r="K35" s="114">
        <v>618.36149416206763</v>
      </c>
      <c r="L35" s="114">
        <v>654.14398057643712</v>
      </c>
      <c r="M35" s="114">
        <v>700.32341927077584</v>
      </c>
      <c r="N35" s="114">
        <v>744.45909649475777</v>
      </c>
      <c r="P35" s="20">
        <f>tbl_model!AP111</f>
        <v>-4.9206349206349254E-2</v>
      </c>
      <c r="Q35" s="22">
        <f t="shared" si="16"/>
        <v>1.6692483218830434E-2</v>
      </c>
      <c r="R35" s="22">
        <f t="shared" si="16"/>
        <v>3.5990119975226387E-2</v>
      </c>
      <c r="S35" s="22">
        <f t="shared" si="16"/>
        <v>5.2603596855409718E-2</v>
      </c>
      <c r="T35" s="22">
        <f t="shared" si="16"/>
        <v>6.5268876342698068E-2</v>
      </c>
      <c r="U35" s="22">
        <f t="shared" si="16"/>
        <v>5.7733183714755665E-2</v>
      </c>
      <c r="W35" s="117">
        <f t="shared" si="17"/>
        <v>6.5255583866421496E-3</v>
      </c>
      <c r="X35" s="117">
        <f t="shared" si="18"/>
        <v>2.5630218775474001E-2</v>
      </c>
      <c r="Y35" s="117">
        <f t="shared" si="18"/>
        <v>5.7866614839686692E-2</v>
      </c>
      <c r="Z35" s="117">
        <f t="shared" si="18"/>
        <v>7.05952207244116E-2</v>
      </c>
      <c r="AA35" s="117">
        <f t="shared" si="18"/>
        <v>6.3021849633329463E-2</v>
      </c>
      <c r="AB35" s="23"/>
      <c r="AC35" s="23"/>
    </row>
    <row r="36" spans="2:29" x14ac:dyDescent="0.15">
      <c r="B36" s="27" t="s">
        <v>56</v>
      </c>
      <c r="C36" s="23">
        <v>384</v>
      </c>
      <c r="D36" s="24">
        <v>348.87323386682186</v>
      </c>
      <c r="E36" s="24">
        <v>361.64331736039003</v>
      </c>
      <c r="F36" s="24">
        <v>376.95728358634432</v>
      </c>
      <c r="G36" s="24">
        <v>402.70382397863835</v>
      </c>
      <c r="H36" s="24">
        <v>426.52984487716549</v>
      </c>
      <c r="I36" s="23"/>
      <c r="J36" s="114">
        <v>338.40703685081718</v>
      </c>
      <c r="K36" s="114">
        <v>347.28607766118245</v>
      </c>
      <c r="L36" s="114">
        <v>363.80203982510608</v>
      </c>
      <c r="M36" s="114">
        <v>390.59331490040722</v>
      </c>
      <c r="N36" s="114">
        <v>413.70281605114809</v>
      </c>
      <c r="P36" s="20">
        <f>tbl_model!AP112</f>
        <v>-9.8591549295774628E-2</v>
      </c>
      <c r="Q36" s="22">
        <f t="shared" si="16"/>
        <v>-9.1475953471818028E-2</v>
      </c>
      <c r="R36" s="22">
        <f t="shared" si="16"/>
        <v>3.660379259259261E-2</v>
      </c>
      <c r="S36" s="22">
        <f t="shared" si="16"/>
        <v>4.2345497596167014E-2</v>
      </c>
      <c r="T36" s="22">
        <f t="shared" si="16"/>
        <v>6.8300949506382658E-2</v>
      </c>
      <c r="U36" s="22">
        <f t="shared" si="16"/>
        <v>5.9165122057025732E-2</v>
      </c>
      <c r="W36" s="117">
        <f t="shared" si="17"/>
        <v>-0.11873167486766356</v>
      </c>
      <c r="X36" s="117">
        <f t="shared" si="18"/>
        <v>2.6237754666666335E-2</v>
      </c>
      <c r="Y36" s="117">
        <f t="shared" si="18"/>
        <v>4.7557225084147614E-2</v>
      </c>
      <c r="Z36" s="117">
        <f t="shared" si="18"/>
        <v>7.3642454253914469E-2</v>
      </c>
      <c r="AA36" s="117">
        <f t="shared" si="18"/>
        <v>5.9165122057025732E-2</v>
      </c>
      <c r="AB36" s="23"/>
      <c r="AC36" s="23"/>
    </row>
    <row r="37" spans="2:29" x14ac:dyDescent="0.15">
      <c r="B37" s="27" t="s">
        <v>57</v>
      </c>
      <c r="C37" s="23">
        <v>404</v>
      </c>
      <c r="D37" s="24">
        <v>348.7122716521564</v>
      </c>
      <c r="E37" s="24">
        <v>362.03434802475977</v>
      </c>
      <c r="F37" s="24">
        <v>381.45554817943741</v>
      </c>
      <c r="G37" s="24">
        <v>408.32762050417193</v>
      </c>
      <c r="H37" s="24">
        <v>437.51859150816767</v>
      </c>
      <c r="I37" s="23"/>
      <c r="J37" s="114">
        <v>333.02021942780937</v>
      </c>
      <c r="K37" s="114">
        <v>340.5566603281909</v>
      </c>
      <c r="L37" s="114">
        <v>361.33747766817811</v>
      </c>
      <c r="M37" s="114">
        <v>388.33947874672106</v>
      </c>
      <c r="N37" s="114">
        <v>417.34982018402326</v>
      </c>
      <c r="P37" s="20">
        <f>tbl_model!AP113</f>
        <v>-1.9417475728155331E-2</v>
      </c>
      <c r="Q37" s="22">
        <f t="shared" si="16"/>
        <v>-0.13685081274218713</v>
      </c>
      <c r="R37" s="22">
        <f t="shared" si="16"/>
        <v>3.8203635075659825E-2</v>
      </c>
      <c r="S37" s="22">
        <f t="shared" si="16"/>
        <v>5.3644634164240701E-2</v>
      </c>
      <c r="T37" s="22">
        <f t="shared" si="16"/>
        <v>7.0446143601754274E-2</v>
      </c>
      <c r="U37" s="22">
        <f t="shared" si="16"/>
        <v>7.1489092430125023E-2</v>
      </c>
      <c r="W37" s="117">
        <f t="shared" si="17"/>
        <v>-0.17569252616878872</v>
      </c>
      <c r="X37" s="117">
        <f t="shared" si="18"/>
        <v>2.2630580549525048E-2</v>
      </c>
      <c r="Y37" s="117">
        <f t="shared" si="18"/>
        <v>6.1020146603390391E-2</v>
      </c>
      <c r="Z37" s="117">
        <f t="shared" si="18"/>
        <v>7.4727928176161473E-2</v>
      </c>
      <c r="AA37" s="117">
        <f t="shared" si="18"/>
        <v>7.4703559707415268E-2</v>
      </c>
      <c r="AB37" s="23"/>
      <c r="AC37" s="23"/>
    </row>
    <row r="38" spans="2:29" x14ac:dyDescent="0.15">
      <c r="B38" s="27" t="s">
        <v>58</v>
      </c>
      <c r="C38" s="23">
        <v>187</v>
      </c>
      <c r="D38" s="24">
        <v>169.76221011429726</v>
      </c>
      <c r="E38" s="24">
        <v>174.53833157209516</v>
      </c>
      <c r="F38" s="24">
        <v>180.85265993913157</v>
      </c>
      <c r="G38" s="24">
        <v>189.71573362055861</v>
      </c>
      <c r="H38" s="24">
        <v>198.62868836250195</v>
      </c>
      <c r="I38" s="23"/>
      <c r="J38" s="114">
        <v>166.36696591201132</v>
      </c>
      <c r="K38" s="114">
        <v>169.67918442112804</v>
      </c>
      <c r="L38" s="114">
        <v>176.69681049585827</v>
      </c>
      <c r="M38" s="114">
        <v>185.35621783454508</v>
      </c>
      <c r="N38" s="114">
        <v>194.06436000688234</v>
      </c>
      <c r="P38" s="20">
        <f>tbl_model!AP114</f>
        <v>5.0561797752809001E-2</v>
      </c>
      <c r="Q38" s="22">
        <f t="shared" si="16"/>
        <v>-9.2180694575950461E-2</v>
      </c>
      <c r="R38" s="22">
        <f t="shared" si="16"/>
        <v>2.813418519105193E-2</v>
      </c>
      <c r="S38" s="22">
        <f t="shared" si="16"/>
        <v>3.6177315952101941E-2</v>
      </c>
      <c r="T38" s="22">
        <f t="shared" si="16"/>
        <v>4.9007151370679569E-2</v>
      </c>
      <c r="U38" s="22">
        <f t="shared" si="16"/>
        <v>4.6980577582298455E-2</v>
      </c>
      <c r="W38" s="117">
        <f t="shared" si="17"/>
        <v>-0.11033708068443138</v>
      </c>
      <c r="X38" s="117">
        <f t="shared" si="18"/>
        <v>1.9909111709523586E-2</v>
      </c>
      <c r="Y38" s="117">
        <f t="shared" si="18"/>
        <v>4.1358202531862398E-2</v>
      </c>
      <c r="Z38" s="117">
        <f t="shared" si="18"/>
        <v>4.9007151370679569E-2</v>
      </c>
      <c r="AA38" s="117">
        <f t="shared" si="18"/>
        <v>4.6980577582298455E-2</v>
      </c>
      <c r="AB38" s="23"/>
      <c r="AC38" s="23"/>
    </row>
    <row r="39" spans="2:29" x14ac:dyDescent="0.15">
      <c r="B39" s="27" t="s">
        <v>59</v>
      </c>
      <c r="C39" s="23">
        <v>150</v>
      </c>
      <c r="D39" s="24">
        <v>136.26191514433003</v>
      </c>
      <c r="E39" s="24">
        <v>146.39630338478108</v>
      </c>
      <c r="F39" s="24">
        <v>160.85851100202001</v>
      </c>
      <c r="G39" s="24">
        <v>177.77764654555943</v>
      </c>
      <c r="H39" s="24">
        <v>196.38337868811408</v>
      </c>
      <c r="I39" s="23"/>
      <c r="J39" s="114">
        <v>132.63237088547933</v>
      </c>
      <c r="K39" s="114">
        <v>137.33151604610509</v>
      </c>
      <c r="L39" s="114">
        <v>147.820264933347</v>
      </c>
      <c r="M39" s="114">
        <v>164.98406737795034</v>
      </c>
      <c r="N39" s="114">
        <v>184.06095304140473</v>
      </c>
      <c r="P39" s="20">
        <f>tbl_model!AP115</f>
        <v>-0.2021276595744681</v>
      </c>
      <c r="Q39" s="22">
        <f t="shared" si="16"/>
        <v>-9.1587232371133087E-2</v>
      </c>
      <c r="R39" s="22">
        <f t="shared" si="16"/>
        <v>7.4374327043008392E-2</v>
      </c>
      <c r="S39" s="22">
        <f t="shared" si="16"/>
        <v>9.8788065564928695E-2</v>
      </c>
      <c r="T39" s="22">
        <f t="shared" si="16"/>
        <v>0.10518023223108752</v>
      </c>
      <c r="U39" s="22">
        <f t="shared" si="16"/>
        <v>0.1046573205579393</v>
      </c>
      <c r="W39" s="117">
        <f t="shared" si="17"/>
        <v>-0.1157841940968044</v>
      </c>
      <c r="X39" s="117">
        <f t="shared" si="18"/>
        <v>3.5429851168710558E-2</v>
      </c>
      <c r="Y39" s="117">
        <f t="shared" si="18"/>
        <v>7.6375395751989039E-2</v>
      </c>
      <c r="Z39" s="117">
        <f t="shared" si="18"/>
        <v>0.11611264837295887</v>
      </c>
      <c r="AA39" s="117">
        <f t="shared" si="18"/>
        <v>0.11562865412787104</v>
      </c>
      <c r="AB39" s="23"/>
      <c r="AC39" s="23"/>
    </row>
    <row r="40" spans="2:29" x14ac:dyDescent="0.15">
      <c r="B40" s="27" t="s">
        <v>60</v>
      </c>
      <c r="C40" s="23">
        <v>147</v>
      </c>
      <c r="D40" s="24">
        <v>149.47295591081988</v>
      </c>
      <c r="E40" s="24">
        <v>153.92037377189459</v>
      </c>
      <c r="F40" s="24">
        <v>159.21310076829963</v>
      </c>
      <c r="G40" s="24">
        <v>165.96797695309547</v>
      </c>
      <c r="H40" s="24">
        <v>173.56000356318202</v>
      </c>
      <c r="I40" s="23"/>
      <c r="J40" s="114">
        <v>145.73613201304937</v>
      </c>
      <c r="K40" s="114">
        <v>148.57164078332124</v>
      </c>
      <c r="L40" s="114">
        <v>154.44884774418418</v>
      </c>
      <c r="M40" s="114">
        <v>161.00159270274526</v>
      </c>
      <c r="N40" s="114">
        <v>168.36643740655822</v>
      </c>
      <c r="P40" s="20">
        <f>tbl_model!AP116</f>
        <v>-0.20540540540540542</v>
      </c>
      <c r="Q40" s="22">
        <f t="shared" si="16"/>
        <v>1.6822829325305211E-2</v>
      </c>
      <c r="R40" s="22">
        <f t="shared" si="16"/>
        <v>2.9753996861667575E-2</v>
      </c>
      <c r="S40" s="22">
        <f t="shared" si="16"/>
        <v>3.4386136589355631E-2</v>
      </c>
      <c r="T40" s="22">
        <f t="shared" si="16"/>
        <v>4.2426635447708083E-2</v>
      </c>
      <c r="U40" s="22">
        <f t="shared" si="16"/>
        <v>4.5743924517632317E-2</v>
      </c>
      <c r="W40" s="117">
        <f t="shared" si="17"/>
        <v>-8.5977414078274306E-3</v>
      </c>
      <c r="X40" s="117">
        <f t="shared" si="18"/>
        <v>1.9456456893050866E-2</v>
      </c>
      <c r="Y40" s="117">
        <f t="shared" si="18"/>
        <v>3.9558067272302155E-2</v>
      </c>
      <c r="Z40" s="117">
        <f t="shared" si="18"/>
        <v>4.2426635447708083E-2</v>
      </c>
      <c r="AA40" s="117">
        <f t="shared" si="18"/>
        <v>4.5743924517632317E-2</v>
      </c>
      <c r="AB40" s="23"/>
      <c r="AC40" s="23"/>
    </row>
    <row r="41" spans="2:29" x14ac:dyDescent="0.15">
      <c r="B41" s="27" t="s">
        <v>61</v>
      </c>
      <c r="C41" s="23">
        <v>65.668702489333342</v>
      </c>
      <c r="D41" s="24">
        <v>55.718128527673066</v>
      </c>
      <c r="E41" s="24">
        <v>62.465965076120924</v>
      </c>
      <c r="F41" s="24">
        <v>71.368712557318304</v>
      </c>
      <c r="G41" s="24">
        <v>78.10019114920344</v>
      </c>
      <c r="H41" s="24">
        <v>81.978305771208809</v>
      </c>
      <c r="I41" s="23"/>
      <c r="J41" s="114">
        <v>53.489403386566138</v>
      </c>
      <c r="K41" s="114">
        <v>56.968960149422273</v>
      </c>
      <c r="L41" s="114">
        <v>63.135617876706057</v>
      </c>
      <c r="M41" s="114">
        <v>69.781458629213645</v>
      </c>
      <c r="N41" s="114">
        <v>73.612733808124645</v>
      </c>
      <c r="P41" s="20">
        <f>tbl_model!AP117</f>
        <v>-9.4425204663855178E-2</v>
      </c>
      <c r="Q41" s="22">
        <f t="shared" si="16"/>
        <v>-0.15152688547906912</v>
      </c>
      <c r="R41" s="22">
        <f t="shared" si="16"/>
        <v>0.12110666181288665</v>
      </c>
      <c r="S41" s="22">
        <f t="shared" si="16"/>
        <v>0.14252157107231933</v>
      </c>
      <c r="T41" s="22">
        <f t="shared" si="16"/>
        <v>9.4319742512923854E-2</v>
      </c>
      <c r="U41" s="22">
        <f t="shared" si="16"/>
        <v>4.9655635472089621E-2</v>
      </c>
      <c r="W41" s="117">
        <f t="shared" si="17"/>
        <v>-0.18546581005990648</v>
      </c>
      <c r="X41" s="117">
        <f t="shared" si="18"/>
        <v>6.5051328722242285E-2</v>
      </c>
      <c r="Y41" s="117">
        <f t="shared" si="18"/>
        <v>0.10824592394014965</v>
      </c>
      <c r="Z41" s="117">
        <f t="shared" si="18"/>
        <v>0.10526293993805313</v>
      </c>
      <c r="AA41" s="117">
        <f t="shared" si="18"/>
        <v>5.4903913649449798E-2</v>
      </c>
      <c r="AB41" s="23"/>
      <c r="AC41" s="23"/>
    </row>
    <row r="42" spans="2:29" x14ac:dyDescent="0.15">
      <c r="B42" s="27" t="s">
        <v>23</v>
      </c>
      <c r="C42" s="23">
        <v>1379.8341831260868</v>
      </c>
      <c r="D42" s="24">
        <v>1289.8819158844606</v>
      </c>
      <c r="E42" s="24">
        <v>1313.8913883494604</v>
      </c>
      <c r="F42" s="24">
        <v>1365.4025448701514</v>
      </c>
      <c r="G42" s="24">
        <v>1458.8590790800977</v>
      </c>
      <c r="H42" s="24">
        <v>1545.0421813813568</v>
      </c>
      <c r="I42" s="23"/>
      <c r="J42" s="114">
        <v>1238.2866392490821</v>
      </c>
      <c r="K42" s="114">
        <v>1242.4156968232496</v>
      </c>
      <c r="L42" s="114">
        <v>1258.8465302684847</v>
      </c>
      <c r="M42" s="114">
        <v>1350.3897554148816</v>
      </c>
      <c r="N42" s="114">
        <v>1434.4554527782545</v>
      </c>
      <c r="P42" s="20">
        <f>tbl_model!AP118</f>
        <v>-0.20070058870260132</v>
      </c>
      <c r="Q42" s="22">
        <f t="shared" si="16"/>
        <v>-6.519063547029591E-2</v>
      </c>
      <c r="R42" s="22">
        <f t="shared" si="16"/>
        <v>1.8613698020982561E-2</v>
      </c>
      <c r="S42" s="22">
        <f t="shared" si="16"/>
        <v>3.9205033975753922E-2</v>
      </c>
      <c r="T42" s="22">
        <f t="shared" si="16"/>
        <v>6.8446140342322215E-2</v>
      </c>
      <c r="U42" s="22">
        <f t="shared" si="16"/>
        <v>5.9075686978349529E-2</v>
      </c>
      <c r="W42" s="117">
        <f t="shared" si="17"/>
        <v>-0.10258301005148407</v>
      </c>
      <c r="X42" s="117">
        <f t="shared" si="18"/>
        <v>3.3344925506677559E-3</v>
      </c>
      <c r="Y42" s="117">
        <f t="shared" si="18"/>
        <v>1.3224908126360013E-2</v>
      </c>
      <c r="Z42" s="117">
        <f t="shared" si="18"/>
        <v>7.2719924903691613E-2</v>
      </c>
      <c r="AA42" s="117">
        <f t="shared" si="18"/>
        <v>6.2252914039284457E-2</v>
      </c>
      <c r="AB42" s="23"/>
      <c r="AC42" s="23"/>
    </row>
    <row r="43" spans="2:29" x14ac:dyDescent="0.15">
      <c r="B43" s="27" t="s">
        <v>22</v>
      </c>
      <c r="C43" s="23">
        <v>8411.2546996478395</v>
      </c>
      <c r="D43" s="24">
        <v>9137.3260925844988</v>
      </c>
      <c r="E43" s="24">
        <v>9392.8568394904833</v>
      </c>
      <c r="F43" s="24">
        <v>9663.7419338463897</v>
      </c>
      <c r="G43" s="24">
        <v>9908.1521274384468</v>
      </c>
      <c r="H43" s="24">
        <v>10137.29414052937</v>
      </c>
      <c r="I43" s="23"/>
      <c r="J43" s="114">
        <v>8954.5795707328089</v>
      </c>
      <c r="K43" s="114">
        <v>9112.9497056736673</v>
      </c>
      <c r="L43" s="114">
        <v>9347.6351369451149</v>
      </c>
      <c r="M43" s="114">
        <v>9641.5548296174111</v>
      </c>
      <c r="N43" s="114">
        <v>9903.9894752163345</v>
      </c>
      <c r="P43" s="20">
        <f>tbl_model!AP119</f>
        <v>7.4769392933088152E-2</v>
      </c>
      <c r="Q43" s="22">
        <f t="shared" si="16"/>
        <v>8.6321413256818635E-2</v>
      </c>
      <c r="R43" s="22">
        <f t="shared" si="16"/>
        <v>2.7965593469774896E-2</v>
      </c>
      <c r="S43" s="22">
        <f t="shared" si="16"/>
        <v>2.8839478657549877E-2</v>
      </c>
      <c r="T43" s="22">
        <f t="shared" si="16"/>
        <v>2.5291465279720704E-2</v>
      </c>
      <c r="U43" s="22">
        <f t="shared" si="16"/>
        <v>2.3126614341776541E-2</v>
      </c>
      <c r="W43" s="117">
        <f t="shared" si="17"/>
        <v>6.4594984991682258E-2</v>
      </c>
      <c r="X43" s="117">
        <f t="shared" si="18"/>
        <v>1.7685937535077079E-2</v>
      </c>
      <c r="Y43" s="117">
        <f t="shared" si="18"/>
        <v>2.5752960221577137E-2</v>
      </c>
      <c r="Z43" s="117">
        <f t="shared" si="18"/>
        <v>3.1443214071398939E-2</v>
      </c>
      <c r="AA43" s="117">
        <f t="shared" si="18"/>
        <v>2.7219120799143681E-2</v>
      </c>
      <c r="AB43" s="23"/>
      <c r="AC43" s="23"/>
    </row>
    <row r="44" spans="2:29" x14ac:dyDescent="0.15">
      <c r="B44" s="71" t="s">
        <v>62</v>
      </c>
      <c r="C44" s="49">
        <v>7705.2546996478395</v>
      </c>
      <c r="D44" s="72">
        <v>8286.6793430769321</v>
      </c>
      <c r="E44" s="72">
        <v>8475.8291425558036</v>
      </c>
      <c r="F44" s="72">
        <v>8716.7795291630937</v>
      </c>
      <c r="G44" s="72">
        <v>8946.1768956318774</v>
      </c>
      <c r="H44" s="72">
        <v>9150.3257570269107</v>
      </c>
      <c r="I44" s="49"/>
      <c r="J44" s="114">
        <v>8161.9606337720379</v>
      </c>
      <c r="K44" s="114">
        <v>8289.6999345852801</v>
      </c>
      <c r="L44" s="114">
        <v>8499.7829735505657</v>
      </c>
      <c r="M44" s="114">
        <v>8775.810512617496</v>
      </c>
      <c r="N44" s="114">
        <v>9011.9759549631053</v>
      </c>
      <c r="P44" s="20">
        <f>tbl_model!AP120</f>
        <v>6.7934298687174044E-2</v>
      </c>
      <c r="Q44" s="75">
        <f t="shared" si="16"/>
        <v>7.5458199124250447E-2</v>
      </c>
      <c r="R44" s="75">
        <f t="shared" si="16"/>
        <v>2.2825765502425988E-2</v>
      </c>
      <c r="S44" s="75">
        <f t="shared" si="16"/>
        <v>2.8427942866086742E-2</v>
      </c>
      <c r="T44" s="75">
        <f t="shared" si="16"/>
        <v>2.6316756745000447E-2</v>
      </c>
      <c r="U44" s="75">
        <f t="shared" si="16"/>
        <v>2.2819676357474172E-2</v>
      </c>
      <c r="W44" s="124">
        <f t="shared" si="17"/>
        <v>5.927201006672389E-2</v>
      </c>
      <c r="X44" s="124">
        <f t="shared" si="18"/>
        <v>1.5650565660006999E-2</v>
      </c>
      <c r="Y44" s="124">
        <f t="shared" si="18"/>
        <v>2.5342659037488557E-2</v>
      </c>
      <c r="Z44" s="124">
        <f t="shared" si="18"/>
        <v>3.2474657285470387E-2</v>
      </c>
      <c r="AA44" s="124">
        <f t="shared" si="18"/>
        <v>2.6910955062903863E-2</v>
      </c>
      <c r="AB44" s="23"/>
      <c r="AC44" s="23"/>
    </row>
    <row r="45" spans="2:29" x14ac:dyDescent="0.15">
      <c r="B45" s="71" t="s">
        <v>63</v>
      </c>
      <c r="C45" s="49">
        <v>706</v>
      </c>
      <c r="D45" s="72">
        <v>850.64674950756671</v>
      </c>
      <c r="E45" s="72">
        <v>917.02769693467962</v>
      </c>
      <c r="F45" s="72">
        <v>946.96240468329597</v>
      </c>
      <c r="G45" s="72">
        <v>961.97523180656935</v>
      </c>
      <c r="H45" s="72">
        <v>986.96838350245889</v>
      </c>
      <c r="I45" s="49"/>
      <c r="J45" s="114">
        <v>792.61893696077095</v>
      </c>
      <c r="K45" s="114">
        <v>823.24977108838721</v>
      </c>
      <c r="L45" s="114">
        <v>847.85216339454928</v>
      </c>
      <c r="M45" s="114">
        <v>865.7443169999151</v>
      </c>
      <c r="N45" s="114">
        <v>892.01352025322922</v>
      </c>
      <c r="P45" s="20">
        <f>tbl_model!AP121</f>
        <v>0.15548281505728312</v>
      </c>
      <c r="Q45" s="75">
        <f t="shared" si="16"/>
        <v>0.20488208145547682</v>
      </c>
      <c r="R45" s="75">
        <f t="shared" si="16"/>
        <v>7.8035856206516208E-2</v>
      </c>
      <c r="S45" s="75">
        <f t="shared" si="16"/>
        <v>3.2643188257757361E-2</v>
      </c>
      <c r="T45" s="75">
        <f t="shared" si="16"/>
        <v>1.585366752579187E-2</v>
      </c>
      <c r="U45" s="75">
        <f t="shared" si="16"/>
        <v>2.598107609169209E-2</v>
      </c>
      <c r="W45" s="124">
        <f t="shared" si="17"/>
        <v>0.12268971240902404</v>
      </c>
      <c r="X45" s="124">
        <f t="shared" si="18"/>
        <v>3.8645095012576292E-2</v>
      </c>
      <c r="Y45" s="124">
        <f t="shared" si="18"/>
        <v>2.9884481198988011E-2</v>
      </c>
      <c r="Z45" s="124">
        <f t="shared" si="18"/>
        <v>2.1102916732241406E-2</v>
      </c>
      <c r="AA45" s="124">
        <f t="shared" si="18"/>
        <v>3.0342911570410802E-2</v>
      </c>
      <c r="AB45" s="23"/>
      <c r="AC45" s="23"/>
    </row>
    <row r="46" spans="2:29" x14ac:dyDescent="0.15">
      <c r="B46" s="27" t="s">
        <v>64</v>
      </c>
      <c r="C46" s="23">
        <v>2226.3312975106664</v>
      </c>
      <c r="D46" s="24">
        <v>2173.0710550704825</v>
      </c>
      <c r="E46" s="24">
        <v>2153.35263310751</v>
      </c>
      <c r="F46" s="24">
        <v>2196.4420898116123</v>
      </c>
      <c r="G46" s="24">
        <v>2271.432286479484</v>
      </c>
      <c r="H46" s="24">
        <v>2353.5074180701677</v>
      </c>
      <c r="I46" s="23"/>
      <c r="J46" s="114">
        <v>2118.6957864405595</v>
      </c>
      <c r="K46" s="114">
        <v>2029.533044782137</v>
      </c>
      <c r="L46" s="114">
        <v>1951.2236644739887</v>
      </c>
      <c r="M46" s="114">
        <v>2045.7708759643619</v>
      </c>
      <c r="N46" s="114">
        <v>2126.1039103968587</v>
      </c>
      <c r="P46" s="20">
        <f>tbl_model!AP122</f>
        <v>-6.4363811864178055E-2</v>
      </c>
      <c r="Q46" s="22">
        <f t="shared" si="16"/>
        <v>-2.3922873697969305E-2</v>
      </c>
      <c r="R46" s="22">
        <f t="shared" si="16"/>
        <v>-9.0739885918423857E-3</v>
      </c>
      <c r="S46" s="22">
        <f t="shared" si="16"/>
        <v>2.0010404260597081E-2</v>
      </c>
      <c r="T46" s="22">
        <f t="shared" si="16"/>
        <v>3.4141668025631233E-2</v>
      </c>
      <c r="U46" s="22">
        <f t="shared" si="16"/>
        <v>3.6133646633108585E-2</v>
      </c>
      <c r="W46" s="117">
        <f t="shared" si="17"/>
        <v>-4.8346583094105444E-2</v>
      </c>
      <c r="X46" s="117">
        <f t="shared" si="18"/>
        <v>-4.2083786747042717E-2</v>
      </c>
      <c r="Y46" s="117">
        <f t="shared" si="18"/>
        <v>-3.8584924995175185E-2</v>
      </c>
      <c r="Z46" s="117">
        <f t="shared" si="18"/>
        <v>4.8455342773767285E-2</v>
      </c>
      <c r="AA46" s="117">
        <f t="shared" si="18"/>
        <v>3.9267855152463449E-2</v>
      </c>
      <c r="AB46" s="23"/>
      <c r="AC46" s="23"/>
    </row>
    <row r="47" spans="2:29" ht="4" customHeight="1" x14ac:dyDescent="0.15">
      <c r="B47" s="34"/>
      <c r="C47" s="35"/>
      <c r="D47" s="36"/>
      <c r="E47" s="36"/>
      <c r="F47" s="36"/>
      <c r="G47" s="36"/>
      <c r="H47" s="36"/>
      <c r="I47" s="23"/>
      <c r="J47" s="118"/>
      <c r="K47" s="118"/>
      <c r="L47" s="118"/>
      <c r="M47" s="118"/>
      <c r="N47" s="118"/>
      <c r="P47" s="76"/>
      <c r="Q47" s="78"/>
      <c r="R47" s="78"/>
      <c r="S47" s="78"/>
      <c r="T47" s="78"/>
      <c r="U47" s="78"/>
      <c r="W47" s="125"/>
      <c r="X47" s="125"/>
      <c r="Y47" s="125"/>
      <c r="Z47" s="125"/>
      <c r="AA47" s="125"/>
      <c r="AB47" s="23"/>
      <c r="AC47" s="23"/>
    </row>
    <row r="48" spans="2:29" ht="4" customHeight="1" x14ac:dyDescent="0.15">
      <c r="B48" s="126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P48" s="20"/>
      <c r="Q48" s="20"/>
      <c r="R48" s="20"/>
      <c r="S48" s="20"/>
      <c r="T48" s="20"/>
      <c r="U48" s="20"/>
      <c r="W48" s="20"/>
      <c r="X48" s="20"/>
      <c r="Y48" s="20"/>
      <c r="Z48" s="20"/>
      <c r="AA48" s="20"/>
      <c r="AB48" s="23"/>
      <c r="AC48" s="23"/>
    </row>
    <row r="49" spans="2:27" x14ac:dyDescent="0.15">
      <c r="B49" s="53"/>
    </row>
    <row r="50" spans="2:27" x14ac:dyDescent="0.15">
      <c r="B50" s="53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</row>
    <row r="52" spans="2:27" x14ac:dyDescent="0.15">
      <c r="B52" s="27"/>
    </row>
    <row r="53" spans="2:27" x14ac:dyDescent="0.15">
      <c r="B53" s="27"/>
    </row>
    <row r="56" spans="2:27" x14ac:dyDescent="0.15">
      <c r="B56" s="18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7"/>
      <c r="P56" s="127"/>
      <c r="Q56" s="127"/>
      <c r="R56" s="127"/>
      <c r="S56" s="127"/>
      <c r="T56" s="127"/>
      <c r="U56" s="127"/>
      <c r="V56" s="7"/>
      <c r="W56" s="127"/>
      <c r="X56" s="127"/>
      <c r="Y56" s="127"/>
      <c r="Z56" s="127"/>
      <c r="AA56" s="127"/>
    </row>
    <row r="57" spans="2:27" x14ac:dyDescent="0.15">
      <c r="B57" s="18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7"/>
      <c r="P57" s="127"/>
      <c r="Q57" s="127"/>
      <c r="R57" s="127"/>
      <c r="S57" s="127"/>
      <c r="T57" s="127"/>
      <c r="U57" s="127"/>
      <c r="V57" s="7"/>
      <c r="W57" s="127"/>
      <c r="X57" s="127"/>
      <c r="Y57" s="127"/>
      <c r="Z57" s="127"/>
      <c r="AA57" s="127"/>
    </row>
    <row r="58" spans="2:27" x14ac:dyDescent="0.15">
      <c r="B58" s="18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7"/>
      <c r="P58" s="127"/>
      <c r="Q58" s="127"/>
      <c r="R58" s="127"/>
      <c r="S58" s="127"/>
      <c r="T58" s="127"/>
      <c r="U58" s="127"/>
      <c r="V58" s="7"/>
      <c r="W58" s="127"/>
      <c r="X58" s="127"/>
      <c r="Y58" s="127"/>
      <c r="Z58" s="127"/>
      <c r="AA58" s="127"/>
    </row>
    <row r="59" spans="2:27" x14ac:dyDescent="0.15">
      <c r="B59" s="27"/>
    </row>
    <row r="60" spans="2:27" x14ac:dyDescent="0.15">
      <c r="B60" s="71"/>
    </row>
    <row r="61" spans="2:27" x14ac:dyDescent="0.15">
      <c r="B61" s="71"/>
    </row>
    <row r="62" spans="2:27" x14ac:dyDescent="0.15">
      <c r="B62" s="27"/>
    </row>
  </sheetData>
  <mergeCells count="1">
    <mergeCell ref="B17:B1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D35018-07D7-4F4A-AFBA-58A59DA395D5}"/>
</file>

<file path=customXml/itemProps2.xml><?xml version="1.0" encoding="utf-8"?>
<ds:datastoreItem xmlns:ds="http://schemas.openxmlformats.org/officeDocument/2006/customXml" ds:itemID="{3A727D86-3CEC-4EA9-9A65-2D7FA364F31A}"/>
</file>

<file path=customXml/itemProps3.xml><?xml version="1.0" encoding="utf-8"?>
<ds:datastoreItem xmlns:ds="http://schemas.openxmlformats.org/officeDocument/2006/customXml" ds:itemID="{DD8178DB-7DD0-4FC5-A5B1-D1051E9EE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tbl_model</vt:lpstr>
      <vt:lpstr>compare</vt:lpstr>
      <vt:lpstr>tbl_dwnside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Cronk</dc:creator>
  <cp:lastModifiedBy>Ani Chibukhchyan</cp:lastModifiedBy>
  <dcterms:created xsi:type="dcterms:W3CDTF">2026-09-18T18:32:29Z</dcterms:created>
  <dcterms:modified xsi:type="dcterms:W3CDTF">2026-10-06T18:31:03Z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2026-09-18T18:33:32Z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4044d065-fa53-41ad-954b-464903f4672f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  <property fmtid="{D5CDD505-2E9C-101B-9397-08002B2CF9AE}" pid="10" name="ContentTypeId">
    <vt:lpwstr>0x010100B0FC4979223D3F4F8ACA1256696572B0</vt:lpwstr>
  </property>
</Properties>
</file>