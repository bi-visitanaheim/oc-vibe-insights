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xr:revisionPtr revIDLastSave="443" documentId="8_{3F35C6F4-B67E-0E4F-8FE1-F79CF031DEFA}" xr6:coauthVersionLast="47" xr6:coauthVersionMax="47" xr10:uidLastSave="{60CFB88B-DC2A-C54A-9D57-B3F77A3177CE}"/>
  <bookViews>
    <workbookView xWindow="0" yWindow="660" windowWidth="30240" windowHeight="17840" activeTab="1" xr2:uid="{00000000-000D-0000-FFFF-FFFF00000000}"/>
  </bookViews>
  <sheets>
    <sheet name="Sheet 1" sheetId="1" state="hidden" r:id="rId1"/>
    <sheet name="full day" sheetId="10" r:id="rId2"/>
    <sheet name="calendar" sheetId="3" r:id="rId3"/>
    <sheet name="day vs overnight" sheetId="5" r:id="rId4"/>
    <sheet name="Calcu Increment Spend" sheetId="7" r:id="rId5"/>
    <sheet name="Summary figures" sheetId="6" r:id="rId6"/>
    <sheet name="TE inputs check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0" l="1"/>
  <c r="B2" i="10"/>
  <c r="B5" i="10" s="1"/>
  <c r="B3" i="10" l="1"/>
  <c r="B6" i="10" s="1"/>
  <c r="B7" i="10" s="1"/>
  <c r="B11" i="10" l="1"/>
  <c r="B8" i="10"/>
  <c r="B12" i="10" l="1"/>
  <c r="B13" i="10" s="1"/>
  <c r="C11" i="9" l="1"/>
  <c r="B2" i="9" l="1"/>
  <c r="B3" i="9" s="1"/>
  <c r="B6" i="9" s="1"/>
  <c r="C29" i="7"/>
  <c r="E29" i="7"/>
  <c r="G29" i="7" s="1"/>
  <c r="C24" i="7"/>
  <c r="D14" i="7"/>
  <c r="B14" i="7"/>
  <c r="C9" i="7"/>
  <c r="D6" i="7"/>
  <c r="C6" i="7"/>
  <c r="D52" i="5"/>
  <c r="D51" i="5"/>
  <c r="D48" i="5"/>
  <c r="E38" i="5"/>
  <c r="E36" i="5"/>
  <c r="D38" i="5"/>
  <c r="D67" i="5" s="1"/>
  <c r="D36" i="5"/>
  <c r="D62" i="5" s="1"/>
  <c r="D74" i="5" s="1"/>
  <c r="H23" i="5"/>
  <c r="D64" i="5" s="1"/>
  <c r="F23" i="5"/>
  <c r="D65" i="5" s="1"/>
  <c r="D76" i="5" s="1"/>
  <c r="D29" i="5"/>
  <c r="D66" i="5" s="1"/>
  <c r="D77" i="5" s="1"/>
  <c r="E18" i="5"/>
  <c r="D37" i="5" s="1"/>
  <c r="D63" i="5" s="1"/>
  <c r="B5" i="9" l="1"/>
  <c r="B7" i="9" s="1"/>
  <c r="G14" i="7"/>
  <c r="D53" i="5"/>
  <c r="E67" i="5"/>
  <c r="E62" i="5"/>
  <c r="F62" i="5" s="1"/>
  <c r="G62" i="5" s="1"/>
  <c r="E65" i="5"/>
  <c r="E33" i="5"/>
  <c r="D42" i="5"/>
  <c r="E29" i="5"/>
  <c r="D33" i="5"/>
  <c r="D40" i="5"/>
  <c r="B12" i="9" l="1"/>
  <c r="B13" i="9" s="1"/>
  <c r="B14" i="9" s="1"/>
  <c r="F33" i="5"/>
  <c r="F66" i="5"/>
  <c r="E66" i="5"/>
  <c r="H65" i="5" s="1"/>
  <c r="E40" i="5"/>
</calcChain>
</file>

<file path=xl/sharedStrings.xml><?xml version="1.0" encoding="utf-8"?>
<sst xmlns="http://schemas.openxmlformats.org/spreadsheetml/2006/main" count="4213" uniqueCount="887">
  <si>
    <t>Export Table ID</t>
  </si>
  <si>
    <t>Day Of Week Category</t>
  </si>
  <si>
    <t>Geography</t>
  </si>
  <si>
    <t>Occupancy</t>
  </si>
  <si>
    <t>ADR</t>
  </si>
  <si>
    <t>RevPAR</t>
  </si>
  <si>
    <t>Supply</t>
  </si>
  <si>
    <t>Demand</t>
  </si>
  <si>
    <t>Revenue</t>
  </si>
  <si>
    <t>2024-01-01Anaheim+TotalTotalMonWeekly</t>
  </si>
  <si>
    <t>Mon</t>
  </si>
  <si>
    <t>Anaheim+</t>
  </si>
  <si>
    <t>2024-01-02Anaheim+TotalTotalTueWeekly</t>
  </si>
  <si>
    <t>Tue</t>
  </si>
  <si>
    <t>2024-01-03Anaheim+TotalTotalWedWeekly</t>
  </si>
  <si>
    <t>Wed</t>
  </si>
  <si>
    <t>2024-01-04Anaheim+TotalTotalThuWeekly</t>
  </si>
  <si>
    <t>Thu</t>
  </si>
  <si>
    <t>2024-01-05Anaheim+TotalTotalFriWeekly</t>
  </si>
  <si>
    <t>Fri</t>
  </si>
  <si>
    <t>2024-01-06Anaheim+TotalTotalSatWeekly</t>
  </si>
  <si>
    <t>Sat</t>
  </si>
  <si>
    <t>2024-01-07Anaheim+TotalTotalSunWeekly</t>
  </si>
  <si>
    <t>Sun</t>
  </si>
  <si>
    <t>2024-01-08Anaheim+TotalTotalMonWeekly</t>
  </si>
  <si>
    <t>2024-01-09Anaheim+TotalTotalTueWeekly</t>
  </si>
  <si>
    <t>2024-01-10Anaheim+TotalTotalWedWeekly</t>
  </si>
  <si>
    <t>2024-01-11Anaheim+TotalTotalThuWeekly</t>
  </si>
  <si>
    <t>2024-01-12Anaheim+TotalTotalFriWeekly</t>
  </si>
  <si>
    <t>2024-01-13Anaheim+TotalTotalSatWeekly</t>
  </si>
  <si>
    <t>2024-01-14Anaheim+TotalTotalSunWeekly</t>
  </si>
  <si>
    <t>2024-01-15Anaheim+TotalTotalMonWeekly</t>
  </si>
  <si>
    <t>2024-01-16Anaheim+TotalTotalTueWeekly</t>
  </si>
  <si>
    <t>2024-01-17Anaheim+TotalTotalWedWeekly</t>
  </si>
  <si>
    <t>2024-01-18Anaheim+TotalTotalThuWeekly</t>
  </si>
  <si>
    <t>2024-01-19Anaheim+TotalTotalFriWeekly</t>
  </si>
  <si>
    <t>2024-01-20Anaheim+TotalTotalSatWeekly</t>
  </si>
  <si>
    <t>2024-01-21Anaheim+TotalTotalSunWeekly</t>
  </si>
  <si>
    <t>2024-01-22Anaheim+TotalTotalMonWeekly</t>
  </si>
  <si>
    <t>2024-01-23Anaheim+TotalTotalTueWeekly</t>
  </si>
  <si>
    <t>2024-01-24Anaheim+TotalTotalWedWeekly</t>
  </si>
  <si>
    <t>2024-01-25Anaheim+TotalTotalThuWeekly</t>
  </si>
  <si>
    <t>2024-01-26Anaheim+TotalTotalFriWeekly</t>
  </si>
  <si>
    <t>2024-01-27Anaheim+TotalTotalSatWeekly</t>
  </si>
  <si>
    <t>2024-01-28Anaheim+TotalTotalSunWeekly</t>
  </si>
  <si>
    <t>2024-01-29Anaheim+TotalTotalMonWeekly</t>
  </si>
  <si>
    <t>2024-01-30Anaheim+TotalTotalTueWeekly</t>
  </si>
  <si>
    <t>2024-01-31Anaheim+TotalTotalWedWeekly</t>
  </si>
  <si>
    <t>2024-02-01Anaheim+TotalTotalThuWeekly</t>
  </si>
  <si>
    <t>2024-02-02Anaheim+TotalTotalFriWeekly</t>
  </si>
  <si>
    <t>2024-02-03Anaheim+TotalTotalSatWeekly</t>
  </si>
  <si>
    <t>2024-02-04Anaheim+TotalTotalSunWeekly</t>
  </si>
  <si>
    <t>2024-02-05Anaheim+TotalTotalMonWeekly</t>
  </si>
  <si>
    <t>2024-02-06Anaheim+TotalTotalTueWeekly</t>
  </si>
  <si>
    <t>2024-02-07Anaheim+TotalTotalWedWeekly</t>
  </si>
  <si>
    <t>2024-02-08Anaheim+TotalTotalThuWeekly</t>
  </si>
  <si>
    <t>2024-02-09Anaheim+TotalTotalFriWeekly</t>
  </si>
  <si>
    <t>2024-02-10Anaheim+TotalTotalSatWeekly</t>
  </si>
  <si>
    <t>2024-02-11Anaheim+TotalTotalSunWeekly</t>
  </si>
  <si>
    <t>2024-02-12Anaheim+TotalTotalMonWeekly</t>
  </si>
  <si>
    <t>2024-02-13Anaheim+TotalTotalTueWeekly</t>
  </si>
  <si>
    <t>2024-02-14Anaheim+TotalTotalWedWeekly</t>
  </si>
  <si>
    <t>2024-02-15Anaheim+TotalTotalThuWeekly</t>
  </si>
  <si>
    <t>2024-02-16Anaheim+TotalTotalFriWeekly</t>
  </si>
  <si>
    <t>2024-02-17Anaheim+TotalTotalSatWeekly</t>
  </si>
  <si>
    <t>2024-02-18Anaheim+TotalTotalSunWeekly</t>
  </si>
  <si>
    <t>2024-02-19Anaheim+TotalTotalMonWeekly</t>
  </si>
  <si>
    <t>2024-02-20Anaheim+TotalTotalTueWeekly</t>
  </si>
  <si>
    <t>2024-02-21Anaheim+TotalTotalWedWeekly</t>
  </si>
  <si>
    <t>2024-02-22Anaheim+TotalTotalThuWeekly</t>
  </si>
  <si>
    <t>2024-02-23Anaheim+TotalTotalFriWeekly</t>
  </si>
  <si>
    <t>2024-02-24Anaheim+TotalTotalSatWeekly</t>
  </si>
  <si>
    <t>2024-02-25Anaheim+TotalTotalSunWeekly</t>
  </si>
  <si>
    <t>2024-02-26Anaheim+TotalTotalMonWeekly</t>
  </si>
  <si>
    <t>2024-02-27Anaheim+TotalTotalTueWeekly</t>
  </si>
  <si>
    <t>2024-02-28Anaheim+TotalTotalWedWeekly</t>
  </si>
  <si>
    <t>2024-02-29Anaheim+TotalTotalThuWeekly</t>
  </si>
  <si>
    <t>2024-03-01Anaheim+TotalTotalFriWeekly</t>
  </si>
  <si>
    <t>2024-03-02Anaheim+TotalTotalSatWeekly</t>
  </si>
  <si>
    <t>2024-03-03Anaheim+TotalTotalSunWeekly</t>
  </si>
  <si>
    <t>2024-03-04Anaheim+TotalTotalMonWeekly</t>
  </si>
  <si>
    <t>2024-03-05Anaheim+TotalTotalTueWeekly</t>
  </si>
  <si>
    <t>2024-03-06Anaheim+TotalTotalWedWeekly</t>
  </si>
  <si>
    <t>2024-03-07Anaheim+TotalTotalThuWeekly</t>
  </si>
  <si>
    <t>2024-03-08Anaheim+TotalTotalFriWeekly</t>
  </si>
  <si>
    <t>2024-03-09Anaheim+TotalTotalSatWeekly</t>
  </si>
  <si>
    <t>2024-03-10Anaheim+TotalTotalSunWeekly</t>
  </si>
  <si>
    <t>2024-03-11Anaheim+TotalTotalMonWeekly</t>
  </si>
  <si>
    <t>2024-03-12Anaheim+TotalTotalTueWeekly</t>
  </si>
  <si>
    <t>2024-03-13Anaheim+TotalTotalWedWeekly</t>
  </si>
  <si>
    <t>2024-03-14Anaheim+TotalTotalThuWeekly</t>
  </si>
  <si>
    <t>2024-03-15Anaheim+TotalTotalFriWeekly</t>
  </si>
  <si>
    <t>2024-03-16Anaheim+TotalTotalSatWeekly</t>
  </si>
  <si>
    <t>2024-03-17Anaheim+TotalTotalSunWeekly</t>
  </si>
  <si>
    <t>2024-03-18Anaheim+TotalTotalMonWeekly</t>
  </si>
  <si>
    <t>2024-03-19Anaheim+TotalTotalTueWeekly</t>
  </si>
  <si>
    <t>2024-03-20Anaheim+TotalTotalWedWeekly</t>
  </si>
  <si>
    <t>2024-03-21Anaheim+TotalTotalThuWeekly</t>
  </si>
  <si>
    <t>2024-03-22Anaheim+TotalTotalFriWeekly</t>
  </si>
  <si>
    <t>2024-03-23Anaheim+TotalTotalSatWeekly</t>
  </si>
  <si>
    <t>2024-03-24Anaheim+TotalTotalSunWeekly</t>
  </si>
  <si>
    <t>2024-03-25Anaheim+TotalTotalMonWeekly</t>
  </si>
  <si>
    <t>2024-03-26Anaheim+TotalTotalTueWeekly</t>
  </si>
  <si>
    <t>2024-03-27Anaheim+TotalTotalWedWeekly</t>
  </si>
  <si>
    <t>2024-03-28Anaheim+TotalTotalThuWeekly</t>
  </si>
  <si>
    <t>2024-03-29Anaheim+TotalTotalFriWeekly</t>
  </si>
  <si>
    <t>2024-03-30Anaheim+TotalTotalSatWeekly</t>
  </si>
  <si>
    <t>2024-03-31Anaheim+TotalTotalSunWeekly</t>
  </si>
  <si>
    <t>2024-04-01Anaheim+TotalTotalMonWeekly</t>
  </si>
  <si>
    <t>2024-04-02Anaheim+TotalTotalTueWeekly</t>
  </si>
  <si>
    <t>2024-04-03Anaheim+TotalTotalWedWeekly</t>
  </si>
  <si>
    <t>2024-04-04Anaheim+TotalTotalThuWeekly</t>
  </si>
  <si>
    <t>2024-04-05Anaheim+TotalTotalFriWeekly</t>
  </si>
  <si>
    <t>2024-04-06Anaheim+TotalTotalSatWeekly</t>
  </si>
  <si>
    <t>2024-04-07Anaheim+TotalTotalSunWeekly</t>
  </si>
  <si>
    <t>2024-04-08Anaheim+TotalTotalMonWeekly</t>
  </si>
  <si>
    <t>2024-04-09Anaheim+TotalTotalTueWeekly</t>
  </si>
  <si>
    <t>2024-04-10Anaheim+TotalTotalWedWeekly</t>
  </si>
  <si>
    <t>2024-04-11Anaheim+TotalTotalThuWeekly</t>
  </si>
  <si>
    <t>2024-04-12Anaheim+TotalTotalFriWeekly</t>
  </si>
  <si>
    <t>2024-04-13Anaheim+TotalTotalSatWeekly</t>
  </si>
  <si>
    <t>2024-04-14Anaheim+TotalTotalSunWeekly</t>
  </si>
  <si>
    <t>2024-04-15Anaheim+TotalTotalMonWeekly</t>
  </si>
  <si>
    <t>2024-04-16Anaheim+TotalTotalTueWeekly</t>
  </si>
  <si>
    <t>2024-04-17Anaheim+TotalTotalWedWeekly</t>
  </si>
  <si>
    <t>2024-04-18Anaheim+TotalTotalThuWeekly</t>
  </si>
  <si>
    <t>2024-04-19Anaheim+TotalTotalFriWeekly</t>
  </si>
  <si>
    <t>2024-04-20Anaheim+TotalTotalSatWeekly</t>
  </si>
  <si>
    <t>2024-04-21Anaheim+TotalTotalSunWeekly</t>
  </si>
  <si>
    <t>2024-04-22Anaheim+TotalTotalMonWeekly</t>
  </si>
  <si>
    <t>2024-04-23Anaheim+TotalTotalTueWeekly</t>
  </si>
  <si>
    <t>2024-04-24Anaheim+TotalTotalWedWeekly</t>
  </si>
  <si>
    <t>2024-04-25Anaheim+TotalTotalThuWeekly</t>
  </si>
  <si>
    <t>2024-04-26Anaheim+TotalTotalFriWeekly</t>
  </si>
  <si>
    <t>2024-04-27Anaheim+TotalTotalSatWeekly</t>
  </si>
  <si>
    <t>2024-04-28Anaheim+TotalTotalSunWeekly</t>
  </si>
  <si>
    <t>2024-04-29Anaheim+TotalTotalMonWeekly</t>
  </si>
  <si>
    <t>2024-04-30Anaheim+TotalTotalTueWeekly</t>
  </si>
  <si>
    <t>2024-05-01Anaheim+TotalTotalWedWeekly</t>
  </si>
  <si>
    <t>2024-05-02Anaheim+TotalTotalThuWeekly</t>
  </si>
  <si>
    <t>2024-05-03Anaheim+TotalTotalFriWeekly</t>
  </si>
  <si>
    <t>2024-05-04Anaheim+TotalTotalSatWeekly</t>
  </si>
  <si>
    <t>2024-05-05Anaheim+TotalTotalSunWeekly</t>
  </si>
  <si>
    <t>2024-05-06Anaheim+TotalTotalMonWeekly</t>
  </si>
  <si>
    <t>2024-05-07Anaheim+TotalTotalTueWeekly</t>
  </si>
  <si>
    <t>2024-05-08Anaheim+TotalTotalWedWeekly</t>
  </si>
  <si>
    <t>2024-05-09Anaheim+TotalTotalThuWeekly</t>
  </si>
  <si>
    <t>2024-05-10Anaheim+TotalTotalFriWeekly</t>
  </si>
  <si>
    <t>2024-05-11Anaheim+TotalTotalSatWeekly</t>
  </si>
  <si>
    <t>2024-05-12Anaheim+TotalTotalSunWeekly</t>
  </si>
  <si>
    <t>2024-05-13Anaheim+TotalTotalMonWeekly</t>
  </si>
  <si>
    <t>2024-05-14Anaheim+TotalTotalTueWeekly</t>
  </si>
  <si>
    <t>2024-05-15Anaheim+TotalTotalWedWeekly</t>
  </si>
  <si>
    <t>2024-05-16Anaheim+TotalTotalThuWeekly</t>
  </si>
  <si>
    <t>2024-05-17Anaheim+TotalTotalFriWeekly</t>
  </si>
  <si>
    <t>2024-05-18Anaheim+TotalTotalSatWeekly</t>
  </si>
  <si>
    <t>2024-05-19Anaheim+TotalTotalSunWeekly</t>
  </si>
  <si>
    <t>2024-05-20Anaheim+TotalTotalMonWeekly</t>
  </si>
  <si>
    <t>2024-05-21Anaheim+TotalTotalTueWeekly</t>
  </si>
  <si>
    <t>2024-05-22Anaheim+TotalTotalWedWeekly</t>
  </si>
  <si>
    <t>2024-05-23Anaheim+TotalTotalThuWeekly</t>
  </si>
  <si>
    <t>2024-05-24Anaheim+TotalTotalFriWeekly</t>
  </si>
  <si>
    <t>2024-05-25Anaheim+TotalTotalSatWeekly</t>
  </si>
  <si>
    <t>2024-05-26Anaheim+TotalTotalSunWeekly</t>
  </si>
  <si>
    <t>2024-05-27Anaheim+TotalTotalMonWeekly</t>
  </si>
  <si>
    <t>2024-05-28Anaheim+TotalTotalTueWeekly</t>
  </si>
  <si>
    <t>2024-05-29Anaheim+TotalTotalWedWeekly</t>
  </si>
  <si>
    <t>2024-05-30Anaheim+TotalTotalThuWeekly</t>
  </si>
  <si>
    <t>2024-05-31Anaheim+TotalTotalFriWeekly</t>
  </si>
  <si>
    <t>2024-06-01Anaheim+TotalTotalSatWeekly</t>
  </si>
  <si>
    <t>2024-06-02Anaheim+TotalTotalSunWeekly</t>
  </si>
  <si>
    <t>2024-06-03Anaheim+TotalTotalMonWeekly</t>
  </si>
  <si>
    <t>2024-06-04Anaheim+TotalTotalTueWeekly</t>
  </si>
  <si>
    <t>2024-06-05Anaheim+TotalTotalWedWeekly</t>
  </si>
  <si>
    <t>2024-06-06Anaheim+TotalTotalThuWeekly</t>
  </si>
  <si>
    <t>2024-06-07Anaheim+TotalTotalFriWeekly</t>
  </si>
  <si>
    <t>2024-06-08Anaheim+TotalTotalSatWeekly</t>
  </si>
  <si>
    <t>2024-06-09Anaheim+TotalTotalSunWeekly</t>
  </si>
  <si>
    <t>2024-06-10Anaheim+TotalTotalMonWeekly</t>
  </si>
  <si>
    <t>2024-06-11Anaheim+TotalTotalTueWeekly</t>
  </si>
  <si>
    <t>2024-06-12Anaheim+TotalTotalWedWeekly</t>
  </si>
  <si>
    <t>2024-06-13Anaheim+TotalTotalThuWeekly</t>
  </si>
  <si>
    <t>2024-06-14Anaheim+TotalTotalFriWeekly</t>
  </si>
  <si>
    <t>2024-06-15Anaheim+TotalTotalSatWeekly</t>
  </si>
  <si>
    <t>2024-06-16Anaheim+TotalTotalSunWeekly</t>
  </si>
  <si>
    <t>2024-06-17Anaheim+TotalTotalMonWeekly</t>
  </si>
  <si>
    <t>2024-06-18Anaheim+TotalTotalTueWeekly</t>
  </si>
  <si>
    <t>2024-06-19Anaheim+TotalTotalWedWeekly</t>
  </si>
  <si>
    <t>2024-06-20Anaheim+TotalTotalThuWeekly</t>
  </si>
  <si>
    <t>2024-06-21Anaheim+TotalTotalFriWeekly</t>
  </si>
  <si>
    <t>2024-06-22Anaheim+TotalTotalSatWeekly</t>
  </si>
  <si>
    <t>2024-06-23Anaheim+TotalTotalSunWeekly</t>
  </si>
  <si>
    <t>2024-06-24Anaheim+TotalTotalMonWeekly</t>
  </si>
  <si>
    <t>2024-06-25Anaheim+TotalTotalTueWeekly</t>
  </si>
  <si>
    <t>2024-06-26Anaheim+TotalTotalWedWeekly</t>
  </si>
  <si>
    <t>2024-06-27Anaheim+TotalTotalThuWeekly</t>
  </si>
  <si>
    <t>2024-06-28Anaheim+TotalTotalFriWeekly</t>
  </si>
  <si>
    <t>2024-06-29Anaheim+TotalTotalSatWeekly</t>
  </si>
  <si>
    <t>2024-06-30Anaheim+TotalTotalSunWeekly</t>
  </si>
  <si>
    <t>2024-07-01Anaheim+TotalTotalMonWeekly</t>
  </si>
  <si>
    <t>2024-07-02Anaheim+TotalTotalTueWeekly</t>
  </si>
  <si>
    <t>2024-07-03Anaheim+TotalTotalWedWeekly</t>
  </si>
  <si>
    <t>2024-07-04Anaheim+TotalTotalThuWeekly</t>
  </si>
  <si>
    <t>2024-07-05Anaheim+TotalTotalFriWeekly</t>
  </si>
  <si>
    <t>2024-07-06Anaheim+TotalTotalSatWeekly</t>
  </si>
  <si>
    <t>2024-07-07Anaheim+TotalTotalSunWeekly</t>
  </si>
  <si>
    <t>2024-07-08Anaheim+TotalTotalMonWeekly</t>
  </si>
  <si>
    <t>2024-07-09Anaheim+TotalTotalTueWeekly</t>
  </si>
  <si>
    <t>2024-07-10Anaheim+TotalTotalWedWeekly</t>
  </si>
  <si>
    <t>2024-07-11Anaheim+TotalTotalThuWeekly</t>
  </si>
  <si>
    <t>2024-07-12Anaheim+TotalTotalFriWeekly</t>
  </si>
  <si>
    <t>2024-07-13Anaheim+TotalTotalSatWeekly</t>
  </si>
  <si>
    <t>2024-07-14Anaheim+TotalTotalSunWeekly</t>
  </si>
  <si>
    <t>2024-07-15Anaheim+TotalTotalMonWeekly</t>
  </si>
  <si>
    <t>2024-07-16Anaheim+TotalTotalTueWeekly</t>
  </si>
  <si>
    <t>2024-07-17Anaheim+TotalTotalWedWeekly</t>
  </si>
  <si>
    <t>2024-07-18Anaheim+TotalTotalThuWeekly</t>
  </si>
  <si>
    <t>2024-07-19Anaheim+TotalTotalFriWeekly</t>
  </si>
  <si>
    <t>2024-07-20Anaheim+TotalTotalSatWeekly</t>
  </si>
  <si>
    <t>2024-07-21Anaheim+TotalTotalSunWeekly</t>
  </si>
  <si>
    <t>2024-07-22Anaheim+TotalTotalMonWeekly</t>
  </si>
  <si>
    <t>2024-07-23Anaheim+TotalTotalTueWeekly</t>
  </si>
  <si>
    <t>2024-07-24Anaheim+TotalTotalWedWeekly</t>
  </si>
  <si>
    <t>2024-07-25Anaheim+TotalTotalThuWeekly</t>
  </si>
  <si>
    <t>2024-07-26Anaheim+TotalTotalFriWeekly</t>
  </si>
  <si>
    <t>2024-07-27Anaheim+TotalTotalSatWeekly</t>
  </si>
  <si>
    <t>2024-07-28Anaheim+TotalTotalSunWeekly</t>
  </si>
  <si>
    <t>2024-07-29Anaheim+TotalTotalMonWeekly</t>
  </si>
  <si>
    <t>2024-07-30Anaheim+TotalTotalTueWeekly</t>
  </si>
  <si>
    <t>2024-07-31Anaheim+TotalTotalWedWeekly</t>
  </si>
  <si>
    <t>2024-08-01Anaheim+TotalTotalThuWeekly</t>
  </si>
  <si>
    <t>2024-08-02Anaheim+TotalTotalFriWeekly</t>
  </si>
  <si>
    <t>2024-08-03Anaheim+TotalTotalSatWeekly</t>
  </si>
  <si>
    <t>2024-08-04Anaheim+TotalTotalSunWeekly</t>
  </si>
  <si>
    <t>2024-08-05Anaheim+TotalTotalMonWeekly</t>
  </si>
  <si>
    <t>2024-08-06Anaheim+TotalTotalTueWeekly</t>
  </si>
  <si>
    <t>2024-08-07Anaheim+TotalTotalWedWeekly</t>
  </si>
  <si>
    <t>2024-08-08Anaheim+TotalTotalThuWeekly</t>
  </si>
  <si>
    <t>2024-08-09Anaheim+TotalTotalFriWeekly</t>
  </si>
  <si>
    <t>2024-08-10Anaheim+TotalTotalSatWeekly</t>
  </si>
  <si>
    <t>2024-08-11Anaheim+TotalTotalSunWeekly</t>
  </si>
  <si>
    <t>2024-08-12Anaheim+TotalTotalMonWeekly</t>
  </si>
  <si>
    <t>2024-08-13Anaheim+TotalTotalTueWeekly</t>
  </si>
  <si>
    <t>2024-08-14Anaheim+TotalTotalWedWeekly</t>
  </si>
  <si>
    <t>2024-08-15Anaheim+TotalTotalThuWeekly</t>
  </si>
  <si>
    <t>2024-08-16Anaheim+TotalTotalFriWeekly</t>
  </si>
  <si>
    <t>2024-08-17Anaheim+TotalTotalSatWeekly</t>
  </si>
  <si>
    <t>2024-08-18Anaheim+TotalTotalSunWeekly</t>
  </si>
  <si>
    <t>2024-08-19Anaheim+TotalTotalMonWeekly</t>
  </si>
  <si>
    <t>2024-08-20Anaheim+TotalTotalTueWeekly</t>
  </si>
  <si>
    <t>2024-08-21Anaheim+TotalTotalWedWeekly</t>
  </si>
  <si>
    <t>2024-08-22Anaheim+TotalTotalThuWeekly</t>
  </si>
  <si>
    <t>2024-08-23Anaheim+TotalTotalFriWeekly</t>
  </si>
  <si>
    <t>2024-08-24Anaheim+TotalTotalSatWeekly</t>
  </si>
  <si>
    <t>2024-08-25Anaheim+TotalTotalSunWeekly</t>
  </si>
  <si>
    <t>2024-08-26Anaheim+TotalTotalMonWeekly</t>
  </si>
  <si>
    <t>2024-08-27Anaheim+TotalTotalTueWeekly</t>
  </si>
  <si>
    <t>2024-08-28Anaheim+TotalTotalWedWeekly</t>
  </si>
  <si>
    <t>2024-08-29Anaheim+TotalTotalThuWeekly</t>
  </si>
  <si>
    <t>2024-08-30Anaheim+TotalTotalFriWeekly</t>
  </si>
  <si>
    <t>2024-08-31Anaheim+TotalTotalSatWeekly</t>
  </si>
  <si>
    <t>2024-09-01Anaheim+TotalTotalSunWeekly</t>
  </si>
  <si>
    <t>2024-09-02Anaheim+TotalTotalMonWeekly</t>
  </si>
  <si>
    <t>2024-09-03Anaheim+TotalTotalTueWeekly</t>
  </si>
  <si>
    <t>2024-09-04Anaheim+TotalTotalWedWeekly</t>
  </si>
  <si>
    <t>2024-09-05Anaheim+TotalTotalThuWeekly</t>
  </si>
  <si>
    <t>2024-09-06Anaheim+TotalTotalFriWeekly</t>
  </si>
  <si>
    <t>2024-09-07Anaheim+TotalTotalSatWeekly</t>
  </si>
  <si>
    <t>2024-09-08Anaheim+TotalTotalSunWeekly</t>
  </si>
  <si>
    <t>2024-09-09Anaheim+TotalTotalMonWeekly</t>
  </si>
  <si>
    <t>2024-09-10Anaheim+TotalTotalTueWeekly</t>
  </si>
  <si>
    <t>2024-09-11Anaheim+TotalTotalWedWeekly</t>
  </si>
  <si>
    <t>2024-09-12Anaheim+TotalTotalThuWeekly</t>
  </si>
  <si>
    <t>2024-09-13Anaheim+TotalTotalFriWeekly</t>
  </si>
  <si>
    <t>2024-09-14Anaheim+TotalTotalSatWeekly</t>
  </si>
  <si>
    <t>2024-09-15Anaheim+TotalTotalSunWeekly</t>
  </si>
  <si>
    <t>2024-09-16Anaheim+TotalTotalMonWeekly</t>
  </si>
  <si>
    <t>2024-09-17Anaheim+TotalTotalTueWeekly</t>
  </si>
  <si>
    <t>2024-09-18Anaheim+TotalTotalWedWeekly</t>
  </si>
  <si>
    <t>2024-09-19Anaheim+TotalTotalThuWeekly</t>
  </si>
  <si>
    <t>2024-09-20Anaheim+TotalTotalFriWeekly</t>
  </si>
  <si>
    <t>2024-09-21Anaheim+TotalTotalSatWeekly</t>
  </si>
  <si>
    <t>2024-09-22Anaheim+TotalTotalSunWeekly</t>
  </si>
  <si>
    <t>2024-09-23Anaheim+TotalTotalMonWeekly</t>
  </si>
  <si>
    <t>2024-09-24Anaheim+TotalTotalTueWeekly</t>
  </si>
  <si>
    <t>2024-09-25Anaheim+TotalTotalWedWeekly</t>
  </si>
  <si>
    <t>2024-09-26Anaheim+TotalTotalThuWeekly</t>
  </si>
  <si>
    <t>2024-09-27Anaheim+TotalTotalFriWeekly</t>
  </si>
  <si>
    <t>2024-09-28Anaheim+TotalTotalSatWeekly</t>
  </si>
  <si>
    <t>2024-09-29Anaheim+TotalTotalSunWeekly</t>
  </si>
  <si>
    <t>2024-09-30Anaheim+TotalTotalMonWeekly</t>
  </si>
  <si>
    <t>2024-10-01Anaheim+TotalTotalTueWeekly</t>
  </si>
  <si>
    <t>2024-10-02Anaheim+TotalTotalWedWeekly</t>
  </si>
  <si>
    <t>2024-10-03Anaheim+TotalTotalThuWeekly</t>
  </si>
  <si>
    <t>2024-10-04Anaheim+TotalTotalFriWeekly</t>
  </si>
  <si>
    <t>2024-10-05Anaheim+TotalTotalSatWeekly</t>
  </si>
  <si>
    <t>2024-10-06Anaheim+TotalTotalSunWeekly</t>
  </si>
  <si>
    <t>2024-10-07Anaheim+TotalTotalMonWeekly</t>
  </si>
  <si>
    <t>2024-10-08Anaheim+TotalTotalTueWeekly</t>
  </si>
  <si>
    <t>2024-10-09Anaheim+TotalTotalWedWeekly</t>
  </si>
  <si>
    <t>2024-10-10Anaheim+TotalTotalThuWeekly</t>
  </si>
  <si>
    <t>2024-10-11Anaheim+TotalTotalFriWeekly</t>
  </si>
  <si>
    <t>2024-10-12Anaheim+TotalTotalSatWeekly</t>
  </si>
  <si>
    <t>2024-10-13Anaheim+TotalTotalSunWeekly</t>
  </si>
  <si>
    <t>2024-10-14Anaheim+TotalTotalMonWeekly</t>
  </si>
  <si>
    <t>2024-10-15Anaheim+TotalTotalTueWeekly</t>
  </si>
  <si>
    <t>2024-10-16Anaheim+TotalTotalWedWeekly</t>
  </si>
  <si>
    <t>2024-10-17Anaheim+TotalTotalThuWeekly</t>
  </si>
  <si>
    <t>2024-10-18Anaheim+TotalTotalFriWeekly</t>
  </si>
  <si>
    <t>2024-10-19Anaheim+TotalTotalSatWeekly</t>
  </si>
  <si>
    <t>2024-10-20Anaheim+TotalTotalSunWeekly</t>
  </si>
  <si>
    <t>2024-10-21Anaheim+TotalTotalMonWeekly</t>
  </si>
  <si>
    <t>2024-10-22Anaheim+TotalTotalTueWeekly</t>
  </si>
  <si>
    <t>2024-10-23Anaheim+TotalTotalWedWeekly</t>
  </si>
  <si>
    <t>2024-10-24Anaheim+TotalTotalThuWeekly</t>
  </si>
  <si>
    <t>2024-10-25Anaheim+TotalTotalFriWeekly</t>
  </si>
  <si>
    <t>2024-10-26Anaheim+TotalTotalSatWeekly</t>
  </si>
  <si>
    <t>2024-10-27Anaheim+TotalTotalSunWeekly</t>
  </si>
  <si>
    <t>2024-10-28Anaheim+TotalTotalMonWeekly</t>
  </si>
  <si>
    <t>2024-10-29Anaheim+TotalTotalTueWeekly</t>
  </si>
  <si>
    <t>2024-10-30Anaheim+TotalTotalWedWeekly</t>
  </si>
  <si>
    <t>2024-10-31Anaheim+TotalTotalThuWeekly</t>
  </si>
  <si>
    <t>2024-11-01Anaheim+TotalTotalFriWeekly</t>
  </si>
  <si>
    <t>2024-11-02Anaheim+TotalTotalSatWeekly</t>
  </si>
  <si>
    <t>2024-11-03Anaheim+TotalTotalSunWeekly</t>
  </si>
  <si>
    <t>2024-11-04Anaheim+TotalTotalMonWeekly</t>
  </si>
  <si>
    <t>2024-11-05Anaheim+TotalTotalTueWeekly</t>
  </si>
  <si>
    <t>2024-11-06Anaheim+TotalTotalWedWeekly</t>
  </si>
  <si>
    <t>2024-11-07Anaheim+TotalTotalThuWeekly</t>
  </si>
  <si>
    <t>2024-11-08Anaheim+TotalTotalFriWeekly</t>
  </si>
  <si>
    <t>2024-11-09Anaheim+TotalTotalSatWeekly</t>
  </si>
  <si>
    <t>2024-11-10Anaheim+TotalTotalSunWeekly</t>
  </si>
  <si>
    <t>2024-11-11Anaheim+TotalTotalMonWeekly</t>
  </si>
  <si>
    <t>2024-11-12Anaheim+TotalTotalTueWeekly</t>
  </si>
  <si>
    <t>2024-11-13Anaheim+TotalTotalWedWeekly</t>
  </si>
  <si>
    <t>2024-11-14Anaheim+TotalTotalThuWeekly</t>
  </si>
  <si>
    <t>2024-11-15Anaheim+TotalTotalFriWeekly</t>
  </si>
  <si>
    <t>2024-11-16Anaheim+TotalTotalSatWeekly</t>
  </si>
  <si>
    <t>2024-11-17Anaheim+TotalTotalSunWeekly</t>
  </si>
  <si>
    <t>2024-11-18Anaheim+TotalTotalMonWeekly</t>
  </si>
  <si>
    <t>2024-11-19Anaheim+TotalTotalTueWeekly</t>
  </si>
  <si>
    <t>2024-11-20Anaheim+TotalTotalWedWeekly</t>
  </si>
  <si>
    <t>2024-11-21Anaheim+TotalTotalThuWeekly</t>
  </si>
  <si>
    <t>2024-11-22Anaheim+TotalTotalFriWeekly</t>
  </si>
  <si>
    <t>2024-11-23Anaheim+TotalTotalSatWeekly</t>
  </si>
  <si>
    <t>2024-11-24Anaheim+TotalTotalSunWeekly</t>
  </si>
  <si>
    <t>2024-11-25Anaheim+TotalTotalMonWeekly</t>
  </si>
  <si>
    <t>2024-11-26Anaheim+TotalTotalTueWeekly</t>
  </si>
  <si>
    <t>2024-11-27Anaheim+TotalTotalWedWeekly</t>
  </si>
  <si>
    <t>2024-11-28Anaheim+TotalTotalThuWeekly</t>
  </si>
  <si>
    <t>2024-11-29Anaheim+TotalTotalFriWeekly</t>
  </si>
  <si>
    <t>2024-11-30Anaheim+TotalTotalSatWeekly</t>
  </si>
  <si>
    <t>2024-12-01Anaheim+TotalTotalSunWeekly</t>
  </si>
  <si>
    <t>2024-12-02Anaheim+TotalTotalMonWeekly</t>
  </si>
  <si>
    <t>2024-12-03Anaheim+TotalTotalTueWeekly</t>
  </si>
  <si>
    <t>2024-12-04Anaheim+TotalTotalWedWeekly</t>
  </si>
  <si>
    <t>2024-12-05Anaheim+TotalTotalThuWeekly</t>
  </si>
  <si>
    <t>2024-12-06Anaheim+TotalTotalFriWeekly</t>
  </si>
  <si>
    <t>2024-12-07Anaheim+TotalTotalSatWeekly</t>
  </si>
  <si>
    <t>2024-12-08Anaheim+TotalTotalSunWeekly</t>
  </si>
  <si>
    <t>2024-12-09Anaheim+TotalTotalMonWeekly</t>
  </si>
  <si>
    <t>2024-12-10Anaheim+TotalTotalTueWeekly</t>
  </si>
  <si>
    <t>2024-12-11Anaheim+TotalTotalWedWeekly</t>
  </si>
  <si>
    <t>2024-12-12Anaheim+TotalTotalThuWeekly</t>
  </si>
  <si>
    <t>2024-12-13Anaheim+TotalTotalFriWeekly</t>
  </si>
  <si>
    <t>2024-12-14Anaheim+TotalTotalSatWeekly</t>
  </si>
  <si>
    <t>2024-12-15Anaheim+TotalTotalSunWeekly</t>
  </si>
  <si>
    <t>2024-12-16Anaheim+TotalTotalMonWeekly</t>
  </si>
  <si>
    <t>2024-12-17Anaheim+TotalTotalTueWeekly</t>
  </si>
  <si>
    <t>2024-12-18Anaheim+TotalTotalWedWeekly</t>
  </si>
  <si>
    <t>2024-12-19Anaheim+TotalTotalThuWeekly</t>
  </si>
  <si>
    <t>2024-12-20Anaheim+TotalTotalFriWeekly</t>
  </si>
  <si>
    <t>2024-12-21Anaheim+TotalTotalSatWeekly</t>
  </si>
  <si>
    <t>2024-12-22Anaheim+TotalTotalSunWeekly</t>
  </si>
  <si>
    <t>2024-12-23Anaheim+TotalTotalMonWeekly</t>
  </si>
  <si>
    <t>2024-12-24Anaheim+TotalTotalTueWeekly</t>
  </si>
  <si>
    <t>2024-12-25Anaheim+TotalTotalWedWeekly</t>
  </si>
  <si>
    <t>2024-12-26Anaheim+TotalTotalThuWeekly</t>
  </si>
  <si>
    <t>2024-12-27Anaheim+TotalTotalFriWeekly</t>
  </si>
  <si>
    <t>2024-12-28Anaheim+TotalTotalSatWeekly</t>
  </si>
  <si>
    <t>2024-12-29Anaheim+TotalTotalSunWeekly</t>
  </si>
  <si>
    <t>2024-12-30Anaheim+TotalTotalMonWeekly</t>
  </si>
  <si>
    <t>2024-12-31Anaheim+TotalTotalTueWeekly</t>
  </si>
  <si>
    <t>2025-01-01Anaheim+TotalTotalWedWeekly</t>
  </si>
  <si>
    <t>2025-01-02Anaheim+TotalTotalThuWeekly</t>
  </si>
  <si>
    <t>2025-01-03Anaheim+TotalTotalFriWeekly</t>
  </si>
  <si>
    <t>2025-01-04Anaheim+TotalTotalSatWeekly</t>
  </si>
  <si>
    <t>2025-01-05Anaheim+TotalTotalSunWeekly</t>
  </si>
  <si>
    <t>2025-01-06Anaheim+TotalTotalMonWeekly</t>
  </si>
  <si>
    <t>2025-01-07Anaheim+TotalTotalTueWeekly</t>
  </si>
  <si>
    <t>2025-01-08Anaheim+TotalTotalWedWeekly</t>
  </si>
  <si>
    <t>2025-01-09Anaheim+TotalTotalThuWeekly</t>
  </si>
  <si>
    <t>2025-01-10Anaheim+TotalTotalFriWeekly</t>
  </si>
  <si>
    <t>2025-01-11Anaheim+TotalTotalSatWeekly</t>
  </si>
  <si>
    <t>2025-01-12Anaheim+TotalTotalSunWeekly</t>
  </si>
  <si>
    <t>2025-01-13Anaheim+TotalTotalMonWeekly</t>
  </si>
  <si>
    <t>2025-01-14Anaheim+TotalTotalTueWeekly</t>
  </si>
  <si>
    <t>2025-01-15Anaheim+TotalTotalWedWeekly</t>
  </si>
  <si>
    <t>2025-01-16Anaheim+TotalTotalThuWeekly</t>
  </si>
  <si>
    <t>2025-01-17Anaheim+TotalTotalFriWeekly</t>
  </si>
  <si>
    <t>2025-01-18Anaheim+TotalTotalSatWeekly</t>
  </si>
  <si>
    <t>2025-01-19Anaheim+TotalTotalSunWeekly</t>
  </si>
  <si>
    <t>2025-01-20Anaheim+TotalTotalMonWeekly</t>
  </si>
  <si>
    <t>2025-01-21Anaheim+TotalTotalTueWeekly</t>
  </si>
  <si>
    <t>2025-01-22Anaheim+TotalTotalWedWeekly</t>
  </si>
  <si>
    <t>2025-01-23Anaheim+TotalTotalThuWeekly</t>
  </si>
  <si>
    <t>2025-01-24Anaheim+TotalTotalFriWeekly</t>
  </si>
  <si>
    <t>2025-01-25Anaheim+TotalTotalSatWeekly</t>
  </si>
  <si>
    <t>2025-01-26Anaheim+TotalTotalSunWeekly</t>
  </si>
  <si>
    <t>2025-01-27Anaheim+TotalTotalMonWeekly</t>
  </si>
  <si>
    <t>2025-01-28Anaheim+TotalTotalTueWeekly</t>
  </si>
  <si>
    <t>2025-01-29Anaheim+TotalTotalWedWeekly</t>
  </si>
  <si>
    <t>2025-01-30Anaheim+TotalTotalThuWeekly</t>
  </si>
  <si>
    <t>2025-01-31Anaheim+TotalTotalFriWeekly</t>
  </si>
  <si>
    <t>2025-02-01Anaheim+TotalTotalSatWeekly</t>
  </si>
  <si>
    <t>2025-02-02Anaheim+TotalTotalSunWeekly</t>
  </si>
  <si>
    <t>2025-02-03Anaheim+TotalTotalMonWeekly</t>
  </si>
  <si>
    <t>2025-02-04Anaheim+TotalTotalTueWeekly</t>
  </si>
  <si>
    <t>2025-02-05Anaheim+TotalTotalWedWeekly</t>
  </si>
  <si>
    <t>2025-02-06Anaheim+TotalTotalThuWeekly</t>
  </si>
  <si>
    <t>2025-02-07Anaheim+TotalTotalFriWeekly</t>
  </si>
  <si>
    <t>2025-02-08Anaheim+TotalTotalSatWeekly</t>
  </si>
  <si>
    <t>2025-02-09Anaheim+TotalTotalSunWeekly</t>
  </si>
  <si>
    <t>2025-02-10Anaheim+TotalTotalMonWeekly</t>
  </si>
  <si>
    <t>2025-02-11Anaheim+TotalTotalTueWeekly</t>
  </si>
  <si>
    <t>2025-02-12Anaheim+TotalTotalWedWeekly</t>
  </si>
  <si>
    <t>2025-02-13Anaheim+TotalTotalThuWeekly</t>
  </si>
  <si>
    <t>2025-02-14Anaheim+TotalTotalFriWeekly</t>
  </si>
  <si>
    <t>2025-02-15Anaheim+TotalTotalSatWeekly</t>
  </si>
  <si>
    <t>2025-02-16Anaheim+TotalTotalSunWeekly</t>
  </si>
  <si>
    <t>2025-02-17Anaheim+TotalTotalMonWeekly</t>
  </si>
  <si>
    <t>2025-02-18Anaheim+TotalTotalTueWeekly</t>
  </si>
  <si>
    <t>2025-02-19Anaheim+TotalTotalWedWeekly</t>
  </si>
  <si>
    <t>2025-02-20Anaheim+TotalTotalThuWeekly</t>
  </si>
  <si>
    <t>2025-02-21Anaheim+TotalTotalFriWeekly</t>
  </si>
  <si>
    <t>2025-02-22Anaheim+TotalTotalSatWeekly</t>
  </si>
  <si>
    <t>2025-02-23Anaheim+TotalTotalSunWeekly</t>
  </si>
  <si>
    <t>2025-02-24Anaheim+TotalTotalMonWeekly</t>
  </si>
  <si>
    <t>2025-02-25Anaheim+TotalTotalTueWeekly</t>
  </si>
  <si>
    <t>2025-02-26Anaheim+TotalTotalWedWeekly</t>
  </si>
  <si>
    <t>2025-02-27Anaheim+TotalTotalThuWeekly</t>
  </si>
  <si>
    <t>2025-02-28Anaheim+TotalTotalFriWeekly</t>
  </si>
  <si>
    <t>2025-03-01Anaheim+TotalTotalSatWeekly</t>
  </si>
  <si>
    <t>2025-03-02Anaheim+TotalTotalSunWeekly</t>
  </si>
  <si>
    <t>2025-03-03Anaheim+TotalTotalMonWeekly</t>
  </si>
  <si>
    <t>2025-03-04Anaheim+TotalTotalTueWeekly</t>
  </si>
  <si>
    <t>2025-03-05Anaheim+TotalTotalWedWeekly</t>
  </si>
  <si>
    <t>2025-03-06Anaheim+TotalTotalThuWeekly</t>
  </si>
  <si>
    <t>2025-03-07Anaheim+TotalTotalFriWeekly</t>
  </si>
  <si>
    <t>2025-03-08Anaheim+TotalTotalSatWeekly</t>
  </si>
  <si>
    <t>2025-03-09Anaheim+TotalTotalSunWeekly</t>
  </si>
  <si>
    <t>2025-03-10Anaheim+TotalTotalMonWeekly</t>
  </si>
  <si>
    <t>2025-03-11Anaheim+TotalTotalTueWeekly</t>
  </si>
  <si>
    <t>2025-03-12Anaheim+TotalTotalWedWeekly</t>
  </si>
  <si>
    <t>2025-03-13Anaheim+TotalTotalThuWeekly</t>
  </si>
  <si>
    <t>2025-03-14Anaheim+TotalTotalFriWeekly</t>
  </si>
  <si>
    <t>2025-03-15Anaheim+TotalTotalSatWeekly</t>
  </si>
  <si>
    <t>2025-03-16Anaheim+TotalTotalSunWeekly</t>
  </si>
  <si>
    <t>2025-03-17Anaheim+TotalTotalMonWeekly</t>
  </si>
  <si>
    <t>2025-03-18Anaheim+TotalTotalTueWeekly</t>
  </si>
  <si>
    <t>2025-03-19Anaheim+TotalTotalWedWeekly</t>
  </si>
  <si>
    <t>2025-03-20Anaheim+TotalTotalThuWeekly</t>
  </si>
  <si>
    <t>2025-03-21Anaheim+TotalTotalFriWeekly</t>
  </si>
  <si>
    <t>2025-03-22Anaheim+TotalTotalSatWeekly</t>
  </si>
  <si>
    <t>2025-03-23Anaheim+TotalTotalSunWeekly</t>
  </si>
  <si>
    <t>2025-03-24Anaheim+TotalTotalMonWeekly</t>
  </si>
  <si>
    <t>2025-03-25Anaheim+TotalTotalTueWeekly</t>
  </si>
  <si>
    <t>2025-03-26Anaheim+TotalTotalWedWeekly</t>
  </si>
  <si>
    <t>2025-03-27Anaheim+TotalTotalThuWeekly</t>
  </si>
  <si>
    <t>2025-03-28Anaheim+TotalTotalFriWeekly</t>
  </si>
  <si>
    <t>2025-03-29Anaheim+TotalTotalSatWeekly</t>
  </si>
  <si>
    <t>2025-03-30Anaheim+TotalTotalSunWeekly</t>
  </si>
  <si>
    <t>2025-03-31Anaheim+TotalTotalMonWeekly</t>
  </si>
  <si>
    <t>2025-04-01Anaheim+TotalTotalTueWeekly</t>
  </si>
  <si>
    <t>2025-04-02Anaheim+TotalTotalWedWeekly</t>
  </si>
  <si>
    <t>2025-04-03Anaheim+TotalTotalThuWeekly</t>
  </si>
  <si>
    <t>2025-04-04Anaheim+TotalTotalFriWeekly</t>
  </si>
  <si>
    <t>2025-04-05Anaheim+TotalTotalSatWeekly</t>
  </si>
  <si>
    <t>2025-04-06Anaheim+TotalTotalSunWeekly</t>
  </si>
  <si>
    <t>2025-04-07Anaheim+TotalTotalMonWeekly</t>
  </si>
  <si>
    <t>2025-04-08Anaheim+TotalTotalTueWeekly</t>
  </si>
  <si>
    <t>2025-04-09Anaheim+TotalTotalWedWeekly</t>
  </si>
  <si>
    <t>2025-04-10Anaheim+TotalTotalThuWeekly</t>
  </si>
  <si>
    <t>2025-04-11Anaheim+TotalTotalFriWeekly</t>
  </si>
  <si>
    <t>2025-04-12Anaheim+TotalTotalSatWeekly</t>
  </si>
  <si>
    <t>2025-04-13Anaheim+TotalTotalSunWeekly</t>
  </si>
  <si>
    <t>2025-04-14Anaheim+TotalTotalMonWeekly</t>
  </si>
  <si>
    <t>2025-04-15Anaheim+TotalTotalTueWeekly</t>
  </si>
  <si>
    <t>2025-04-16Anaheim+TotalTotalWedWeekly</t>
  </si>
  <si>
    <t>2025-04-17Anaheim+TotalTotalThuWeekly</t>
  </si>
  <si>
    <t>2025-04-18Anaheim+TotalTotalFriWeekly</t>
  </si>
  <si>
    <t>2025-04-19Anaheim+TotalTotalSatWeekly</t>
  </si>
  <si>
    <t>2025-04-20Anaheim+TotalTotalSunWeekly</t>
  </si>
  <si>
    <t>2025-04-21Anaheim+TotalTotalMonWeekly</t>
  </si>
  <si>
    <t>2025-04-22Anaheim+TotalTotalTueWeekly</t>
  </si>
  <si>
    <t>2025-04-23Anaheim+TotalTotalWedWeekly</t>
  </si>
  <si>
    <t>2025-04-24Anaheim+TotalTotalThuWeekly</t>
  </si>
  <si>
    <t>2025-04-25Anaheim+TotalTotalFriWeekly</t>
  </si>
  <si>
    <t>2025-04-26Anaheim+TotalTotalSatWeekly</t>
  </si>
  <si>
    <t>2025-04-27Anaheim+TotalTotalSunWeekly</t>
  </si>
  <si>
    <t>2025-04-28Anaheim+TotalTotalMonWeekly</t>
  </si>
  <si>
    <t>2025-04-29Anaheim+TotalTotalTueWeekly</t>
  </si>
  <si>
    <t>2025-04-30Anaheim+TotalTotalWedWeekly</t>
  </si>
  <si>
    <t>2025-05-01Anaheim+TotalTotalThuWeekly</t>
  </si>
  <si>
    <t>2025-05-02Anaheim+TotalTotalFriWeekly</t>
  </si>
  <si>
    <t>2025-05-03Anaheim+TotalTotalSatWeekly</t>
  </si>
  <si>
    <t>2025-05-04Anaheim+TotalTotalSunWeekly</t>
  </si>
  <si>
    <t>2025-05-05Anaheim+TotalTotalMonWeekly</t>
  </si>
  <si>
    <t>2025-05-06Anaheim+TotalTotalTueWeekly</t>
  </si>
  <si>
    <t>2025-05-07Anaheim+TotalTotalWedWeekly</t>
  </si>
  <si>
    <t>2025-05-08Anaheim+TotalTotalThuWeekly</t>
  </si>
  <si>
    <t>2025-05-09Anaheim+TotalTotalFriWeekly</t>
  </si>
  <si>
    <t>2025-05-10Anaheim+TotalTotalSatWeekly</t>
  </si>
  <si>
    <t>2025-05-11Anaheim+TotalTotalSunWeekly</t>
  </si>
  <si>
    <t>2025-05-12Anaheim+TotalTotalMonWeekly</t>
  </si>
  <si>
    <t>2025-05-13Anaheim+TotalTotalTueWeekly</t>
  </si>
  <si>
    <t>2025-05-14Anaheim+TotalTotalWedWeekly</t>
  </si>
  <si>
    <t>2025-05-15Anaheim+TotalTotalThuWeekly</t>
  </si>
  <si>
    <t>2025-05-16Anaheim+TotalTotalFriWeekly</t>
  </si>
  <si>
    <t>2025-05-17Anaheim+TotalTotalSatWeekly</t>
  </si>
  <si>
    <t>2025-05-18Anaheim+TotalTotalSunWeekly</t>
  </si>
  <si>
    <t>2025-05-19Anaheim+TotalTotalMonWeekly</t>
  </si>
  <si>
    <t>2025-05-20Anaheim+TotalTotalTueWeekly</t>
  </si>
  <si>
    <t>2025-05-21Anaheim+TotalTotalWedWeekly</t>
  </si>
  <si>
    <t>2025-05-22Anaheim+TotalTotalThuWeekly</t>
  </si>
  <si>
    <t>2025-05-23Anaheim+TotalTotalFriWeekly</t>
  </si>
  <si>
    <t>2025-05-24Anaheim+TotalTotalSatWeekly</t>
  </si>
  <si>
    <t>2025-05-25Anaheim+TotalTotalSunWeekly</t>
  </si>
  <si>
    <t>2025-05-26Anaheim+TotalTotalMonWeekly</t>
  </si>
  <si>
    <t>2025-05-27Anaheim+TotalTotalTueWeekly</t>
  </si>
  <si>
    <t>2025-05-28Anaheim+TotalTotalWedWeekly</t>
  </si>
  <si>
    <t>2025-05-29Anaheim+TotalTotalThuWeekly</t>
  </si>
  <si>
    <t>2025-05-30Anaheim+TotalTotalFriWeekly</t>
  </si>
  <si>
    <t>2025-05-31Anaheim+TotalTotalSatWeekly</t>
  </si>
  <si>
    <t>2025-06-01Anaheim+TotalTotalSunWeekly</t>
  </si>
  <si>
    <t>2025-06-02Anaheim+TotalTotalMonWeekly</t>
  </si>
  <si>
    <t>2025-06-03Anaheim+TotalTotalTueWeekly</t>
  </si>
  <si>
    <t>2025-06-04Anaheim+TotalTotalWedWeekly</t>
  </si>
  <si>
    <t>2025-06-05Anaheim+TotalTotalThuWeekly</t>
  </si>
  <si>
    <t>2025-06-06Anaheim+TotalTotalFriWeekly</t>
  </si>
  <si>
    <t>2025-06-07Anaheim+TotalTotalSatWeekly</t>
  </si>
  <si>
    <t>2025-06-08Anaheim+TotalTotalSunWeekly</t>
  </si>
  <si>
    <t>2025-06-09Anaheim+TotalTotalMonWeekly</t>
  </si>
  <si>
    <t>2025-06-10Anaheim+TotalTotalTueWeekly</t>
  </si>
  <si>
    <t>2025-06-11Anaheim+TotalTotalWedWeekly</t>
  </si>
  <si>
    <t>2025-06-12Anaheim+TotalTotalThuWeekly</t>
  </si>
  <si>
    <t>2025-06-13Anaheim+TotalTotalFriWeekly</t>
  </si>
  <si>
    <t>2025-06-14Anaheim+TotalTotalSatWeekly</t>
  </si>
  <si>
    <t>2025-06-15Anaheim+TotalTotalSunWeekly</t>
  </si>
  <si>
    <t>2025-06-16Anaheim+TotalTotalMonWeekly</t>
  </si>
  <si>
    <t>2025-06-17Anaheim+TotalTotalTueWeekly</t>
  </si>
  <si>
    <t>2025-06-18Anaheim+TotalTotalWedWeekly</t>
  </si>
  <si>
    <t>2025-06-19Anaheim+TotalTotalThuWeekly</t>
  </si>
  <si>
    <t>2025-06-20Anaheim+TotalTotalFriWeekly</t>
  </si>
  <si>
    <t>2025-06-21Anaheim+TotalTotalSatWeekly</t>
  </si>
  <si>
    <t>2025-06-22Anaheim+TotalTotalSunWeekly</t>
  </si>
  <si>
    <t>2025-06-23Anaheim+TotalTotalMonWeekly</t>
  </si>
  <si>
    <t>2025-06-24Anaheim+TotalTotalTueWeekly</t>
  </si>
  <si>
    <t>2025-06-25Anaheim+TotalTotalWedWeekly</t>
  </si>
  <si>
    <t>2025-06-26Anaheim+TotalTotalThuWeekly</t>
  </si>
  <si>
    <t>2025-06-27Anaheim+TotalTotalFriWeekly</t>
  </si>
  <si>
    <t>2025-06-28Anaheim+TotalTotalSatWeekly</t>
  </si>
  <si>
    <t>2025-06-29Anaheim+TotalTotalSunWeekly</t>
  </si>
  <si>
    <t>2025-06-30Anaheim+TotalTotalMonWeekly</t>
  </si>
  <si>
    <t>2025-07-01Anaheim+TotalTotalTueWeekly</t>
  </si>
  <si>
    <t>2025-07-02Anaheim+TotalTotalWedWeekly</t>
  </si>
  <si>
    <t>2025-07-03Anaheim+TotalTotalThuWeekly</t>
  </si>
  <si>
    <t>2025-07-04Anaheim+TotalTotalFriWeekly</t>
  </si>
  <si>
    <t>2025-07-05Anaheim+TotalTotalSatWeekly</t>
  </si>
  <si>
    <t>2025-07-06Anaheim+TotalTotalSunWeekly</t>
  </si>
  <si>
    <t>2025-07-07Anaheim+TotalTotalMonWeekly</t>
  </si>
  <si>
    <t>2025-07-08Anaheim+TotalTotalTueWeekly</t>
  </si>
  <si>
    <t>2025-07-09Anaheim+TotalTotalWedWeekly</t>
  </si>
  <si>
    <t>2025-07-10Anaheim+TotalTotalThuWeekly</t>
  </si>
  <si>
    <t>2025-07-11Anaheim+TotalTotalFriWeekly</t>
  </si>
  <si>
    <t>2025-07-12Anaheim+TotalTotalSatWeekly</t>
  </si>
  <si>
    <t>2025-07-13Anaheim+TotalTotalSunWeekly</t>
  </si>
  <si>
    <t>2025-07-14Anaheim+TotalTotalMonWeekly</t>
  </si>
  <si>
    <t>2025-07-15Anaheim+TotalTotalTueWeekly</t>
  </si>
  <si>
    <t>2025-07-16Anaheim+TotalTotalWedWeekly</t>
  </si>
  <si>
    <t>2025-07-17Anaheim+TotalTotalThuWeekly</t>
  </si>
  <si>
    <t>2025-07-18Anaheim+TotalTotalFriWeekly</t>
  </si>
  <si>
    <t>2025-07-19Anaheim+TotalTotalSatWeekly</t>
  </si>
  <si>
    <t>2025-07-20Anaheim+TotalTotalSunWeekly</t>
  </si>
  <si>
    <t>2025-07-21Anaheim+TotalTotalMonWeekly</t>
  </si>
  <si>
    <t>2025-07-22Anaheim+TotalTotalTueWeekly</t>
  </si>
  <si>
    <t>2025-07-23Anaheim+TotalTotalWedWeekly</t>
  </si>
  <si>
    <t>2025-07-24Anaheim+TotalTotalThuWeekly</t>
  </si>
  <si>
    <t>2025-07-25Anaheim+TotalTotalFriWeekly</t>
  </si>
  <si>
    <t>2025-07-26Anaheim+TotalTotalSatWeekly</t>
  </si>
  <si>
    <t>2025-07-27Anaheim+TotalTotalSunWeekly</t>
  </si>
  <si>
    <t>2025-07-28Anaheim+TotalTotalMonWeekly</t>
  </si>
  <si>
    <t>2025-07-29Anaheim+TotalTotalTueWeekly</t>
  </si>
  <si>
    <t>2025-07-30Anaheim+TotalTotalWedWeekly</t>
  </si>
  <si>
    <t>2025-07-31Anaheim+TotalTotalThuWeekly</t>
  </si>
  <si>
    <t>2025-08-01Anaheim+TotalTotalFriWeekly</t>
  </si>
  <si>
    <t>2025-08-02Anaheim+TotalTotalSatWeekly</t>
  </si>
  <si>
    <t>2025-08-03Anaheim+TotalTotalSunWeekly</t>
  </si>
  <si>
    <t>2025-08-04Anaheim+TotalTotalMonWeekly</t>
  </si>
  <si>
    <t>2025-08-05Anaheim+TotalTotalTueWeekly</t>
  </si>
  <si>
    <t>2025-08-06Anaheim+TotalTotalWedWeekly</t>
  </si>
  <si>
    <t>2025-08-07Anaheim+TotalTotalThuWeekly</t>
  </si>
  <si>
    <t>2025-08-08Anaheim+TotalTotalFriWeekly</t>
  </si>
  <si>
    <t>2025-08-09Anaheim+TotalTotalSatWeekly</t>
  </si>
  <si>
    <t>2025-08-10Anaheim+TotalTotalSunWeekly</t>
  </si>
  <si>
    <t>2025-08-11Anaheim+TotalTotalMonWeekly</t>
  </si>
  <si>
    <t>2025-08-12Anaheim+TotalTotalTueWeekly</t>
  </si>
  <si>
    <t>2025-08-13Anaheim+TotalTotalWedWeekly</t>
  </si>
  <si>
    <t>2025-08-14Anaheim+TotalTotalThuWeekly</t>
  </si>
  <si>
    <t>2025-08-15Anaheim+TotalTotalFriWeekly</t>
  </si>
  <si>
    <t>2025-08-16Anaheim+TotalTotalSatWeekly</t>
  </si>
  <si>
    <t>2025-08-17Anaheim+TotalTotalSunWeekly</t>
  </si>
  <si>
    <t>2025-08-18Anaheim+TotalTotalMonWeekly</t>
  </si>
  <si>
    <t>2025-08-19Anaheim+TotalTotalTueWeekly</t>
  </si>
  <si>
    <t>2025-08-20Anaheim+TotalTotalWedWeekly</t>
  </si>
  <si>
    <t>2025-08-21Anaheim+TotalTotalThuWeekly</t>
  </si>
  <si>
    <t>2025-08-22Anaheim+TotalTotalFriWeekly</t>
  </si>
  <si>
    <t>2025-08-23Anaheim+TotalTotalSatWeekly</t>
  </si>
  <si>
    <t>2025-08-24Anaheim+TotalTotalSunWeekly</t>
  </si>
  <si>
    <t>2025-08-25Anaheim+TotalTotalMonWeekly</t>
  </si>
  <si>
    <t>2025-08-26Anaheim+TotalTotalTueWeekly</t>
  </si>
  <si>
    <t>2025-08-27Anaheim+TotalTotalWedWeekly</t>
  </si>
  <si>
    <t>2025-08-28Anaheim+TotalTotalThuWeekly</t>
  </si>
  <si>
    <t>2025-08-29Anaheim+TotalTotalFriWeekly</t>
  </si>
  <si>
    <t>2025-08-30Anaheim+TotalTotalSatWeekly</t>
  </si>
  <si>
    <t>2025-08-31Anaheim+TotalTotalSunWeekly</t>
  </si>
  <si>
    <t>2025-09-01Anaheim+TotalTotalMonWeekly</t>
  </si>
  <si>
    <t>2025-09-02Anaheim+TotalTotalTueWeekly</t>
  </si>
  <si>
    <t>2025-09-03Anaheim+TotalTotalWedWeekly</t>
  </si>
  <si>
    <t>2025-09-04Anaheim+TotalTotalThuWeekly</t>
  </si>
  <si>
    <t>2025-09-05Anaheim+TotalTotalFriWeekly</t>
  </si>
  <si>
    <t>2025-09-06Anaheim+TotalTotalSatWeekly</t>
  </si>
  <si>
    <t>2025-09-07Anaheim+TotalTotalSunWeekly</t>
  </si>
  <si>
    <t>2025-09-08Anaheim+TotalTotalMonWeekly</t>
  </si>
  <si>
    <t>2025-09-09Anaheim+TotalTotalTueWeekly</t>
  </si>
  <si>
    <t>2025-09-10Anaheim+TotalTotalWedWeekly</t>
  </si>
  <si>
    <t>2025-09-11Anaheim+TotalTotalThuWeekly</t>
  </si>
  <si>
    <t>2025-09-12Anaheim+TotalTotalFriWeekly</t>
  </si>
  <si>
    <t>2025-09-13Anaheim+TotalTotalSatWeekly</t>
  </si>
  <si>
    <t>2025-09-14Anaheim+TotalTotalSunWeekly</t>
  </si>
  <si>
    <t>2025-09-15Anaheim+TotalTotalMonWeekly</t>
  </si>
  <si>
    <t>2025-09-16Anaheim+TotalTotalTueWeekly</t>
  </si>
  <si>
    <t>2025-09-17Anaheim+TotalTotalWedWeekly</t>
  </si>
  <si>
    <t>2025-09-18Anaheim+TotalTotalThuWeekly</t>
  </si>
  <si>
    <t>2025-09-19Anaheim+TotalTotalFriWeekly</t>
  </si>
  <si>
    <t>2025-09-20Anaheim+TotalTotalSatWeekly</t>
  </si>
  <si>
    <t>2025-09-21Anaheim+TotalTotalSunWeekly</t>
  </si>
  <si>
    <t>2025-09-22Anaheim+TotalTotalMonWeekly</t>
  </si>
  <si>
    <t>2025-09-23Anaheim+TotalTotalTueWeekly</t>
  </si>
  <si>
    <t>2025-09-24Anaheim+TotalTotalWedWeekly</t>
  </si>
  <si>
    <t>2025-09-25Anaheim+TotalTotalThuWeekly</t>
  </si>
  <si>
    <t>2025-09-26Anaheim+TotalTotalFriWeekly</t>
  </si>
  <si>
    <t>2025-09-27Anaheim+TotalTotalSatWeekly</t>
  </si>
  <si>
    <t>2025-09-28Anaheim+TotalTotalSunWeekly</t>
  </si>
  <si>
    <t>2025-09-29Anaheim+TotalTotalMonWeekly</t>
  </si>
  <si>
    <t>2025-09-30Anaheim+TotalTotalTueWeekly</t>
  </si>
  <si>
    <t>2025-10-01Anaheim+TotalTotalWedWeekly</t>
  </si>
  <si>
    <t>2025-10-02Anaheim+TotalTotalThuWeekly</t>
  </si>
  <si>
    <t>2025-10-03Anaheim+TotalTotalFriWeekly</t>
  </si>
  <si>
    <t>2025-10-04Anaheim+TotalTotalSatWeekly</t>
  </si>
  <si>
    <t>2025-10-05Anaheim+TotalTotalSunWeekly</t>
  </si>
  <si>
    <t>2025-10-06Anaheim+TotalTotalMonWeekly</t>
  </si>
  <si>
    <t>2025-10-07Anaheim+TotalTotalTueWeekly</t>
  </si>
  <si>
    <t>2025-10-08Anaheim+TotalTotalWedWeekly</t>
  </si>
  <si>
    <t>2025-10-09Anaheim+TotalTotalThuWeekly</t>
  </si>
  <si>
    <t>2025-10-10Anaheim+TotalTotalFriWeekly</t>
  </si>
  <si>
    <t>2025-10-11Anaheim+TotalTotalSatWeekly</t>
  </si>
  <si>
    <t>2025-10-12Anaheim+TotalTotalSunWeekly</t>
  </si>
  <si>
    <t>2025-10-13Anaheim+TotalTotalMonWeekly</t>
  </si>
  <si>
    <t>2025-10-14Anaheim+TotalTotalTueWeekly</t>
  </si>
  <si>
    <t>2025-10-15Anaheim+TotalTotalWedWeekly</t>
  </si>
  <si>
    <t>2025-10-16Anaheim+TotalTotalThuWeekly</t>
  </si>
  <si>
    <t>2025-10-17Anaheim+TotalTotalFriWeekly</t>
  </si>
  <si>
    <t>2025-10-18Anaheim+TotalTotalSatWeekly</t>
  </si>
  <si>
    <t>2025-10-19Anaheim+TotalTotalSunWeekly</t>
  </si>
  <si>
    <t>2025-10-20Anaheim+TotalTotalMonWeekly</t>
  </si>
  <si>
    <t>2025-10-21Anaheim+TotalTotalTueWeekly</t>
  </si>
  <si>
    <t>2025-10-22Anaheim+TotalTotalWedWeekly</t>
  </si>
  <si>
    <t>2025-10-23Anaheim+TotalTotalThuWeekly</t>
  </si>
  <si>
    <t>2025-10-24Anaheim+TotalTotalFriWeekly</t>
  </si>
  <si>
    <t>2025-10-25Anaheim+TotalTotalSatWeekly</t>
  </si>
  <si>
    <t>2025-10-26Anaheim+TotalTotalSunWeekly</t>
  </si>
  <si>
    <t>2025-10-27Anaheim+TotalTotalMonWeekly</t>
  </si>
  <si>
    <t>2025-10-28Anaheim+TotalTotalTueWeekly</t>
  </si>
  <si>
    <t>2025-10-29Anaheim+TotalTotalWedWeekly</t>
  </si>
  <si>
    <t>2025-10-30Anaheim+TotalTotalThuWeekly</t>
  </si>
  <si>
    <t>2025-10-31Anaheim+TotalTotalFriWeekly</t>
  </si>
  <si>
    <t>2025-11-01Anaheim+TotalTotalSatWeekly</t>
  </si>
  <si>
    <t>2025-11-02Anaheim+TotalTotalSunWeekly</t>
  </si>
  <si>
    <t>2025-11-03Anaheim+TotalTotalMonWeekly</t>
  </si>
  <si>
    <t>2025-11-04Anaheim+TotalTotalTueWeekly</t>
  </si>
  <si>
    <t>2025-11-05Anaheim+TotalTotalWedWeekly</t>
  </si>
  <si>
    <t>2025-11-06Anaheim+TotalTotalThuWeekly</t>
  </si>
  <si>
    <t>2025-11-07Anaheim+TotalTotalFriWeekly</t>
  </si>
  <si>
    <t>2025-11-08Anaheim+TotalTotalSatWeekly</t>
  </si>
  <si>
    <t>2025-11-09Anaheim+TotalTotalSunWeekly</t>
  </si>
  <si>
    <t>2025-11-10Anaheim+TotalTotalMonWeekly</t>
  </si>
  <si>
    <t>2025-11-11Anaheim+TotalTotalTueWeekly</t>
  </si>
  <si>
    <t>2025-11-12Anaheim+TotalTotalWedWeekly</t>
  </si>
  <si>
    <t>2025-11-13Anaheim+TotalTotalThuWeekly</t>
  </si>
  <si>
    <t>2025-11-14Anaheim+TotalTotalFriWeekly</t>
  </si>
  <si>
    <t>2025-11-15Anaheim+TotalTotalSatWeekly</t>
  </si>
  <si>
    <t>2025-11-16Anaheim+TotalTotalSunWeekly</t>
  </si>
  <si>
    <t>2025-11-17Anaheim+TotalTotalMonWeekly</t>
  </si>
  <si>
    <t>2025-11-18Anaheim+TotalTotalTueWeekly</t>
  </si>
  <si>
    <t>2025-11-19Anaheim+TotalTotalWedWeekly</t>
  </si>
  <si>
    <t>2025-11-20Anaheim+TotalTotalThuWeekly</t>
  </si>
  <si>
    <t>2025-11-21Anaheim+TotalTotalFriWeekly</t>
  </si>
  <si>
    <t>2025-11-22Anaheim+TotalTotalSatWeekly</t>
  </si>
  <si>
    <t>2025-11-23Anaheim+TotalTotalSunWeekly</t>
  </si>
  <si>
    <t>2025-11-24Anaheim+TotalTotalMonWeekly</t>
  </si>
  <si>
    <t>2025-11-25Anaheim+TotalTotalTueWeekly</t>
  </si>
  <si>
    <t>2025-11-26Anaheim+TotalTotalWedWeekly</t>
  </si>
  <si>
    <t>2025-11-27Anaheim+TotalTotalThuWeekly</t>
  </si>
  <si>
    <t>2025-11-28Anaheim+TotalTotalFriWeekly</t>
  </si>
  <si>
    <t>2025-11-29Anaheim+TotalTotalSatWeekly</t>
  </si>
  <si>
    <t>2025-11-30Anaheim+TotalTotalSunWeekly</t>
  </si>
  <si>
    <t>2025-12-01Anaheim+TotalTotalMonWeekly</t>
  </si>
  <si>
    <t>2025-12-02Anaheim+TotalTotalTueWeekly</t>
  </si>
  <si>
    <t>2025-12-03Anaheim+TotalTotalWedWeekly</t>
  </si>
  <si>
    <t>2025-12-04Anaheim+TotalTotalThuWeekly</t>
  </si>
  <si>
    <t>2025-12-05Anaheim+TotalTotalFriWeekly</t>
  </si>
  <si>
    <t>2025-12-06Anaheim+TotalTotalSatWeekly</t>
  </si>
  <si>
    <t>2025-12-07Anaheim+TotalTotalSunWeekly</t>
  </si>
  <si>
    <t>2025-12-08Anaheim+TotalTotalMonWeekly</t>
  </si>
  <si>
    <t>2025-12-09Anaheim+TotalTotalTueWeekly</t>
  </si>
  <si>
    <t>2025-12-10Anaheim+TotalTotalWedWeekly</t>
  </si>
  <si>
    <t>2025-12-11Anaheim+TotalTotalThuWeekly</t>
  </si>
  <si>
    <t>2025-12-12Anaheim+TotalTotalFriWeekly</t>
  </si>
  <si>
    <t>2025-12-13Anaheim+TotalTotalSatWeekly</t>
  </si>
  <si>
    <t>2025-12-14Anaheim+TotalTotalSunWeekly</t>
  </si>
  <si>
    <t>2025-12-15Anaheim+TotalTotalMonWeekly</t>
  </si>
  <si>
    <t>2025-12-16Anaheim+TotalTotalTueWeekly</t>
  </si>
  <si>
    <t>2025-12-17Anaheim+TotalTotalWedWeekly</t>
  </si>
  <si>
    <t>2025-12-18Anaheim+TotalTotalThuWeekly</t>
  </si>
  <si>
    <t>2025-12-19Anaheim+TotalTotalFriWeekly</t>
  </si>
  <si>
    <t>2025-12-20Anaheim+TotalTotalSatWeekly</t>
  </si>
  <si>
    <t>2025-12-21Anaheim+TotalTotalSunWeekly</t>
  </si>
  <si>
    <t>2025-12-22Anaheim+TotalTotalMonWeekly</t>
  </si>
  <si>
    <t>2025-12-23Anaheim+TotalTotalTueWeekly</t>
  </si>
  <si>
    <t>2025-12-24Anaheim+TotalTotalWedWeekly</t>
  </si>
  <si>
    <t>2025-12-25Anaheim+TotalTotalThuWeekly</t>
  </si>
  <si>
    <t>2025-12-26Anaheim+TotalTotalFriWeekly</t>
  </si>
  <si>
    <t>2025-12-27Anaheim+TotalTotalSatWeekly</t>
  </si>
  <si>
    <t>2025-12-28Anaheim+TotalTotalSunWeekly</t>
  </si>
  <si>
    <t>2025-12-29Anaheim+TotalTotalMonWeekly</t>
  </si>
  <si>
    <t>2025-12-30Anaheim+TotalTotalTueWeekly</t>
  </si>
  <si>
    <t>2025-12-31Anaheim+TotalTotalWedWeekly</t>
  </si>
  <si>
    <t>Source: Symphony</t>
  </si>
  <si>
    <t>Source: SV - Custom City Lead Log Based on Lead Level</t>
  </si>
  <si>
    <t>Date</t>
  </si>
  <si>
    <t>Definite Room Nights</t>
  </si>
  <si>
    <t>Geography Name</t>
  </si>
  <si>
    <t>Pivot Field Names</t>
  </si>
  <si>
    <t>2020</t>
  </si>
  <si>
    <t>2021</t>
  </si>
  <si>
    <t>2022</t>
  </si>
  <si>
    <t>2023</t>
  </si>
  <si>
    <t>2024</t>
  </si>
  <si>
    <t>Anaheim</t>
  </si>
  <si>
    <t>Day Visitors</t>
  </si>
  <si>
    <t>% of Total Pivot Field Values along Pivot Field Names</t>
  </si>
  <si>
    <t>Pivot Field Values</t>
  </si>
  <si>
    <t>Overnight Visitors</t>
  </si>
  <si>
    <t>Day Visitors in Anaheim</t>
  </si>
  <si>
    <t>Overnight Visitors in Anaheim</t>
  </si>
  <si>
    <t>2025 (Forecasted)</t>
  </si>
  <si>
    <t xml:space="preserve">YoY Change: </t>
  </si>
  <si>
    <t xml:space="preserve">YoY change: </t>
  </si>
  <si>
    <t>Domestic Avg Length of Stay</t>
  </si>
  <si>
    <t>International Avg. Length of Stay</t>
  </si>
  <si>
    <t>Average Length of Stay between Domestic &amp; International</t>
  </si>
  <si>
    <t>2.1 Days</t>
  </si>
  <si>
    <t>6.1 days</t>
  </si>
  <si>
    <t>on average people stayed per night</t>
  </si>
  <si>
    <t>Lodging Revenue</t>
  </si>
  <si>
    <t>2025 CY Avg Lodging Revenue from STR/Costar</t>
  </si>
  <si>
    <t>Total CY 2025 Lodging Revenue (Overnight)</t>
  </si>
  <si>
    <t>Total revenue by 365</t>
  </si>
  <si>
    <t>Number of people divided by overnight</t>
  </si>
  <si>
    <t>Average paid per night per person by day</t>
  </si>
  <si>
    <t>By Avg Length of Stay</t>
  </si>
  <si>
    <t>Add 1 day</t>
  </si>
  <si>
    <t>Calculations</t>
  </si>
  <si>
    <t>Add 1 more day</t>
  </si>
  <si>
    <t>Total overnight</t>
  </si>
  <si>
    <t>Total Avg Length of Stay</t>
  </si>
  <si>
    <t>Total Revenue</t>
  </si>
  <si>
    <t>1 full day</t>
  </si>
  <si>
    <t>Total Visitation</t>
  </si>
  <si>
    <t>Total Domestic</t>
  </si>
  <si>
    <t>Total International</t>
  </si>
  <si>
    <t>Total Day</t>
  </si>
  <si>
    <t>Total Overnight</t>
  </si>
  <si>
    <t>Average Length of Stay (Domestic &amp; International)</t>
  </si>
  <si>
    <t>Callout:</t>
  </si>
  <si>
    <t>The Average Overnight Visitor Stays .5 Night Longer</t>
  </si>
  <si>
    <t>Total Business</t>
  </si>
  <si>
    <t>Total Leisure</t>
  </si>
  <si>
    <t>Total Overnight Visitors</t>
  </si>
  <si>
    <t>Total Average Length of Stay for Overnight Visitors</t>
  </si>
  <si>
    <t>Total Overnight Visitors per night</t>
  </si>
  <si>
    <t>Total Revenue per night for Overnight Visitors</t>
  </si>
  <si>
    <t>Total Revenue per night per person for Overnight Visitors</t>
  </si>
  <si>
    <t>Total Revenue for Overnight</t>
  </si>
  <si>
    <t>The average overnight visitor stays .5 night longer</t>
  </si>
  <si>
    <t>*If increased by 1 day all things equal:</t>
  </si>
  <si>
    <t>Total Average Length of Stay</t>
  </si>
  <si>
    <t>Total Revenue per day</t>
  </si>
  <si>
    <t>Total Revenue per day per person</t>
  </si>
  <si>
    <t>Total Visitors</t>
  </si>
  <si>
    <t>Average Length of Stay (Domestic)</t>
  </si>
  <si>
    <t>Average Length of Stay (International)</t>
  </si>
  <si>
    <t>Total  Domestic</t>
  </si>
  <si>
    <t xml:space="preserve">Total International </t>
  </si>
  <si>
    <t>Total Spending</t>
  </si>
  <si>
    <t>Ave of Domestic</t>
  </si>
  <si>
    <t xml:space="preserve">Avergae International </t>
  </si>
  <si>
    <t>Average Length of Stay</t>
  </si>
  <si>
    <t>Additioanl Day</t>
  </si>
  <si>
    <t>Total Spending per Day</t>
  </si>
  <si>
    <t>Total Spend per additional day</t>
  </si>
  <si>
    <t xml:space="preserve">Incremental Spend </t>
  </si>
  <si>
    <t>1 day instead of 0.5 day</t>
  </si>
  <si>
    <t>YoY Change</t>
  </si>
  <si>
    <t>Visual Below</t>
  </si>
  <si>
    <t>(CALLOUT) - The Average Overnight Visitor Stays .5 Night Longer</t>
  </si>
  <si>
    <t>Source: Azira, TE, and CoStar</t>
  </si>
  <si>
    <t>Top Origin Countries:</t>
  </si>
  <si>
    <t>Mexico</t>
  </si>
  <si>
    <t>Canada</t>
  </si>
  <si>
    <t>China</t>
  </si>
  <si>
    <t>United Kingdom</t>
  </si>
  <si>
    <t>France</t>
  </si>
  <si>
    <t>Australia</t>
  </si>
  <si>
    <t>Source: GCT</t>
  </si>
  <si>
    <t>Hotel Supply (Daily)</t>
  </si>
  <si>
    <t>Hotel Room Demand (Daily)</t>
  </si>
  <si>
    <t>Room Revenue</t>
  </si>
  <si>
    <t>Levels</t>
  </si>
  <si>
    <t>          21,756 </t>
  </si>
  <si>
    <t>      16,357 </t>
  </si>
  <si>
    <t> $  238.85 </t>
  </si>
  <si>
    <t> $  179.57 </t>
  </si>
  <si>
    <t> $  1,426,005,225.00 </t>
  </si>
  <si>
    <t>          21,984 </t>
  </si>
  <si>
    <t>      16,438 </t>
  </si>
  <si>
    <t> $  236.00 </t>
  </si>
  <si>
    <t> $  176.46 </t>
  </si>
  <si>
    <t> $  1,415,958,295.00 </t>
  </si>
  <si>
    <t>          22,004 </t>
  </si>
  <si>
    <t>      16,380 </t>
  </si>
  <si>
    <t> $  233.93 </t>
  </si>
  <si>
    <t> $  174.14 </t>
  </si>
  <si>
    <t> $  1,398,610,001.00 </t>
  </si>
  <si>
    <t>          22,027 </t>
  </si>
  <si>
    <t>      16,590 </t>
  </si>
  <si>
    <t> $  238.13 </t>
  </si>
  <si>
    <t> $  179.35 </t>
  </si>
  <si>
    <t> $  1,442,005,108.00 </t>
  </si>
  <si>
    <t>          22,131 </t>
  </si>
  <si>
    <t>      16,881 </t>
  </si>
  <si>
    <t> $  243.04 </t>
  </si>
  <si>
    <t> $  185.38 </t>
  </si>
  <si>
    <t> $  1,497,483,375.00 </t>
  </si>
  <si>
    <t>Growth</t>
  </si>
  <si>
    <t>Source: STR, Tourism Economics</t>
  </si>
  <si>
    <t>Volume</t>
  </si>
  <si>
    <t>LOS *</t>
  </si>
  <si>
    <t>Sources:</t>
  </si>
  <si>
    <t>% Domestic</t>
  </si>
  <si>
    <t>*LOS Azira mobile location data</t>
  </si>
  <si>
    <t>% international</t>
  </si>
  <si>
    <t>Visitation from TE Visitor data</t>
  </si>
  <si>
    <t>Spend from TE</t>
  </si>
  <si>
    <t>LOS * %domestic</t>
  </si>
  <si>
    <t>LOS * %international</t>
  </si>
  <si>
    <t>Weighted Avg LOS</t>
  </si>
  <si>
    <t>Total Spend</t>
  </si>
  <si>
    <t>Spend per day</t>
  </si>
  <si>
    <t>Incremental Spend</t>
  </si>
  <si>
    <t>Total Spend with additional 1 day</t>
  </si>
  <si>
    <t>Wighted Avg with additional 1/2 day</t>
  </si>
  <si>
    <t>Year 2025</t>
  </si>
  <si>
    <t>Total Weighted Avg LOS</t>
  </si>
  <si>
    <t>Weighted Avg with additional 1 day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</si>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</sst>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;\(&quot;$&quot;#,##0.00\)"/>
    <numFmt numFmtId="166" formatCode="&quot;$&quot;#,##0;\(&quot;$&quot;#,##0\)"/>
    <numFmt numFmtId="167" formatCode="_(* #,##0_);_(* \(#,##0\);_(* &quot;-&quot;??_);_(@_)"/>
    <numFmt numFmtId="168" formatCode="#,##0.0"/>
    <numFmt numFmtId="169" formatCode="_([$$-409]* #,##0.00_);_([$$-409]* \(#,##0.00\);_([$$-409]* &quot;-&quot;??_);_(@_)"/>
    <numFmt numFmtId="170" formatCode="0.000"/>
    <numFmt numFmtId="171" formatCode="_(&quot;$&quot;* #,##0_);_(&quot;$&quot;* \(#,##0\);_(&quot;$&quot;* &quot;-&quot;??_);_(@_)"/>
  </numFmts>
  <fonts count="18" x14ac:knownFonts="1">
    <font>
      <sz val="11"/>
      <name val="Calibri"/>
    </font>
    <font>
      <sz val="9"/>
      <color rgb="FF000000"/>
      <name val="Verdana"/>
      <family val="2"/>
    </font>
    <font>
      <sz val="11"/>
      <name val="Calibri"/>
      <family val="2"/>
    </font>
    <font>
      <sz val="9"/>
      <color theme="0"/>
      <name val="Verdana"/>
      <family val="2"/>
    </font>
    <font>
      <sz val="11"/>
      <color theme="0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ptos"/>
    </font>
    <font>
      <b/>
      <sz val="12"/>
      <color rgb="FF000000"/>
      <name val="Aptos"/>
    </font>
    <font>
      <b/>
      <u/>
      <sz val="12"/>
      <color rgb="FF000000"/>
      <name val="Aptos"/>
    </font>
    <font>
      <sz val="9"/>
      <color rgb="FF000000"/>
      <name val="Arial"/>
      <family val="2"/>
    </font>
    <font>
      <b/>
      <sz val="26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</font>
    <font>
      <sz val="11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1"/>
    <xf numFmtId="0" fontId="14" fillId="0" borderId="1"/>
    <xf numFmtId="43" fontId="14" fillId="0" borderId="1" applyFont="0" applyFill="0" applyBorder="0" applyAlignment="0" applyProtection="0"/>
    <xf numFmtId="44" fontId="14" fillId="0" borderId="1" applyFont="0" applyFill="0" applyBorder="0" applyAlignment="0" applyProtection="0"/>
  </cellStyleXfs>
  <cellXfs count="128">
    <xf numFmtId="0" fontId="0" fillId="0" borderId="0" xfId="0"/>
    <xf numFmtId="166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top"/>
    </xf>
    <xf numFmtId="0" fontId="2" fillId="0" borderId="0" xfId="0" applyFont="1"/>
    <xf numFmtId="3" fontId="0" fillId="0" borderId="0" xfId="0" applyNumberFormat="1"/>
    <xf numFmtId="0" fontId="3" fillId="0" borderId="1" xfId="0" applyFont="1" applyBorder="1" applyAlignment="1">
      <alignment horizontal="left"/>
    </xf>
    <xf numFmtId="0" fontId="4" fillId="0" borderId="0" xfId="0" applyFont="1"/>
    <xf numFmtId="0" fontId="3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1" xfId="3"/>
    <xf numFmtId="3" fontId="1" fillId="0" borderId="1" xfId="3" applyNumberFormat="1" applyFont="1" applyAlignment="1">
      <alignment vertical="center"/>
    </xf>
    <xf numFmtId="0" fontId="1" fillId="0" borderId="1" xfId="3" applyFont="1" applyAlignment="1">
      <alignment horizontal="left" vertical="top"/>
    </xf>
    <xf numFmtId="9" fontId="1" fillId="0" borderId="1" xfId="3" applyNumberFormat="1" applyFont="1" applyAlignment="1">
      <alignment vertical="center"/>
    </xf>
    <xf numFmtId="0" fontId="1" fillId="0" borderId="1" xfId="3" applyFont="1" applyAlignment="1">
      <alignment horizontal="center"/>
    </xf>
    <xf numFmtId="0" fontId="1" fillId="0" borderId="1" xfId="3" applyFont="1" applyAlignment="1">
      <alignment horizontal="left"/>
    </xf>
    <xf numFmtId="3" fontId="2" fillId="0" borderId="1" xfId="3" applyNumberFormat="1"/>
    <xf numFmtId="9" fontId="2" fillId="0" borderId="1" xfId="3" applyNumberFormat="1"/>
    <xf numFmtId="44" fontId="2" fillId="0" borderId="1" xfId="2" applyFont="1" applyBorder="1"/>
    <xf numFmtId="3" fontId="2" fillId="2" borderId="1" xfId="3" applyNumberFormat="1" applyFill="1"/>
    <xf numFmtId="0" fontId="2" fillId="2" borderId="1" xfId="3" applyFill="1"/>
    <xf numFmtId="44" fontId="2" fillId="0" borderId="1" xfId="3" applyNumberFormat="1"/>
    <xf numFmtId="44" fontId="2" fillId="2" borderId="1" xfId="2" applyFont="1" applyFill="1" applyBorder="1"/>
    <xf numFmtId="44" fontId="2" fillId="2" borderId="1" xfId="3" applyNumberFormat="1" applyFill="1"/>
    <xf numFmtId="167" fontId="2" fillId="0" borderId="1" xfId="1" applyNumberFormat="1" applyFont="1" applyBorder="1"/>
    <xf numFmtId="0" fontId="2" fillId="0" borderId="2" xfId="3" applyBorder="1"/>
    <xf numFmtId="0" fontId="2" fillId="0" borderId="3" xfId="3" applyBorder="1"/>
    <xf numFmtId="0" fontId="2" fillId="0" borderId="4" xfId="3" applyBorder="1"/>
    <xf numFmtId="3" fontId="2" fillId="0" borderId="5" xfId="3" applyNumberFormat="1" applyBorder="1"/>
    <xf numFmtId="0" fontId="2" fillId="0" borderId="5" xfId="3" applyBorder="1"/>
    <xf numFmtId="0" fontId="2" fillId="0" borderId="6" xfId="3" applyBorder="1"/>
    <xf numFmtId="44" fontId="2" fillId="0" borderId="7" xfId="3" applyNumberFormat="1" applyBorder="1"/>
    <xf numFmtId="0" fontId="2" fillId="0" borderId="8" xfId="3" applyBorder="1"/>
    <xf numFmtId="3" fontId="2" fillId="0" borderId="9" xfId="3" applyNumberFormat="1" applyBorder="1"/>
    <xf numFmtId="0" fontId="2" fillId="0" borderId="9" xfId="3" applyBorder="1"/>
    <xf numFmtId="44" fontId="2" fillId="0" borderId="10" xfId="3" applyNumberFormat="1" applyBorder="1"/>
    <xf numFmtId="3" fontId="2" fillId="0" borderId="3" xfId="3" applyNumberFormat="1" applyBorder="1"/>
    <xf numFmtId="3" fontId="2" fillId="0" borderId="7" xfId="3" applyNumberFormat="1" applyBorder="1"/>
    <xf numFmtId="44" fontId="2" fillId="0" borderId="5" xfId="3" applyNumberFormat="1" applyBorder="1"/>
    <xf numFmtId="0" fontId="7" fillId="0" borderId="1" xfId="3" applyFont="1"/>
    <xf numFmtId="167" fontId="2" fillId="0" borderId="5" xfId="3" applyNumberFormat="1" applyBorder="1"/>
    <xf numFmtId="0" fontId="2" fillId="0" borderId="1" xfId="3" applyAlignment="1">
      <alignment horizontal="left" vertical="center"/>
    </xf>
    <xf numFmtId="168" fontId="2" fillId="0" borderId="5" xfId="3" applyNumberFormat="1" applyBorder="1"/>
    <xf numFmtId="44" fontId="2" fillId="0" borderId="11" xfId="2" applyFont="1" applyBorder="1" applyAlignment="1">
      <alignment horizontal="left"/>
    </xf>
    <xf numFmtId="44" fontId="2" fillId="0" borderId="12" xfId="2" applyFont="1" applyBorder="1"/>
    <xf numFmtId="10" fontId="0" fillId="0" borderId="0" xfId="0" applyNumberFormat="1"/>
    <xf numFmtId="0" fontId="9" fillId="0" borderId="0" xfId="0" applyFont="1"/>
    <xf numFmtId="0" fontId="0" fillId="0" borderId="2" xfId="0" applyBorder="1"/>
    <xf numFmtId="167" fontId="0" fillId="0" borderId="3" xfId="1" applyNumberFormat="1" applyFont="1" applyBorder="1"/>
    <xf numFmtId="0" fontId="0" fillId="0" borderId="4" xfId="0" applyBorder="1"/>
    <xf numFmtId="167" fontId="0" fillId="0" borderId="5" xfId="1" applyNumberFormat="1" applyFont="1" applyBorder="1"/>
    <xf numFmtId="0" fontId="0" fillId="0" borderId="5" xfId="0" applyBorder="1"/>
    <xf numFmtId="0" fontId="0" fillId="0" borderId="6" xfId="0" applyBorder="1"/>
    <xf numFmtId="167" fontId="0" fillId="0" borderId="7" xfId="1" applyNumberFormat="1" applyFont="1" applyBorder="1"/>
    <xf numFmtId="0" fontId="8" fillId="0" borderId="2" xfId="0" applyFont="1" applyBorder="1"/>
    <xf numFmtId="0" fontId="8" fillId="0" borderId="13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1" xfId="0" applyFont="1" applyBorder="1"/>
    <xf numFmtId="0" fontId="8" fillId="0" borderId="5" xfId="0" applyFont="1" applyBorder="1"/>
    <xf numFmtId="10" fontId="8" fillId="0" borderId="1" xfId="0" applyNumberFormat="1" applyFont="1" applyBorder="1"/>
    <xf numFmtId="10" fontId="8" fillId="0" borderId="5" xfId="0" applyNumberFormat="1" applyFont="1" applyBorder="1"/>
    <xf numFmtId="0" fontId="8" fillId="0" borderId="6" xfId="0" applyFont="1" applyBorder="1"/>
    <xf numFmtId="10" fontId="8" fillId="0" borderId="14" xfId="0" applyNumberFormat="1" applyFont="1" applyBorder="1"/>
    <xf numFmtId="10" fontId="8" fillId="0" borderId="7" xfId="0" applyNumberFormat="1" applyFont="1" applyBorder="1"/>
    <xf numFmtId="9" fontId="0" fillId="0" borderId="0" xfId="0" applyNumberFormat="1"/>
    <xf numFmtId="44" fontId="0" fillId="0" borderId="12" xfId="2" applyFont="1" applyBorder="1"/>
    <xf numFmtId="0" fontId="2" fillId="0" borderId="11" xfId="0" applyFont="1" applyBorder="1"/>
    <xf numFmtId="0" fontId="10" fillId="0" borderId="0" xfId="0" applyFont="1"/>
    <xf numFmtId="0" fontId="11" fillId="0" borderId="2" xfId="0" applyFont="1" applyBorder="1"/>
    <xf numFmtId="0" fontId="0" fillId="0" borderId="3" xfId="0" applyBorder="1"/>
    <xf numFmtId="0" fontId="12" fillId="0" borderId="4" xfId="0" applyFont="1" applyBorder="1"/>
    <xf numFmtId="10" fontId="12" fillId="0" borderId="5" xfId="0" applyNumberFormat="1" applyFont="1" applyBorder="1"/>
    <xf numFmtId="0" fontId="12" fillId="0" borderId="6" xfId="0" applyFont="1" applyBorder="1"/>
    <xf numFmtId="10" fontId="12" fillId="0" borderId="7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3" fontId="1" fillId="0" borderId="1" xfId="0" applyNumberFormat="1" applyFont="1" applyBorder="1" applyAlignment="1">
      <alignment horizontal="center" vertical="center"/>
    </xf>
    <xf numFmtId="0" fontId="0" fillId="2" borderId="0" xfId="0" applyFill="1"/>
    <xf numFmtId="10" fontId="0" fillId="2" borderId="0" xfId="0" applyNumberFormat="1" applyFill="1"/>
    <xf numFmtId="3" fontId="0" fillId="2" borderId="0" xfId="0" applyNumberFormat="1" applyFill="1"/>
    <xf numFmtId="0" fontId="0" fillId="0" borderId="1" xfId="0" applyBorder="1"/>
    <xf numFmtId="0" fontId="0" fillId="2" borderId="15" xfId="0" applyFill="1" applyBorder="1"/>
    <xf numFmtId="0" fontId="0" fillId="0" borderId="16" xfId="0" applyBorder="1"/>
    <xf numFmtId="169" fontId="0" fillId="2" borderId="15" xfId="0" applyNumberFormat="1" applyFill="1" applyBorder="1"/>
    <xf numFmtId="0" fontId="0" fillId="0" borderId="17" xfId="0" applyBorder="1"/>
    <xf numFmtId="0" fontId="0" fillId="2" borderId="18" xfId="0" applyFill="1" applyBorder="1"/>
    <xf numFmtId="0" fontId="0" fillId="0" borderId="14" xfId="0" applyBorder="1"/>
    <xf numFmtId="0" fontId="13" fillId="0" borderId="0" xfId="0" applyFont="1"/>
    <xf numFmtId="169" fontId="0" fillId="0" borderId="0" xfId="0" applyNumberFormat="1"/>
    <xf numFmtId="0" fontId="1" fillId="0" borderId="1" xfId="3" applyFont="1" applyAlignment="1">
      <alignment horizontal="left" vertical="top"/>
    </xf>
    <xf numFmtId="0" fontId="14" fillId="0" borderId="0" xfId="4" applyBorder="1"/>
    <xf numFmtId="0" fontId="14" fillId="0" borderId="19" xfId="4" applyBorder="1"/>
    <xf numFmtId="170" fontId="14" fillId="0" borderId="0" xfId="4" applyNumberFormat="1" applyBorder="1"/>
    <xf numFmtId="0" fontId="14" fillId="0" borderId="20" xfId="4" applyBorder="1"/>
    <xf numFmtId="170" fontId="0" fillId="0" borderId="0" xfId="5" applyNumberFormat="1" applyFont="1" applyBorder="1"/>
    <xf numFmtId="0" fontId="14" fillId="0" borderId="21" xfId="4" applyBorder="1"/>
    <xf numFmtId="43" fontId="0" fillId="0" borderId="0" xfId="5" applyFont="1" applyBorder="1"/>
    <xf numFmtId="2" fontId="14" fillId="0" borderId="0" xfId="4" applyNumberFormat="1" applyBorder="1"/>
    <xf numFmtId="171" fontId="0" fillId="0" borderId="0" xfId="6" applyNumberFormat="1" applyFont="1" applyBorder="1"/>
    <xf numFmtId="171" fontId="15" fillId="0" borderId="0" xfId="4" applyNumberFormat="1" applyFont="1" applyBorder="1"/>
    <xf numFmtId="0" fontId="14" fillId="0" borderId="1" xfId="4"/>
    <xf numFmtId="171" fontId="14" fillId="0" borderId="0" xfId="4" applyNumberFormat="1" applyBorder="1"/>
    <xf numFmtId="44" fontId="14" fillId="0" borderId="0" xfId="4" applyNumberFormat="1" applyBorder="1"/>
    <xf numFmtId="0" fontId="16" fillId="0" borderId="22" xfId="4" applyFont="1" applyBorder="1"/>
    <xf numFmtId="0" fontId="16" fillId="0" borderId="23" xfId="4" applyFont="1" applyBorder="1"/>
    <xf numFmtId="0" fontId="17" fillId="0" borderId="23" xfId="4" applyFont="1" applyBorder="1"/>
    <xf numFmtId="0" fontId="16" fillId="0" borderId="24" xfId="4" applyFont="1" applyBorder="1"/>
    <xf numFmtId="0" fontId="17" fillId="0" borderId="25" xfId="4" applyFont="1" applyBorder="1"/>
    <xf numFmtId="170" fontId="17" fillId="0" borderId="1" xfId="4" applyNumberFormat="1" applyFont="1"/>
    <xf numFmtId="0" fontId="17" fillId="0" borderId="1" xfId="4" applyFont="1"/>
    <xf numFmtId="0" fontId="17" fillId="0" borderId="26" xfId="4" applyFont="1" applyBorder="1"/>
    <xf numFmtId="170" fontId="17" fillId="0" borderId="1" xfId="5" applyNumberFormat="1" applyFont="1" applyBorder="1"/>
    <xf numFmtId="0" fontId="17" fillId="0" borderId="27" xfId="4" applyFont="1" applyBorder="1"/>
    <xf numFmtId="43" fontId="0" fillId="0" borderId="1" xfId="5" applyFont="1"/>
    <xf numFmtId="2" fontId="17" fillId="0" borderId="1" xfId="4" applyNumberFormat="1" applyFont="1"/>
    <xf numFmtId="0" fontId="17" fillId="0" borderId="28" xfId="4" applyFont="1" applyBorder="1"/>
    <xf numFmtId="0" fontId="16" fillId="0" borderId="16" xfId="4" applyFont="1" applyBorder="1"/>
    <xf numFmtId="171" fontId="16" fillId="0" borderId="29" xfId="6" applyNumberFormat="1" applyFont="1" applyBorder="1"/>
    <xf numFmtId="171" fontId="16" fillId="0" borderId="15" xfId="4" applyNumberFormat="1" applyFont="1" applyBorder="1"/>
    <xf numFmtId="171" fontId="17" fillId="0" borderId="1" xfId="6" applyNumberFormat="1" applyFont="1" applyBorder="1"/>
    <xf numFmtId="0" fontId="17" fillId="0" borderId="18" xfId="4" applyFont="1" applyBorder="1"/>
    <xf numFmtId="171" fontId="16" fillId="0" borderId="30" xfId="4" applyNumberFormat="1" applyFont="1" applyBorder="1"/>
    <xf numFmtId="0" fontId="17" fillId="0" borderId="31" xfId="4" applyFont="1" applyBorder="1"/>
    <xf numFmtId="0" fontId="17" fillId="0" borderId="32" xfId="4" applyFont="1" applyBorder="1"/>
  </cellXfs>
  <cellStyles count="7">
    <cellStyle name="Comma" xfId="1" builtinId="3"/>
    <cellStyle name="Comma 2" xfId="5" xr:uid="{8BA5F2C5-E523-DD4B-BFAD-7AD0A6C7A371}"/>
    <cellStyle name="Currency" xfId="2" builtinId="4"/>
    <cellStyle name="Currency 2" xfId="6" xr:uid="{EC8BA2F4-90A7-124C-89E1-2C094E14A0F2}"/>
    <cellStyle name="Normal" xfId="0" builtinId="0"/>
    <cellStyle name="Normal 2" xfId="3" xr:uid="{C35E0A6A-2E15-D149-B82E-8A1593F6B718}"/>
    <cellStyle name="Normal 3" xfId="4" xr:uid="{8F82A0E6-B52A-A24C-8BDF-EE5CCCF0C765}"/>
  </cellStyles>
  <dxfs count="8"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numFmt numFmtId="165" formatCode="&quot;$&quot;#,##0.00;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numFmt numFmtId="165" formatCode="&quot;$&quot;#,##0.00;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numFmt numFmtId="19" formatCode="m/d/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2443615</xdr:colOff>
      <xdr:row>49</xdr:row>
      <xdr:rowOff>180762</xdr:rowOff>
    </xdr:from>
    <xdr:to>
      <xdr:col>6</xdr:col>
      <xdr:colOff>341447</xdr:colOff>
      <xdr:row>64</xdr:row>
      <xdr:rowOff>136566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85591-8892-DC34-66FD-52C755384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4490" y="6999075"/>
          <a:ext cx="5494020" cy="28133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18681</xdr:rowOff>
    </xdr:from>
    <xdr:to>
      <xdr:col>1</xdr:col>
      <xdr:colOff>2303145</xdr:colOff>
      <xdr:row>64</xdr:row>
      <xdr:rowOff>164985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DED919-1ED4-C8AB-D5CB-06329C453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27494"/>
          <a:ext cx="5494020" cy="2813304"/>
        </a:xfrm>
        <a:prstGeom prst="rect">
          <a:avLst/>
        </a:prstGeom>
      </xdr:spPr>
    </xdr:pic>
    <xdr:clientData/>
  </xdr:twoCellAnchor>
  <xdr:twoCellAnchor>
    <xdr:from>
      <xdr:col>0</xdr:col>
      <xdr:colOff>79537</xdr:colOff>
      <xdr:row>48</xdr:row>
      <xdr:rowOff>0</xdr:rowOff>
    </xdr:from>
    <xdr:to>
      <xdr:col>1</xdr:col>
      <xdr:colOff>179486</xdr:colOff>
      <xdr:row>50</xdr:row>
      <xdr:rowOff>172998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AC248BC-4F45-42E2-2B93-D1421F570E75}"/>
            </a:ext>
          </a:extLst>
        </xdr:cNvPr>
        <xdr:cNvSpPr/>
      </xdr:nvSpPr>
      <xdr:spPr>
        <a:xfrm>
          <a:off x="79537" y="6627813"/>
          <a:ext cx="3290824" cy="553998"/>
        </a:xfrm>
        <a:prstGeom prst="rect">
          <a:avLst/>
        </a:prstGeom>
      </xdr:spPr>
      <xdr:txBody>
        <a:bodyPr wrap="square" lIns="0" tIns="0" rIns="0" bIns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Aft>
              <a:spcPts val="300"/>
            </a:spcAft>
          </a:pPr>
          <a:r>
            <a:rPr lang="en-US" sz="1050">
              <a:solidFill>
                <a:srgbClr val="002060"/>
              </a:solidFill>
              <a:latin typeface="Roboto Medium" panose="02000000000000000000" pitchFamily="2" charset="0"/>
              <a:ea typeface="Roboto Medium" panose="02000000000000000000" pitchFamily="2" charset="0"/>
            </a:rPr>
            <a:t>Domestic day vs. overnight visitors in Anaheim</a:t>
          </a:r>
        </a:p>
        <a:p>
          <a:pPr>
            <a:spcAft>
              <a:spcPts val="300"/>
            </a:spcAft>
          </a:pPr>
          <a:r>
            <a:rPr lang="en-US" sz="1000">
              <a:solidFill>
                <a:schemeClr val="bg2">
                  <a:lumMod val="2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</a:rPr>
            <a:t>(Millions)</a:t>
          </a:r>
        </a:p>
        <a:p>
          <a:pPr marL="287338">
            <a:spcAft>
              <a:spcPts val="300"/>
            </a:spcAft>
          </a:pPr>
          <a:endParaRPr lang="en-US" sz="1050">
            <a:solidFill>
              <a:schemeClr val="bg2">
                <a:lumMod val="25000"/>
              </a:schemeClr>
            </a:solidFill>
            <a:latin typeface="Roboto Light" panose="02000000000000000000" pitchFamily="2" charset="0"/>
            <a:ea typeface="PT Sans" panose="020B0503020203020204" pitchFamily="34" charset="0"/>
          </a:endParaRPr>
        </a:p>
      </xdr:txBody>
    </xdr:sp>
    <xdr:clientData/>
  </xdr:twoCellAnchor>
  <xdr:twoCellAnchor>
    <xdr:from>
      <xdr:col>1</xdr:col>
      <xdr:colOff>2438535</xdr:colOff>
      <xdr:row>48</xdr:row>
      <xdr:rowOff>0</xdr:rowOff>
    </xdr:from>
    <xdr:to>
      <xdr:col>6</xdr:col>
      <xdr:colOff>499042</xdr:colOff>
      <xdr:row>51</xdr:row>
      <xdr:rowOff>7698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FDBFFA7-D9E9-1D56-1AC0-A758D8B14F49}"/>
            </a:ext>
          </a:extLst>
        </xdr:cNvPr>
        <xdr:cNvSpPr/>
      </xdr:nvSpPr>
      <xdr:spPr>
        <a:xfrm>
          <a:off x="5629410" y="6627813"/>
          <a:ext cx="4878820" cy="579198"/>
        </a:xfrm>
        <a:prstGeom prst="rect">
          <a:avLst/>
        </a:prstGeom>
      </xdr:spPr>
      <xdr:txBody>
        <a:bodyPr wrap="square" lIns="0" tIns="0" rIns="0" bIns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Aft>
              <a:spcPts val="300"/>
            </a:spcAft>
          </a:pPr>
          <a:r>
            <a:rPr lang="en-US" sz="1050">
              <a:solidFill>
                <a:srgbClr val="002060"/>
              </a:solidFill>
              <a:latin typeface="Roboto Medium" panose="02000000000000000000" pitchFamily="2" charset="0"/>
              <a:ea typeface="Roboto Medium" panose="02000000000000000000" pitchFamily="2" charset="0"/>
            </a:rPr>
            <a:t>Percentage change in visitors to Anaheim</a:t>
          </a:r>
        </a:p>
        <a:p>
          <a:pPr>
            <a:spcAft>
              <a:spcPts val="300"/>
            </a:spcAft>
          </a:pPr>
          <a:r>
            <a:rPr lang="en-US" sz="1000">
              <a:solidFill>
                <a:schemeClr val="bg2">
                  <a:lumMod val="25000"/>
                </a:schemeClr>
              </a:solidFill>
              <a:latin typeface="Roboto Light" panose="02000000000000000000" pitchFamily="2" charset="0"/>
              <a:ea typeface="Roboto Light" panose="02000000000000000000" pitchFamily="2" charset="0"/>
            </a:rPr>
            <a:t>(Year-on-year % change)</a:t>
          </a:r>
          <a:endParaRPr lang="en-US" sz="1000">
            <a:solidFill>
              <a:schemeClr val="bg2">
                <a:lumMod val="25000"/>
              </a:schemeClr>
            </a:solidFill>
            <a:latin typeface="Roboto Light" panose="02000000000000000000" pitchFamily="2" charset="0"/>
            <a:ea typeface="PT Sans" panose="020B0503020203020204" pitchFamily="34" charset="0"/>
          </a:endParaRPr>
        </a:p>
        <a:p>
          <a:pPr>
            <a:lnSpc>
              <a:spcPct val="120000"/>
            </a:lnSpc>
            <a:spcAft>
              <a:spcPts val="600"/>
            </a:spcAft>
          </a:pPr>
          <a:endParaRPr lang="en-US" sz="1050">
            <a:solidFill>
              <a:schemeClr val="bg2">
                <a:lumMod val="25000"/>
              </a:schemeClr>
            </a:solidFill>
            <a:latin typeface="Roboto Light" panose="02000000000000000000" pitchFamily="2" charset="0"/>
            <a:ea typeface="PT Sans" panose="020B0503020203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6F442-1758-1A45-B57A-5D25065A13AF}" name="Master" displayName="Master" ref="A2:G916" totalsRowShown="0" headerRowDxfId="7">
  <autoFilter ref="A2:G916" xr:uid="{DD86F442-1758-1A45-B57A-5D25065A13AF}">
    <filterColumn colId="0">
      <filters>
        <dateGroupItem year="2025" month="6" dateTimeGrouping="month"/>
      </filters>
    </filterColumn>
  </autoFilter>
  <tableColumns count="7">
    <tableColumn id="1" xr3:uid="{EAED62AB-F9CC-4640-BA91-5C258CA5C08F}" name="Date" dataDxfId="6"/>
    <tableColumn id="2" xr3:uid="{ED98B82E-FF0A-A845-AC24-EE496A16C00A}" name="Day Of Week Category" dataDxfId="5"/>
    <tableColumn id="3" xr3:uid="{39634E6F-5659-954D-A747-77C395DC9330}" name="Geography" dataDxfId="4"/>
    <tableColumn id="4" xr3:uid="{1B73B268-7946-5E41-A785-C60C2EA1200E}" name="Occupancy" dataDxfId="3"/>
    <tableColumn id="5" xr3:uid="{7188DB44-275F-3C45-9B8D-14ED31F0BD2C}" name="ADR" dataDxfId="2"/>
    <tableColumn id="7" xr3:uid="{68CAB91C-4225-CB47-A3DF-3988CBDD9363}" name="RevPAR" dataDxfId="1"/>
    <tableColumn id="6" xr3:uid="{FE9E6F2C-F37E-EB43-A5B6-C60CA16973B0}" name="Definite Room Nigh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2"/>
  <sheetViews>
    <sheetView workbookViewId="0">
      <selection sqref="A1:E1048576"/>
    </sheetView>
  </sheetViews>
  <sheetFormatPr baseColWidth="10" defaultColWidth="8.83203125" defaultRowHeight="15" x14ac:dyDescent="0.2"/>
  <cols>
    <col min="1" max="1" width="34.6640625" bestFit="1" customWidth="1"/>
  </cols>
  <sheetData>
    <row r="1" spans="1:9" x14ac:dyDescent="0.2">
      <c r="A1" s="77" t="s">
        <v>0</v>
      </c>
      <c r="B1" s="77" t="s">
        <v>1</v>
      </c>
      <c r="C1" s="77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</row>
    <row r="2" spans="1:9" x14ac:dyDescent="0.2">
      <c r="A2" s="79" t="s">
        <v>9</v>
      </c>
      <c r="B2" s="79" t="s">
        <v>10</v>
      </c>
      <c r="C2" s="79" t="s">
        <v>11</v>
      </c>
      <c r="D2" s="9">
        <v>0.64529999999999998</v>
      </c>
      <c r="E2" s="8">
        <v>250.24392341800001</v>
      </c>
      <c r="F2" s="8">
        <v>161.48325853899999</v>
      </c>
      <c r="G2" s="80">
        <v>22016</v>
      </c>
      <c r="H2" s="80">
        <v>14207</v>
      </c>
      <c r="I2" s="1">
        <v>3555215.42</v>
      </c>
    </row>
    <row r="3" spans="1:9" x14ac:dyDescent="0.2">
      <c r="A3" s="79" t="s">
        <v>12</v>
      </c>
      <c r="B3" s="79" t="s">
        <v>13</v>
      </c>
      <c r="C3" s="79" t="s">
        <v>11</v>
      </c>
      <c r="D3" s="9">
        <v>0.6734</v>
      </c>
      <c r="E3" s="8">
        <v>240.47808174799999</v>
      </c>
      <c r="F3" s="8">
        <v>161.94258902600001</v>
      </c>
      <c r="G3" s="80">
        <v>22016</v>
      </c>
      <c r="H3" s="80">
        <v>14826</v>
      </c>
      <c r="I3" s="1">
        <v>3565328.04</v>
      </c>
    </row>
    <row r="4" spans="1:9" x14ac:dyDescent="0.2">
      <c r="A4" s="79" t="s">
        <v>14</v>
      </c>
      <c r="B4" s="79" t="s">
        <v>15</v>
      </c>
      <c r="C4" s="79" t="s">
        <v>11</v>
      </c>
      <c r="D4" s="9">
        <v>0.745</v>
      </c>
      <c r="E4" s="8">
        <v>246.24247698600001</v>
      </c>
      <c r="F4" s="8">
        <v>183.46272483600001</v>
      </c>
      <c r="G4" s="80">
        <v>22016</v>
      </c>
      <c r="H4" s="80">
        <v>16403</v>
      </c>
      <c r="I4" s="1">
        <v>4039115.35</v>
      </c>
    </row>
    <row r="5" spans="1:9" x14ac:dyDescent="0.2">
      <c r="A5" s="79" t="s">
        <v>16</v>
      </c>
      <c r="B5" s="79" t="s">
        <v>17</v>
      </c>
      <c r="C5" s="79" t="s">
        <v>11</v>
      </c>
      <c r="D5" s="9">
        <v>0.79490000000000005</v>
      </c>
      <c r="E5" s="8">
        <v>236.719022857</v>
      </c>
      <c r="F5" s="8">
        <v>188.162377362</v>
      </c>
      <c r="G5" s="80">
        <v>22016</v>
      </c>
      <c r="H5" s="80">
        <v>17500</v>
      </c>
      <c r="I5" s="1">
        <v>4142582.9</v>
      </c>
    </row>
    <row r="6" spans="1:9" x14ac:dyDescent="0.2">
      <c r="A6" s="79" t="s">
        <v>18</v>
      </c>
      <c r="B6" s="79" t="s">
        <v>19</v>
      </c>
      <c r="C6" s="79" t="s">
        <v>11</v>
      </c>
      <c r="D6" s="9">
        <v>0.79149999999999998</v>
      </c>
      <c r="E6" s="8">
        <v>234.90266555700001</v>
      </c>
      <c r="F6" s="8">
        <v>185.92904478599999</v>
      </c>
      <c r="G6" s="80">
        <v>22016</v>
      </c>
      <c r="H6" s="80">
        <v>17426</v>
      </c>
      <c r="I6" s="1">
        <v>4093413.85</v>
      </c>
    </row>
    <row r="7" spans="1:9" x14ac:dyDescent="0.2">
      <c r="A7" s="79" t="s">
        <v>20</v>
      </c>
      <c r="B7" s="79" t="s">
        <v>21</v>
      </c>
      <c r="C7" s="79" t="s">
        <v>11</v>
      </c>
      <c r="D7" s="9">
        <v>0.80830000000000002</v>
      </c>
      <c r="E7" s="8">
        <v>223.847288002</v>
      </c>
      <c r="F7" s="8">
        <v>180.93034565799999</v>
      </c>
      <c r="G7" s="80">
        <v>22016</v>
      </c>
      <c r="H7" s="80">
        <v>17795</v>
      </c>
      <c r="I7" s="1">
        <v>3983362.49</v>
      </c>
    </row>
    <row r="8" spans="1:9" x14ac:dyDescent="0.2">
      <c r="A8" s="79" t="s">
        <v>22</v>
      </c>
      <c r="B8" s="79" t="s">
        <v>23</v>
      </c>
      <c r="C8" s="79" t="s">
        <v>11</v>
      </c>
      <c r="D8" s="9">
        <v>0.57330000000000003</v>
      </c>
      <c r="E8" s="8">
        <v>208.20205197300001</v>
      </c>
      <c r="F8" s="8">
        <v>119.364384993</v>
      </c>
      <c r="G8" s="80">
        <v>22016</v>
      </c>
      <c r="H8" s="80">
        <v>12622</v>
      </c>
      <c r="I8" s="1">
        <v>2627926.2999999998</v>
      </c>
    </row>
    <row r="9" spans="1:9" x14ac:dyDescent="0.2">
      <c r="A9" s="79" t="s">
        <v>24</v>
      </c>
      <c r="B9" s="79" t="s">
        <v>10</v>
      </c>
      <c r="C9" s="79" t="s">
        <v>11</v>
      </c>
      <c r="D9" s="9">
        <v>0.57469999999999999</v>
      </c>
      <c r="E9" s="8">
        <v>201.09713642099999</v>
      </c>
      <c r="F9" s="8">
        <v>115.565087664</v>
      </c>
      <c r="G9" s="80">
        <v>22016</v>
      </c>
      <c r="H9" s="80">
        <v>12652</v>
      </c>
      <c r="I9" s="1">
        <v>2544280.9700000002</v>
      </c>
    </row>
    <row r="10" spans="1:9" x14ac:dyDescent="0.2">
      <c r="A10" s="79" t="s">
        <v>25</v>
      </c>
      <c r="B10" s="79" t="s">
        <v>13</v>
      </c>
      <c r="C10" s="79" t="s">
        <v>11</v>
      </c>
      <c r="D10" s="9">
        <v>0.60950000000000004</v>
      </c>
      <c r="E10" s="8">
        <v>200.40852671600001</v>
      </c>
      <c r="F10" s="8">
        <v>122.151254542</v>
      </c>
      <c r="G10" s="80">
        <v>22016</v>
      </c>
      <c r="H10" s="80">
        <v>13419</v>
      </c>
      <c r="I10" s="1">
        <v>2689282.02</v>
      </c>
    </row>
    <row r="11" spans="1:9" x14ac:dyDescent="0.2">
      <c r="A11" s="79" t="s">
        <v>26</v>
      </c>
      <c r="B11" s="79" t="s">
        <v>15</v>
      </c>
      <c r="C11" s="79" t="s">
        <v>11</v>
      </c>
      <c r="D11" s="9">
        <v>0.60899999999999999</v>
      </c>
      <c r="E11" s="8">
        <v>216.06418929</v>
      </c>
      <c r="F11" s="8">
        <v>131.585603652</v>
      </c>
      <c r="G11" s="80">
        <v>22016</v>
      </c>
      <c r="H11" s="80">
        <v>13408</v>
      </c>
      <c r="I11" s="1">
        <v>2896988.65</v>
      </c>
    </row>
    <row r="12" spans="1:9" x14ac:dyDescent="0.2">
      <c r="A12" s="79" t="s">
        <v>27</v>
      </c>
      <c r="B12" s="79" t="s">
        <v>17</v>
      </c>
      <c r="C12" s="79" t="s">
        <v>11</v>
      </c>
      <c r="D12" s="9">
        <v>0.73309999999999997</v>
      </c>
      <c r="E12" s="8">
        <v>248.06928248299999</v>
      </c>
      <c r="F12" s="8">
        <v>181.849116552</v>
      </c>
      <c r="G12" s="80">
        <v>22016</v>
      </c>
      <c r="H12" s="80">
        <v>16139</v>
      </c>
      <c r="I12" s="1">
        <v>4003590.15</v>
      </c>
    </row>
    <row r="13" spans="1:9" x14ac:dyDescent="0.2">
      <c r="A13" s="79" t="s">
        <v>28</v>
      </c>
      <c r="B13" s="79" t="s">
        <v>19</v>
      </c>
      <c r="C13" s="79" t="s">
        <v>11</v>
      </c>
      <c r="D13" s="9">
        <v>0.85409999999999997</v>
      </c>
      <c r="E13" s="8">
        <v>282.33506860199998</v>
      </c>
      <c r="F13" s="8">
        <v>241.14410565</v>
      </c>
      <c r="G13" s="80">
        <v>22016</v>
      </c>
      <c r="H13" s="80">
        <v>18804</v>
      </c>
      <c r="I13" s="1">
        <v>5309028.63</v>
      </c>
    </row>
    <row r="14" spans="1:9" x14ac:dyDescent="0.2">
      <c r="A14" s="79" t="s">
        <v>29</v>
      </c>
      <c r="B14" s="79" t="s">
        <v>21</v>
      </c>
      <c r="C14" s="79" t="s">
        <v>11</v>
      </c>
      <c r="D14" s="9">
        <v>0.86899999999999999</v>
      </c>
      <c r="E14" s="8">
        <v>283.85735664600003</v>
      </c>
      <c r="F14" s="8">
        <v>246.660387445</v>
      </c>
      <c r="G14" s="80">
        <v>22016</v>
      </c>
      <c r="H14" s="80">
        <v>19131</v>
      </c>
      <c r="I14" s="1">
        <v>5430475.0899999999</v>
      </c>
    </row>
    <row r="15" spans="1:9" x14ac:dyDescent="0.2">
      <c r="A15" s="79" t="s">
        <v>30</v>
      </c>
      <c r="B15" s="79" t="s">
        <v>23</v>
      </c>
      <c r="C15" s="79" t="s">
        <v>11</v>
      </c>
      <c r="D15" s="9">
        <v>0.65469999999999995</v>
      </c>
      <c r="E15" s="8">
        <v>246.00683155300001</v>
      </c>
      <c r="F15" s="8">
        <v>161.062067133</v>
      </c>
      <c r="G15" s="80">
        <v>22016</v>
      </c>
      <c r="H15" s="80">
        <v>14414</v>
      </c>
      <c r="I15" s="1">
        <v>3545942.47</v>
      </c>
    </row>
    <row r="16" spans="1:9" x14ac:dyDescent="0.2">
      <c r="A16" s="79" t="s">
        <v>31</v>
      </c>
      <c r="B16" s="79" t="s">
        <v>10</v>
      </c>
      <c r="C16" s="79" t="s">
        <v>11</v>
      </c>
      <c r="D16" s="9">
        <v>0.46310000000000001</v>
      </c>
      <c r="E16" s="8">
        <v>195.83813848599999</v>
      </c>
      <c r="F16" s="8">
        <v>90.696114644000005</v>
      </c>
      <c r="G16" s="80">
        <v>22016</v>
      </c>
      <c r="H16" s="80">
        <v>10196</v>
      </c>
      <c r="I16" s="1">
        <v>1996765.66</v>
      </c>
    </row>
    <row r="17" spans="1:9" x14ac:dyDescent="0.2">
      <c r="A17" s="79" t="s">
        <v>32</v>
      </c>
      <c r="B17" s="79" t="s">
        <v>13</v>
      </c>
      <c r="C17" s="79" t="s">
        <v>11</v>
      </c>
      <c r="D17" s="9">
        <v>0.47960000000000003</v>
      </c>
      <c r="E17" s="8">
        <v>189.21434836099999</v>
      </c>
      <c r="F17" s="8">
        <v>90.739693404999997</v>
      </c>
      <c r="G17" s="80">
        <v>22016</v>
      </c>
      <c r="H17" s="80">
        <v>10558</v>
      </c>
      <c r="I17" s="1">
        <v>1997725.09</v>
      </c>
    </row>
    <row r="18" spans="1:9" x14ac:dyDescent="0.2">
      <c r="A18" s="79" t="s">
        <v>33</v>
      </c>
      <c r="B18" s="79" t="s">
        <v>15</v>
      </c>
      <c r="C18" s="79" t="s">
        <v>11</v>
      </c>
      <c r="D18" s="9">
        <v>0.53200000000000003</v>
      </c>
      <c r="E18" s="8">
        <v>199.08848800499999</v>
      </c>
      <c r="F18" s="8">
        <v>105.919488554</v>
      </c>
      <c r="G18" s="80">
        <v>22016</v>
      </c>
      <c r="H18" s="80">
        <v>11713</v>
      </c>
      <c r="I18" s="1">
        <v>2331923.46</v>
      </c>
    </row>
    <row r="19" spans="1:9" x14ac:dyDescent="0.2">
      <c r="A19" s="79" t="s">
        <v>34</v>
      </c>
      <c r="B19" s="79" t="s">
        <v>17</v>
      </c>
      <c r="C19" s="79" t="s">
        <v>11</v>
      </c>
      <c r="D19" s="9">
        <v>0.58989999999999998</v>
      </c>
      <c r="E19" s="8">
        <v>199.41719411700001</v>
      </c>
      <c r="F19" s="8">
        <v>117.63404342299999</v>
      </c>
      <c r="G19" s="80">
        <v>22016</v>
      </c>
      <c r="H19" s="80">
        <v>12987</v>
      </c>
      <c r="I19" s="1">
        <v>2589831.1</v>
      </c>
    </row>
    <row r="20" spans="1:9" x14ac:dyDescent="0.2">
      <c r="A20" s="79" t="s">
        <v>35</v>
      </c>
      <c r="B20" s="79" t="s">
        <v>19</v>
      </c>
      <c r="C20" s="79" t="s">
        <v>11</v>
      </c>
      <c r="D20" s="9">
        <v>0.62719999999999998</v>
      </c>
      <c r="E20" s="8">
        <v>204.78708140200001</v>
      </c>
      <c r="F20" s="8">
        <v>128.438409339</v>
      </c>
      <c r="G20" s="80">
        <v>22016</v>
      </c>
      <c r="H20" s="80">
        <v>13808</v>
      </c>
      <c r="I20" s="1">
        <v>2827700.02</v>
      </c>
    </row>
    <row r="21" spans="1:9" x14ac:dyDescent="0.2">
      <c r="A21" s="79" t="s">
        <v>36</v>
      </c>
      <c r="B21" s="79" t="s">
        <v>21</v>
      </c>
      <c r="C21" s="79" t="s">
        <v>11</v>
      </c>
      <c r="D21" s="9">
        <v>0.64219999999999999</v>
      </c>
      <c r="E21" s="8">
        <v>200.73029987999999</v>
      </c>
      <c r="F21" s="8">
        <v>128.911959938</v>
      </c>
      <c r="G21" s="80">
        <v>22016</v>
      </c>
      <c r="H21" s="80">
        <v>14139</v>
      </c>
      <c r="I21" s="1">
        <v>2838125.71</v>
      </c>
    </row>
    <row r="22" spans="1:9" x14ac:dyDescent="0.2">
      <c r="A22" s="79" t="s">
        <v>37</v>
      </c>
      <c r="B22" s="79" t="s">
        <v>23</v>
      </c>
      <c r="C22" s="79" t="s">
        <v>11</v>
      </c>
      <c r="D22" s="9">
        <v>0.50209999999999999</v>
      </c>
      <c r="E22" s="8">
        <v>197.47723991300001</v>
      </c>
      <c r="F22" s="8">
        <v>99.151226835000003</v>
      </c>
      <c r="G22" s="80">
        <v>22016</v>
      </c>
      <c r="H22" s="80">
        <v>11054</v>
      </c>
      <c r="I22" s="1">
        <v>2182913.41</v>
      </c>
    </row>
    <row r="23" spans="1:9" x14ac:dyDescent="0.2">
      <c r="A23" s="79" t="s">
        <v>38</v>
      </c>
      <c r="B23" s="79" t="s">
        <v>10</v>
      </c>
      <c r="C23" s="79" t="s">
        <v>11</v>
      </c>
      <c r="D23" s="9">
        <v>0.54820000000000002</v>
      </c>
      <c r="E23" s="8">
        <v>204.46023943700001</v>
      </c>
      <c r="F23" s="8">
        <v>112.092800236</v>
      </c>
      <c r="G23" s="80">
        <v>22016</v>
      </c>
      <c r="H23" s="80">
        <v>12070</v>
      </c>
      <c r="I23" s="1">
        <v>2467835.09</v>
      </c>
    </row>
    <row r="24" spans="1:9" x14ac:dyDescent="0.2">
      <c r="A24" s="79" t="s">
        <v>39</v>
      </c>
      <c r="B24" s="79" t="s">
        <v>13</v>
      </c>
      <c r="C24" s="79" t="s">
        <v>11</v>
      </c>
      <c r="D24" s="9">
        <v>0.63560000000000005</v>
      </c>
      <c r="E24" s="8">
        <v>219.42929469800001</v>
      </c>
      <c r="F24" s="8">
        <v>139.47554278699999</v>
      </c>
      <c r="G24" s="80">
        <v>22016</v>
      </c>
      <c r="H24" s="80">
        <v>13994</v>
      </c>
      <c r="I24" s="1">
        <v>3070693.55</v>
      </c>
    </row>
    <row r="25" spans="1:9" x14ac:dyDescent="0.2">
      <c r="A25" s="79" t="s">
        <v>40</v>
      </c>
      <c r="B25" s="79" t="s">
        <v>15</v>
      </c>
      <c r="C25" s="79" t="s">
        <v>11</v>
      </c>
      <c r="D25" s="9">
        <v>0.76690000000000003</v>
      </c>
      <c r="E25" s="8">
        <v>256.02598021799997</v>
      </c>
      <c r="F25" s="8">
        <v>196.34550554099999</v>
      </c>
      <c r="G25" s="80">
        <v>22016</v>
      </c>
      <c r="H25" s="80">
        <v>16884</v>
      </c>
      <c r="I25" s="1">
        <v>4322742.6500000004</v>
      </c>
    </row>
    <row r="26" spans="1:9" x14ac:dyDescent="0.2">
      <c r="A26" s="79" t="s">
        <v>41</v>
      </c>
      <c r="B26" s="79" t="s">
        <v>17</v>
      </c>
      <c r="C26" s="79" t="s">
        <v>11</v>
      </c>
      <c r="D26" s="9">
        <v>0.85850000000000004</v>
      </c>
      <c r="E26" s="8">
        <v>272.08567165800002</v>
      </c>
      <c r="F26" s="8">
        <v>233.588811773</v>
      </c>
      <c r="G26" s="80">
        <v>22016</v>
      </c>
      <c r="H26" s="80">
        <v>18901</v>
      </c>
      <c r="I26" s="1">
        <v>5142691.28</v>
      </c>
    </row>
    <row r="27" spans="1:9" x14ac:dyDescent="0.2">
      <c r="A27" s="79" t="s">
        <v>42</v>
      </c>
      <c r="B27" s="79" t="s">
        <v>19</v>
      </c>
      <c r="C27" s="79" t="s">
        <v>11</v>
      </c>
      <c r="D27" s="9">
        <v>0.89610000000000001</v>
      </c>
      <c r="E27" s="8">
        <v>272.00576743699997</v>
      </c>
      <c r="F27" s="8">
        <v>243.73772619900001</v>
      </c>
      <c r="G27" s="80">
        <v>22016</v>
      </c>
      <c r="H27" s="80">
        <v>19728</v>
      </c>
      <c r="I27" s="1">
        <v>5366129.78</v>
      </c>
    </row>
    <row r="28" spans="1:9" x14ac:dyDescent="0.2">
      <c r="A28" s="79" t="s">
        <v>43</v>
      </c>
      <c r="B28" s="79" t="s">
        <v>21</v>
      </c>
      <c r="C28" s="79" t="s">
        <v>11</v>
      </c>
      <c r="D28" s="9">
        <v>0.85099999999999998</v>
      </c>
      <c r="E28" s="8">
        <v>261.24726607999997</v>
      </c>
      <c r="F28" s="8">
        <v>222.31411382600001</v>
      </c>
      <c r="G28" s="80">
        <v>22016</v>
      </c>
      <c r="H28" s="80">
        <v>18735</v>
      </c>
      <c r="I28" s="1">
        <v>4894467.53</v>
      </c>
    </row>
    <row r="29" spans="1:9" x14ac:dyDescent="0.2">
      <c r="A29" s="79" t="s">
        <v>44</v>
      </c>
      <c r="B29" s="79" t="s">
        <v>23</v>
      </c>
      <c r="C29" s="79" t="s">
        <v>11</v>
      </c>
      <c r="D29" s="9">
        <v>0.59530000000000005</v>
      </c>
      <c r="E29" s="8">
        <v>208.45842514899999</v>
      </c>
      <c r="F29" s="8">
        <v>124.094118823</v>
      </c>
      <c r="G29" s="80">
        <v>22016</v>
      </c>
      <c r="H29" s="80">
        <v>13106</v>
      </c>
      <c r="I29" s="1">
        <v>2732056.12</v>
      </c>
    </row>
    <row r="30" spans="1:9" x14ac:dyDescent="0.2">
      <c r="A30" s="79" t="s">
        <v>45</v>
      </c>
      <c r="B30" s="79" t="s">
        <v>10</v>
      </c>
      <c r="C30" s="79" t="s">
        <v>11</v>
      </c>
      <c r="D30" s="9">
        <v>0.53839999999999999</v>
      </c>
      <c r="E30" s="8">
        <v>191.52189303200001</v>
      </c>
      <c r="F30" s="8">
        <v>103.12048146799999</v>
      </c>
      <c r="G30" s="80">
        <v>22016</v>
      </c>
      <c r="H30" s="80">
        <v>11854</v>
      </c>
      <c r="I30" s="1">
        <v>2270300.52</v>
      </c>
    </row>
    <row r="31" spans="1:9" x14ac:dyDescent="0.2">
      <c r="A31" s="79" t="s">
        <v>46</v>
      </c>
      <c r="B31" s="79" t="s">
        <v>13</v>
      </c>
      <c r="C31" s="79" t="s">
        <v>11</v>
      </c>
      <c r="D31" s="9">
        <v>0.59399999999999997</v>
      </c>
      <c r="E31" s="8">
        <v>190.75903418199999</v>
      </c>
      <c r="F31" s="8">
        <v>113.306499364</v>
      </c>
      <c r="G31" s="80">
        <v>22016</v>
      </c>
      <c r="H31" s="80">
        <v>13077</v>
      </c>
      <c r="I31" s="1">
        <v>2494555.89</v>
      </c>
    </row>
    <row r="32" spans="1:9" x14ac:dyDescent="0.2">
      <c r="A32" s="79" t="s">
        <v>47</v>
      </c>
      <c r="B32" s="79" t="s">
        <v>15</v>
      </c>
      <c r="C32" s="79" t="s">
        <v>11</v>
      </c>
      <c r="D32" s="9">
        <v>0.57499999999999996</v>
      </c>
      <c r="E32" s="8">
        <v>195.79101105800001</v>
      </c>
      <c r="F32" s="8">
        <v>112.58694585800001</v>
      </c>
      <c r="G32" s="80">
        <v>22016</v>
      </c>
      <c r="H32" s="80">
        <v>12660</v>
      </c>
      <c r="I32" s="1">
        <v>2478714.2000000002</v>
      </c>
    </row>
    <row r="33" spans="1:9" x14ac:dyDescent="0.2">
      <c r="A33" s="79" t="s">
        <v>48</v>
      </c>
      <c r="B33" s="79" t="s">
        <v>17</v>
      </c>
      <c r="C33" s="79" t="s">
        <v>11</v>
      </c>
      <c r="D33" s="9">
        <v>0.63460000000000005</v>
      </c>
      <c r="E33" s="8">
        <v>199.33784724700001</v>
      </c>
      <c r="F33" s="8">
        <v>126.49064179600001</v>
      </c>
      <c r="G33" s="80">
        <v>21954</v>
      </c>
      <c r="H33" s="80">
        <v>13931</v>
      </c>
      <c r="I33" s="1">
        <v>2776975.55</v>
      </c>
    </row>
    <row r="34" spans="1:9" x14ac:dyDescent="0.2">
      <c r="A34" s="79" t="s">
        <v>49</v>
      </c>
      <c r="B34" s="79" t="s">
        <v>19</v>
      </c>
      <c r="C34" s="79" t="s">
        <v>11</v>
      </c>
      <c r="D34" s="9">
        <v>0.67800000000000005</v>
      </c>
      <c r="E34" s="8">
        <v>205.721260414</v>
      </c>
      <c r="F34" s="8">
        <v>139.47140566600001</v>
      </c>
      <c r="G34" s="80">
        <v>21954</v>
      </c>
      <c r="H34" s="80">
        <v>14884</v>
      </c>
      <c r="I34" s="1">
        <v>3061955.24</v>
      </c>
    </row>
    <row r="35" spans="1:9" x14ac:dyDescent="0.2">
      <c r="A35" s="79" t="s">
        <v>50</v>
      </c>
      <c r="B35" s="79" t="s">
        <v>21</v>
      </c>
      <c r="C35" s="79" t="s">
        <v>11</v>
      </c>
      <c r="D35" s="9">
        <v>0.70289999999999997</v>
      </c>
      <c r="E35" s="8">
        <v>205.82080098500001</v>
      </c>
      <c r="F35" s="8">
        <v>144.667066594</v>
      </c>
      <c r="G35" s="80">
        <v>21954</v>
      </c>
      <c r="H35" s="80">
        <v>15431</v>
      </c>
      <c r="I35" s="1">
        <v>3176020.78</v>
      </c>
    </row>
    <row r="36" spans="1:9" x14ac:dyDescent="0.2">
      <c r="A36" s="79" t="s">
        <v>51</v>
      </c>
      <c r="B36" s="79" t="s">
        <v>23</v>
      </c>
      <c r="C36" s="79" t="s">
        <v>11</v>
      </c>
      <c r="D36" s="9">
        <v>0.59150000000000003</v>
      </c>
      <c r="E36" s="8">
        <v>207.91514362699999</v>
      </c>
      <c r="F36" s="8">
        <v>122.97431629800001</v>
      </c>
      <c r="G36" s="80">
        <v>21954</v>
      </c>
      <c r="H36" s="80">
        <v>12985</v>
      </c>
      <c r="I36" s="1">
        <v>2699778.14</v>
      </c>
    </row>
    <row r="37" spans="1:9" x14ac:dyDescent="0.2">
      <c r="A37" s="79" t="s">
        <v>52</v>
      </c>
      <c r="B37" s="79" t="s">
        <v>10</v>
      </c>
      <c r="C37" s="79" t="s">
        <v>11</v>
      </c>
      <c r="D37" s="9">
        <v>0.74780000000000002</v>
      </c>
      <c r="E37" s="8">
        <v>256.69339891599998</v>
      </c>
      <c r="F37" s="8">
        <v>191.95297121300001</v>
      </c>
      <c r="G37" s="80">
        <v>21954</v>
      </c>
      <c r="H37" s="80">
        <v>16417</v>
      </c>
      <c r="I37" s="1">
        <v>4214135.53</v>
      </c>
    </row>
    <row r="38" spans="1:9" x14ac:dyDescent="0.2">
      <c r="A38" s="79" t="s">
        <v>53</v>
      </c>
      <c r="B38" s="79" t="s">
        <v>13</v>
      </c>
      <c r="C38" s="79" t="s">
        <v>11</v>
      </c>
      <c r="D38" s="9">
        <v>0.83160000000000001</v>
      </c>
      <c r="E38" s="8">
        <v>268.65141487699998</v>
      </c>
      <c r="F38" s="8">
        <v>223.398935502</v>
      </c>
      <c r="G38" s="80">
        <v>21954</v>
      </c>
      <c r="H38" s="80">
        <v>18256</v>
      </c>
      <c r="I38" s="1">
        <v>4904500.2300000004</v>
      </c>
    </row>
    <row r="39" spans="1:9" x14ac:dyDescent="0.2">
      <c r="A39" s="79" t="s">
        <v>54</v>
      </c>
      <c r="B39" s="79" t="s">
        <v>15</v>
      </c>
      <c r="C39" s="79" t="s">
        <v>11</v>
      </c>
      <c r="D39" s="9">
        <v>0.78039999999999998</v>
      </c>
      <c r="E39" s="8">
        <v>263.43208848900002</v>
      </c>
      <c r="F39" s="8">
        <v>205.57158331100001</v>
      </c>
      <c r="G39" s="80">
        <v>21954</v>
      </c>
      <c r="H39" s="80">
        <v>17132</v>
      </c>
      <c r="I39" s="1">
        <v>4513118.54</v>
      </c>
    </row>
    <row r="40" spans="1:9" x14ac:dyDescent="0.2">
      <c r="A40" s="79" t="s">
        <v>55</v>
      </c>
      <c r="B40" s="79" t="s">
        <v>17</v>
      </c>
      <c r="C40" s="79" t="s">
        <v>11</v>
      </c>
      <c r="D40" s="9">
        <v>0.73750000000000004</v>
      </c>
      <c r="E40" s="8">
        <v>221.55410227900001</v>
      </c>
      <c r="F40" s="8">
        <v>163.39539354999999</v>
      </c>
      <c r="G40" s="80">
        <v>21954</v>
      </c>
      <c r="H40" s="80">
        <v>16191</v>
      </c>
      <c r="I40" s="1">
        <v>3587182.47</v>
      </c>
    </row>
    <row r="41" spans="1:9" x14ac:dyDescent="0.2">
      <c r="A41" s="79" t="s">
        <v>56</v>
      </c>
      <c r="B41" s="79" t="s">
        <v>19</v>
      </c>
      <c r="C41" s="79" t="s">
        <v>11</v>
      </c>
      <c r="D41" s="9">
        <v>0.72850000000000004</v>
      </c>
      <c r="E41" s="8">
        <v>215.50491184200001</v>
      </c>
      <c r="F41" s="8">
        <v>157.000344356</v>
      </c>
      <c r="G41" s="80">
        <v>21954</v>
      </c>
      <c r="H41" s="80">
        <v>15994</v>
      </c>
      <c r="I41" s="1">
        <v>3446785.56</v>
      </c>
    </row>
    <row r="42" spans="1:9" x14ac:dyDescent="0.2">
      <c r="A42" s="79" t="s">
        <v>57</v>
      </c>
      <c r="B42" s="79" t="s">
        <v>21</v>
      </c>
      <c r="C42" s="79" t="s">
        <v>11</v>
      </c>
      <c r="D42" s="9">
        <v>0.73199999999999998</v>
      </c>
      <c r="E42" s="8">
        <v>219.54774811799999</v>
      </c>
      <c r="F42" s="8">
        <v>160.715671859</v>
      </c>
      <c r="G42" s="80">
        <v>21954</v>
      </c>
      <c r="H42" s="80">
        <v>16071</v>
      </c>
      <c r="I42" s="1">
        <v>3528351.86</v>
      </c>
    </row>
    <row r="43" spans="1:9" x14ac:dyDescent="0.2">
      <c r="A43" s="79" t="s">
        <v>58</v>
      </c>
      <c r="B43" s="79" t="s">
        <v>23</v>
      </c>
      <c r="C43" s="79" t="s">
        <v>11</v>
      </c>
      <c r="D43" s="9">
        <v>0.63519999999999999</v>
      </c>
      <c r="E43" s="8">
        <v>208.06467551099999</v>
      </c>
      <c r="F43" s="8">
        <v>132.16096838799999</v>
      </c>
      <c r="G43" s="80">
        <v>21954</v>
      </c>
      <c r="H43" s="80">
        <v>13945</v>
      </c>
      <c r="I43" s="1">
        <v>2901461.9</v>
      </c>
    </row>
    <row r="44" spans="1:9" x14ac:dyDescent="0.2">
      <c r="A44" s="79" t="s">
        <v>59</v>
      </c>
      <c r="B44" s="79" t="s">
        <v>10</v>
      </c>
      <c r="C44" s="79" t="s">
        <v>11</v>
      </c>
      <c r="D44" s="9">
        <v>0.62129999999999996</v>
      </c>
      <c r="E44" s="8">
        <v>208.117858504</v>
      </c>
      <c r="F44" s="8">
        <v>129.303433998</v>
      </c>
      <c r="G44" s="80">
        <v>21954</v>
      </c>
      <c r="H44" s="80">
        <v>13640</v>
      </c>
      <c r="I44" s="1">
        <v>2838727.59</v>
      </c>
    </row>
    <row r="45" spans="1:9" x14ac:dyDescent="0.2">
      <c r="A45" s="79" t="s">
        <v>60</v>
      </c>
      <c r="B45" s="79" t="s">
        <v>13</v>
      </c>
      <c r="C45" s="79" t="s">
        <v>11</v>
      </c>
      <c r="D45" s="9">
        <v>0.5827</v>
      </c>
      <c r="E45" s="8">
        <v>208.48770812199999</v>
      </c>
      <c r="F45" s="8">
        <v>121.489626036</v>
      </c>
      <c r="G45" s="80">
        <v>21954</v>
      </c>
      <c r="H45" s="80">
        <v>12793</v>
      </c>
      <c r="I45" s="1">
        <v>2667183.25</v>
      </c>
    </row>
    <row r="46" spans="1:9" x14ac:dyDescent="0.2">
      <c r="A46" s="79" t="s">
        <v>61</v>
      </c>
      <c r="B46" s="79" t="s">
        <v>15</v>
      </c>
      <c r="C46" s="79" t="s">
        <v>11</v>
      </c>
      <c r="D46" s="9">
        <v>0.65810000000000002</v>
      </c>
      <c r="E46" s="8">
        <v>215.81862551</v>
      </c>
      <c r="F46" s="8">
        <v>142.04078163400001</v>
      </c>
      <c r="G46" s="80">
        <v>21954</v>
      </c>
      <c r="H46" s="80">
        <v>14449</v>
      </c>
      <c r="I46" s="1">
        <v>3118363.32</v>
      </c>
    </row>
    <row r="47" spans="1:9" x14ac:dyDescent="0.2">
      <c r="A47" s="79" t="s">
        <v>62</v>
      </c>
      <c r="B47" s="79" t="s">
        <v>17</v>
      </c>
      <c r="C47" s="79" t="s">
        <v>11</v>
      </c>
      <c r="D47" s="9">
        <v>0.82650000000000001</v>
      </c>
      <c r="E47" s="8">
        <v>262.00503223999999</v>
      </c>
      <c r="F47" s="8">
        <v>216.54738589799999</v>
      </c>
      <c r="G47" s="80">
        <v>21954</v>
      </c>
      <c r="H47" s="80">
        <v>18145</v>
      </c>
      <c r="I47" s="1">
        <v>4754081.3099999996</v>
      </c>
    </row>
    <row r="48" spans="1:9" x14ac:dyDescent="0.2">
      <c r="A48" s="79" t="s">
        <v>63</v>
      </c>
      <c r="B48" s="79" t="s">
        <v>19</v>
      </c>
      <c r="C48" s="79" t="s">
        <v>11</v>
      </c>
      <c r="D48" s="9">
        <v>0.93530000000000002</v>
      </c>
      <c r="E48" s="8">
        <v>293.81996688300001</v>
      </c>
      <c r="F48" s="8">
        <v>274.80210348899999</v>
      </c>
      <c r="G48" s="80">
        <v>21954</v>
      </c>
      <c r="H48" s="80">
        <v>20533</v>
      </c>
      <c r="I48" s="1">
        <v>6033005.3799999999</v>
      </c>
    </row>
    <row r="49" spans="1:9" x14ac:dyDescent="0.2">
      <c r="A49" s="79" t="s">
        <v>64</v>
      </c>
      <c r="B49" s="79" t="s">
        <v>21</v>
      </c>
      <c r="C49" s="79" t="s">
        <v>11</v>
      </c>
      <c r="D49" s="9">
        <v>0.95489999999999997</v>
      </c>
      <c r="E49" s="8">
        <v>299.53308004199999</v>
      </c>
      <c r="F49" s="8">
        <v>286.025849048</v>
      </c>
      <c r="G49" s="80">
        <v>21954</v>
      </c>
      <c r="H49" s="80">
        <v>20964</v>
      </c>
      <c r="I49" s="1">
        <v>6279411.4900000002</v>
      </c>
    </row>
    <row r="50" spans="1:9" x14ac:dyDescent="0.2">
      <c r="A50" s="79" t="s">
        <v>65</v>
      </c>
      <c r="B50" s="79" t="s">
        <v>23</v>
      </c>
      <c r="C50" s="79" t="s">
        <v>11</v>
      </c>
      <c r="D50" s="9">
        <v>0.78120000000000001</v>
      </c>
      <c r="E50" s="8">
        <v>269.26091720099998</v>
      </c>
      <c r="F50" s="8">
        <v>210.340927849</v>
      </c>
      <c r="G50" s="80">
        <v>21954</v>
      </c>
      <c r="H50" s="80">
        <v>17150</v>
      </c>
      <c r="I50" s="1">
        <v>4617824.7300000004</v>
      </c>
    </row>
    <row r="51" spans="1:9" x14ac:dyDescent="0.2">
      <c r="A51" s="79" t="s">
        <v>66</v>
      </c>
      <c r="B51" s="79" t="s">
        <v>10</v>
      </c>
      <c r="C51" s="79" t="s">
        <v>11</v>
      </c>
      <c r="D51" s="9">
        <v>0.59030000000000005</v>
      </c>
      <c r="E51" s="8">
        <v>239.96597962800001</v>
      </c>
      <c r="F51" s="8">
        <v>141.64704062999999</v>
      </c>
      <c r="G51" s="80">
        <v>21954</v>
      </c>
      <c r="H51" s="80">
        <v>12959</v>
      </c>
      <c r="I51" s="1">
        <v>3109719.13</v>
      </c>
    </row>
    <row r="52" spans="1:9" x14ac:dyDescent="0.2">
      <c r="A52" s="79" t="s">
        <v>67</v>
      </c>
      <c r="B52" s="79" t="s">
        <v>13</v>
      </c>
      <c r="C52" s="79" t="s">
        <v>11</v>
      </c>
      <c r="D52" s="9">
        <v>0.69420000000000004</v>
      </c>
      <c r="E52" s="8">
        <v>247.972919948</v>
      </c>
      <c r="F52" s="8">
        <v>172.13752846899999</v>
      </c>
      <c r="G52" s="80">
        <v>21954</v>
      </c>
      <c r="H52" s="80">
        <v>15240</v>
      </c>
      <c r="I52" s="1">
        <v>3779107.3</v>
      </c>
    </row>
    <row r="53" spans="1:9" x14ac:dyDescent="0.2">
      <c r="A53" s="79" t="s">
        <v>68</v>
      </c>
      <c r="B53" s="79" t="s">
        <v>15</v>
      </c>
      <c r="C53" s="79" t="s">
        <v>11</v>
      </c>
      <c r="D53" s="9">
        <v>0.80859999999999999</v>
      </c>
      <c r="E53" s="8">
        <v>255.53418464500001</v>
      </c>
      <c r="F53" s="8">
        <v>206.63653001700001</v>
      </c>
      <c r="G53" s="80">
        <v>21954</v>
      </c>
      <c r="H53" s="80">
        <v>17753</v>
      </c>
      <c r="I53" s="1">
        <v>4536498.38</v>
      </c>
    </row>
    <row r="54" spans="1:9" x14ac:dyDescent="0.2">
      <c r="A54" s="79" t="s">
        <v>69</v>
      </c>
      <c r="B54" s="79" t="s">
        <v>17</v>
      </c>
      <c r="C54" s="79" t="s">
        <v>11</v>
      </c>
      <c r="D54" s="9">
        <v>0.84089999999999998</v>
      </c>
      <c r="E54" s="8">
        <v>254.12598580900001</v>
      </c>
      <c r="F54" s="8">
        <v>213.70474401000001</v>
      </c>
      <c r="G54" s="80">
        <v>21954</v>
      </c>
      <c r="H54" s="80">
        <v>18462</v>
      </c>
      <c r="I54" s="1">
        <v>4691673.95</v>
      </c>
    </row>
    <row r="55" spans="1:9" x14ac:dyDescent="0.2">
      <c r="A55" s="79" t="s">
        <v>70</v>
      </c>
      <c r="B55" s="79" t="s">
        <v>19</v>
      </c>
      <c r="C55" s="79" t="s">
        <v>11</v>
      </c>
      <c r="D55" s="9">
        <v>0.81689999999999996</v>
      </c>
      <c r="E55" s="8">
        <v>246.029037636</v>
      </c>
      <c r="F55" s="8">
        <v>200.98983283199999</v>
      </c>
      <c r="G55" s="80">
        <v>21954</v>
      </c>
      <c r="H55" s="80">
        <v>17935</v>
      </c>
      <c r="I55" s="1">
        <v>4412530.79</v>
      </c>
    </row>
    <row r="56" spans="1:9" x14ac:dyDescent="0.2">
      <c r="A56" s="79" t="s">
        <v>71</v>
      </c>
      <c r="B56" s="79" t="s">
        <v>21</v>
      </c>
      <c r="C56" s="79" t="s">
        <v>11</v>
      </c>
      <c r="D56" s="9">
        <v>0.70440000000000003</v>
      </c>
      <c r="E56" s="8">
        <v>227.98559974099999</v>
      </c>
      <c r="F56" s="8">
        <v>160.59931219800001</v>
      </c>
      <c r="G56" s="80">
        <v>21954</v>
      </c>
      <c r="H56" s="80">
        <v>15465</v>
      </c>
      <c r="I56" s="1">
        <v>3525797.3</v>
      </c>
    </row>
    <row r="57" spans="1:9" x14ac:dyDescent="0.2">
      <c r="A57" s="79" t="s">
        <v>72</v>
      </c>
      <c r="B57" s="79" t="s">
        <v>23</v>
      </c>
      <c r="C57" s="79" t="s">
        <v>11</v>
      </c>
      <c r="D57" s="9">
        <v>0.61160000000000003</v>
      </c>
      <c r="E57" s="8">
        <v>192.33156687499999</v>
      </c>
      <c r="F57" s="8">
        <v>117.638165255</v>
      </c>
      <c r="G57" s="80">
        <v>21954</v>
      </c>
      <c r="H57" s="80">
        <v>13428</v>
      </c>
      <c r="I57" s="1">
        <v>2582628.2799999998</v>
      </c>
    </row>
    <row r="58" spans="1:9" x14ac:dyDescent="0.2">
      <c r="A58" s="79" t="s">
        <v>73</v>
      </c>
      <c r="B58" s="79" t="s">
        <v>10</v>
      </c>
      <c r="C58" s="79" t="s">
        <v>11</v>
      </c>
      <c r="D58" s="9">
        <v>0.7681</v>
      </c>
      <c r="E58" s="8">
        <v>224.62264899499999</v>
      </c>
      <c r="F58" s="8">
        <v>172.53401339199999</v>
      </c>
      <c r="G58" s="80">
        <v>21954</v>
      </c>
      <c r="H58" s="80">
        <v>16863</v>
      </c>
      <c r="I58" s="1">
        <v>3787811.73</v>
      </c>
    </row>
    <row r="59" spans="1:9" x14ac:dyDescent="0.2">
      <c r="A59" s="79" t="s">
        <v>74</v>
      </c>
      <c r="B59" s="79" t="s">
        <v>13</v>
      </c>
      <c r="C59" s="79" t="s">
        <v>11</v>
      </c>
      <c r="D59" s="9">
        <v>0.81189999999999996</v>
      </c>
      <c r="E59" s="8">
        <v>234.57109004200001</v>
      </c>
      <c r="F59" s="8">
        <v>190.45411679</v>
      </c>
      <c r="G59" s="80">
        <v>21954</v>
      </c>
      <c r="H59" s="80">
        <v>17825</v>
      </c>
      <c r="I59" s="1">
        <v>4181229.68</v>
      </c>
    </row>
    <row r="60" spans="1:9" x14ac:dyDescent="0.2">
      <c r="A60" s="79" t="s">
        <v>75</v>
      </c>
      <c r="B60" s="79" t="s">
        <v>15</v>
      </c>
      <c r="C60" s="79" t="s">
        <v>11</v>
      </c>
      <c r="D60" s="9">
        <v>0.80430000000000001</v>
      </c>
      <c r="E60" s="8">
        <v>214.21993713500001</v>
      </c>
      <c r="F60" s="8">
        <v>172.29121936799999</v>
      </c>
      <c r="G60" s="80">
        <v>21954</v>
      </c>
      <c r="H60" s="80">
        <v>17657</v>
      </c>
      <c r="I60" s="1">
        <v>3782481.43</v>
      </c>
    </row>
    <row r="61" spans="1:9" x14ac:dyDescent="0.2">
      <c r="A61" s="79" t="s">
        <v>76</v>
      </c>
      <c r="B61" s="79" t="s">
        <v>17</v>
      </c>
      <c r="C61" s="79" t="s">
        <v>11</v>
      </c>
      <c r="D61" s="9">
        <v>0.72050000000000003</v>
      </c>
      <c r="E61" s="8">
        <v>181.81900809199999</v>
      </c>
      <c r="F61" s="8">
        <v>131.00177962999999</v>
      </c>
      <c r="G61" s="80">
        <v>21954</v>
      </c>
      <c r="H61" s="80">
        <v>15818</v>
      </c>
      <c r="I61" s="1">
        <v>2876013.07</v>
      </c>
    </row>
    <row r="62" spans="1:9" x14ac:dyDescent="0.2">
      <c r="A62" s="79" t="s">
        <v>77</v>
      </c>
      <c r="B62" s="79" t="s">
        <v>19</v>
      </c>
      <c r="C62" s="79" t="s">
        <v>11</v>
      </c>
      <c r="D62" s="9">
        <v>0.69610000000000005</v>
      </c>
      <c r="E62" s="8">
        <v>173.68432338700001</v>
      </c>
      <c r="F62" s="8">
        <v>120.900238225</v>
      </c>
      <c r="G62" s="80">
        <v>21954</v>
      </c>
      <c r="H62" s="80">
        <v>15282</v>
      </c>
      <c r="I62" s="1">
        <v>2654243.83</v>
      </c>
    </row>
    <row r="63" spans="1:9" x14ac:dyDescent="0.2">
      <c r="A63" s="79" t="s">
        <v>78</v>
      </c>
      <c r="B63" s="79" t="s">
        <v>21</v>
      </c>
      <c r="C63" s="79" t="s">
        <v>11</v>
      </c>
      <c r="D63" s="9">
        <v>0.72629999999999995</v>
      </c>
      <c r="E63" s="8">
        <v>171.945009094</v>
      </c>
      <c r="F63" s="8">
        <v>124.88217044699999</v>
      </c>
      <c r="G63" s="80">
        <v>21954</v>
      </c>
      <c r="H63" s="80">
        <v>15945</v>
      </c>
      <c r="I63" s="1">
        <v>2741663.17</v>
      </c>
    </row>
    <row r="64" spans="1:9" x14ac:dyDescent="0.2">
      <c r="A64" s="79" t="s">
        <v>79</v>
      </c>
      <c r="B64" s="79" t="s">
        <v>23</v>
      </c>
      <c r="C64" s="79" t="s">
        <v>11</v>
      </c>
      <c r="D64" s="9">
        <v>0.67220000000000002</v>
      </c>
      <c r="E64" s="8">
        <v>215.11485871100001</v>
      </c>
      <c r="F64" s="8">
        <v>144.595516535</v>
      </c>
      <c r="G64" s="80">
        <v>21954</v>
      </c>
      <c r="H64" s="80">
        <v>14757</v>
      </c>
      <c r="I64" s="1">
        <v>3174449.97</v>
      </c>
    </row>
    <row r="65" spans="1:9" x14ac:dyDescent="0.2">
      <c r="A65" s="79" t="s">
        <v>80</v>
      </c>
      <c r="B65" s="79" t="s">
        <v>10</v>
      </c>
      <c r="C65" s="79" t="s">
        <v>11</v>
      </c>
      <c r="D65" s="9">
        <v>0.74080000000000001</v>
      </c>
      <c r="E65" s="8">
        <v>222.507871241</v>
      </c>
      <c r="F65" s="8">
        <v>164.82852828599999</v>
      </c>
      <c r="G65" s="80">
        <v>21954</v>
      </c>
      <c r="H65" s="80">
        <v>16263</v>
      </c>
      <c r="I65" s="1">
        <v>3618645.51</v>
      </c>
    </row>
    <row r="66" spans="1:9" x14ac:dyDescent="0.2">
      <c r="A66" s="79" t="s">
        <v>81</v>
      </c>
      <c r="B66" s="79" t="s">
        <v>13</v>
      </c>
      <c r="C66" s="79" t="s">
        <v>11</v>
      </c>
      <c r="D66" s="9">
        <v>0.75219999999999998</v>
      </c>
      <c r="E66" s="8">
        <v>227.797787804</v>
      </c>
      <c r="F66" s="8">
        <v>171.34120752499999</v>
      </c>
      <c r="G66" s="80">
        <v>21954</v>
      </c>
      <c r="H66" s="80">
        <v>16513</v>
      </c>
      <c r="I66" s="1">
        <v>3761624.87</v>
      </c>
    </row>
    <row r="67" spans="1:9" x14ac:dyDescent="0.2">
      <c r="A67" s="79" t="s">
        <v>82</v>
      </c>
      <c r="B67" s="79" t="s">
        <v>15</v>
      </c>
      <c r="C67" s="79" t="s">
        <v>11</v>
      </c>
      <c r="D67" s="9">
        <v>0.70599999999999996</v>
      </c>
      <c r="E67" s="8">
        <v>219.293781935</v>
      </c>
      <c r="F67" s="8">
        <v>154.82616470799999</v>
      </c>
      <c r="G67" s="80">
        <v>21954</v>
      </c>
      <c r="H67" s="80">
        <v>15500</v>
      </c>
      <c r="I67" s="1">
        <v>3399053.62</v>
      </c>
    </row>
    <row r="68" spans="1:9" x14ac:dyDescent="0.2">
      <c r="A68" s="79" t="s">
        <v>83</v>
      </c>
      <c r="B68" s="79" t="s">
        <v>17</v>
      </c>
      <c r="C68" s="79" t="s">
        <v>11</v>
      </c>
      <c r="D68" s="9">
        <v>0.74570000000000003</v>
      </c>
      <c r="E68" s="8">
        <v>220.20194172999999</v>
      </c>
      <c r="F68" s="8">
        <v>164.21363715000001</v>
      </c>
      <c r="G68" s="80">
        <v>21954</v>
      </c>
      <c r="H68" s="80">
        <v>16372</v>
      </c>
      <c r="I68" s="1">
        <v>3605146.19</v>
      </c>
    </row>
    <row r="69" spans="1:9" x14ac:dyDescent="0.2">
      <c r="A69" s="79" t="s">
        <v>84</v>
      </c>
      <c r="B69" s="79" t="s">
        <v>19</v>
      </c>
      <c r="C69" s="79" t="s">
        <v>11</v>
      </c>
      <c r="D69" s="9">
        <v>0.80479999999999996</v>
      </c>
      <c r="E69" s="8">
        <v>227.90845322300001</v>
      </c>
      <c r="F69" s="8">
        <v>183.42509155499999</v>
      </c>
      <c r="G69" s="80">
        <v>21954</v>
      </c>
      <c r="H69" s="80">
        <v>17669</v>
      </c>
      <c r="I69" s="1">
        <v>4026914.46</v>
      </c>
    </row>
    <row r="70" spans="1:9" x14ac:dyDescent="0.2">
      <c r="A70" s="79" t="s">
        <v>85</v>
      </c>
      <c r="B70" s="79" t="s">
        <v>21</v>
      </c>
      <c r="C70" s="79" t="s">
        <v>11</v>
      </c>
      <c r="D70" s="9">
        <v>0.82189999999999996</v>
      </c>
      <c r="E70" s="8">
        <v>236.59359601</v>
      </c>
      <c r="F70" s="8">
        <v>194.467133096</v>
      </c>
      <c r="G70" s="80">
        <v>21954</v>
      </c>
      <c r="H70" s="80">
        <v>18045</v>
      </c>
      <c r="I70" s="1">
        <v>4269331.4400000004</v>
      </c>
    </row>
    <row r="71" spans="1:9" x14ac:dyDescent="0.2">
      <c r="A71" s="79" t="s">
        <v>86</v>
      </c>
      <c r="B71" s="79" t="s">
        <v>23</v>
      </c>
      <c r="C71" s="79" t="s">
        <v>11</v>
      </c>
      <c r="D71" s="9">
        <v>0.66890000000000005</v>
      </c>
      <c r="E71" s="8">
        <v>235.41994143700001</v>
      </c>
      <c r="F71" s="8">
        <v>157.47207069300001</v>
      </c>
      <c r="G71" s="80">
        <v>21954</v>
      </c>
      <c r="H71" s="80">
        <v>14685</v>
      </c>
      <c r="I71" s="1">
        <v>3457141.84</v>
      </c>
    </row>
    <row r="72" spans="1:9" x14ac:dyDescent="0.2">
      <c r="A72" s="79" t="s">
        <v>87</v>
      </c>
      <c r="B72" s="79" t="s">
        <v>10</v>
      </c>
      <c r="C72" s="79" t="s">
        <v>11</v>
      </c>
      <c r="D72" s="9">
        <v>0.69469999999999998</v>
      </c>
      <c r="E72" s="8">
        <v>248.22908339899999</v>
      </c>
      <c r="F72" s="8">
        <v>172.451033069</v>
      </c>
      <c r="G72" s="80">
        <v>21954</v>
      </c>
      <c r="H72" s="80">
        <v>15252</v>
      </c>
      <c r="I72" s="1">
        <v>3785989.98</v>
      </c>
    </row>
    <row r="73" spans="1:9" x14ac:dyDescent="0.2">
      <c r="A73" s="79" t="s">
        <v>88</v>
      </c>
      <c r="B73" s="79" t="s">
        <v>13</v>
      </c>
      <c r="C73" s="79" t="s">
        <v>11</v>
      </c>
      <c r="D73" s="9">
        <v>0.85709999999999997</v>
      </c>
      <c r="E73" s="8">
        <v>325.82566455900002</v>
      </c>
      <c r="F73" s="8">
        <v>279.26854012899997</v>
      </c>
      <c r="G73" s="80">
        <v>21954</v>
      </c>
      <c r="H73" s="80">
        <v>18817</v>
      </c>
      <c r="I73" s="1">
        <v>6131061.5300000003</v>
      </c>
    </row>
    <row r="74" spans="1:9" x14ac:dyDescent="0.2">
      <c r="A74" s="79" t="s">
        <v>89</v>
      </c>
      <c r="B74" s="79" t="s">
        <v>15</v>
      </c>
      <c r="C74" s="79" t="s">
        <v>11</v>
      </c>
      <c r="D74" s="9">
        <v>0.95230000000000004</v>
      </c>
      <c r="E74" s="8">
        <v>392.85709953600002</v>
      </c>
      <c r="F74" s="8">
        <v>374.12149858800001</v>
      </c>
      <c r="G74" s="80">
        <v>21954</v>
      </c>
      <c r="H74" s="80">
        <v>20907</v>
      </c>
      <c r="I74" s="1">
        <v>8213463.3799999999</v>
      </c>
    </row>
    <row r="75" spans="1:9" x14ac:dyDescent="0.2">
      <c r="A75" s="79" t="s">
        <v>90</v>
      </c>
      <c r="B75" s="79" t="s">
        <v>17</v>
      </c>
      <c r="C75" s="79" t="s">
        <v>11</v>
      </c>
      <c r="D75" s="9">
        <v>0.9446</v>
      </c>
      <c r="E75" s="8">
        <v>386.31678609300002</v>
      </c>
      <c r="F75" s="8">
        <v>364.91926346000002</v>
      </c>
      <c r="G75" s="80">
        <v>21954</v>
      </c>
      <c r="H75" s="80">
        <v>20738</v>
      </c>
      <c r="I75" s="1">
        <v>8011437.5099999998</v>
      </c>
    </row>
    <row r="76" spans="1:9" x14ac:dyDescent="0.2">
      <c r="A76" s="79" t="s">
        <v>91</v>
      </c>
      <c r="B76" s="79" t="s">
        <v>19</v>
      </c>
      <c r="C76" s="79" t="s">
        <v>11</v>
      </c>
      <c r="D76" s="9">
        <v>0.8327</v>
      </c>
      <c r="E76" s="8">
        <v>323.311078775</v>
      </c>
      <c r="F76" s="8">
        <v>269.20499772300002</v>
      </c>
      <c r="G76" s="80">
        <v>21954</v>
      </c>
      <c r="H76" s="80">
        <v>18280</v>
      </c>
      <c r="I76" s="1">
        <v>5910126.5199999996</v>
      </c>
    </row>
    <row r="77" spans="1:9" x14ac:dyDescent="0.2">
      <c r="A77" s="79" t="s">
        <v>92</v>
      </c>
      <c r="B77" s="79" t="s">
        <v>21</v>
      </c>
      <c r="C77" s="79" t="s">
        <v>11</v>
      </c>
      <c r="D77" s="9">
        <v>0.70409999999999995</v>
      </c>
      <c r="E77" s="8">
        <v>253.45414310699999</v>
      </c>
      <c r="F77" s="8">
        <v>178.44769472499999</v>
      </c>
      <c r="G77" s="80">
        <v>21954</v>
      </c>
      <c r="H77" s="80">
        <v>15457</v>
      </c>
      <c r="I77" s="1">
        <v>3917640.69</v>
      </c>
    </row>
    <row r="78" spans="1:9" x14ac:dyDescent="0.2">
      <c r="A78" s="79" t="s">
        <v>93</v>
      </c>
      <c r="B78" s="79" t="s">
        <v>23</v>
      </c>
      <c r="C78" s="79" t="s">
        <v>11</v>
      </c>
      <c r="D78" s="9">
        <v>0.57010000000000005</v>
      </c>
      <c r="E78" s="8">
        <v>225.561573259</v>
      </c>
      <c r="F78" s="8">
        <v>128.589349126</v>
      </c>
      <c r="G78" s="80">
        <v>21909</v>
      </c>
      <c r="H78" s="80">
        <v>12490</v>
      </c>
      <c r="I78" s="1">
        <v>2817264.05</v>
      </c>
    </row>
    <row r="79" spans="1:9" x14ac:dyDescent="0.2">
      <c r="A79" s="79" t="s">
        <v>94</v>
      </c>
      <c r="B79" s="79" t="s">
        <v>10</v>
      </c>
      <c r="C79" s="79" t="s">
        <v>11</v>
      </c>
      <c r="D79" s="9">
        <v>0.69510000000000005</v>
      </c>
      <c r="E79" s="8">
        <v>222.817697813</v>
      </c>
      <c r="F79" s="8">
        <v>154.881131955</v>
      </c>
      <c r="G79" s="80">
        <v>21909</v>
      </c>
      <c r="H79" s="80">
        <v>15229</v>
      </c>
      <c r="I79" s="1">
        <v>3393290.72</v>
      </c>
    </row>
    <row r="80" spans="1:9" x14ac:dyDescent="0.2">
      <c r="A80" s="79" t="s">
        <v>95</v>
      </c>
      <c r="B80" s="79" t="s">
        <v>13</v>
      </c>
      <c r="C80" s="79" t="s">
        <v>11</v>
      </c>
      <c r="D80" s="9">
        <v>0.72040000000000004</v>
      </c>
      <c r="E80" s="8">
        <v>224.814483021</v>
      </c>
      <c r="F80" s="8">
        <v>161.964115204</v>
      </c>
      <c r="G80" s="80">
        <v>21909</v>
      </c>
      <c r="H80" s="80">
        <v>15784</v>
      </c>
      <c r="I80" s="1">
        <v>3548471.8</v>
      </c>
    </row>
    <row r="81" spans="1:9" x14ac:dyDescent="0.2">
      <c r="A81" s="79" t="s">
        <v>96</v>
      </c>
      <c r="B81" s="79" t="s">
        <v>15</v>
      </c>
      <c r="C81" s="79" t="s">
        <v>11</v>
      </c>
      <c r="D81" s="9">
        <v>0.72070000000000001</v>
      </c>
      <c r="E81" s="8">
        <v>227.45171765200001</v>
      </c>
      <c r="F81" s="8">
        <v>163.915978365</v>
      </c>
      <c r="G81" s="80">
        <v>21909</v>
      </c>
      <c r="H81" s="80">
        <v>15789</v>
      </c>
      <c r="I81" s="1">
        <v>3591235.17</v>
      </c>
    </row>
    <row r="82" spans="1:9" x14ac:dyDescent="0.2">
      <c r="A82" s="79" t="s">
        <v>97</v>
      </c>
      <c r="B82" s="79" t="s">
        <v>17</v>
      </c>
      <c r="C82" s="79" t="s">
        <v>11</v>
      </c>
      <c r="D82" s="9">
        <v>0.75149999999999995</v>
      </c>
      <c r="E82" s="8">
        <v>235.425583966</v>
      </c>
      <c r="F82" s="8">
        <v>176.92647952900001</v>
      </c>
      <c r="G82" s="80">
        <v>21909</v>
      </c>
      <c r="H82" s="80">
        <v>16465</v>
      </c>
      <c r="I82" s="1">
        <v>3876282.24</v>
      </c>
    </row>
    <row r="83" spans="1:9" x14ac:dyDescent="0.2">
      <c r="A83" s="79" t="s">
        <v>98</v>
      </c>
      <c r="B83" s="79" t="s">
        <v>19</v>
      </c>
      <c r="C83" s="79" t="s">
        <v>11</v>
      </c>
      <c r="D83" s="9">
        <v>0.84630000000000005</v>
      </c>
      <c r="E83" s="8">
        <v>255.695608349</v>
      </c>
      <c r="F83" s="8">
        <v>216.40001688800001</v>
      </c>
      <c r="G83" s="80">
        <v>21909</v>
      </c>
      <c r="H83" s="80">
        <v>18542</v>
      </c>
      <c r="I83" s="1">
        <v>4741107.97</v>
      </c>
    </row>
    <row r="84" spans="1:9" x14ac:dyDescent="0.2">
      <c r="A84" s="79" t="s">
        <v>99</v>
      </c>
      <c r="B84" s="79" t="s">
        <v>21</v>
      </c>
      <c r="C84" s="79" t="s">
        <v>11</v>
      </c>
      <c r="D84" s="9">
        <v>0.88019999999999998</v>
      </c>
      <c r="E84" s="8">
        <v>258.907027223</v>
      </c>
      <c r="F84" s="8">
        <v>227.89821625799999</v>
      </c>
      <c r="G84" s="80">
        <v>21909</v>
      </c>
      <c r="H84" s="80">
        <v>19285</v>
      </c>
      <c r="I84" s="1">
        <v>4993022.0199999996</v>
      </c>
    </row>
    <row r="85" spans="1:9" x14ac:dyDescent="0.2">
      <c r="A85" s="79" t="s">
        <v>100</v>
      </c>
      <c r="B85" s="79" t="s">
        <v>23</v>
      </c>
      <c r="C85" s="79" t="s">
        <v>11</v>
      </c>
      <c r="D85" s="9">
        <v>0.73419999999999996</v>
      </c>
      <c r="E85" s="8">
        <v>246.64212993500001</v>
      </c>
      <c r="F85" s="8">
        <v>181.07803459799999</v>
      </c>
      <c r="G85" s="80">
        <v>21909</v>
      </c>
      <c r="H85" s="80">
        <v>16085</v>
      </c>
      <c r="I85" s="1">
        <v>3967238.66</v>
      </c>
    </row>
    <row r="86" spans="1:9" x14ac:dyDescent="0.2">
      <c r="A86" s="79" t="s">
        <v>101</v>
      </c>
      <c r="B86" s="79" t="s">
        <v>10</v>
      </c>
      <c r="C86" s="79" t="s">
        <v>11</v>
      </c>
      <c r="D86" s="9">
        <v>0.71250000000000002</v>
      </c>
      <c r="E86" s="8">
        <v>247.63855861600001</v>
      </c>
      <c r="F86" s="8">
        <v>176.44063626799999</v>
      </c>
      <c r="G86" s="80">
        <v>21909</v>
      </c>
      <c r="H86" s="80">
        <v>15610</v>
      </c>
      <c r="I86" s="1">
        <v>3865637.9</v>
      </c>
    </row>
    <row r="87" spans="1:9" x14ac:dyDescent="0.2">
      <c r="A87" s="79" t="s">
        <v>102</v>
      </c>
      <c r="B87" s="79" t="s">
        <v>13</v>
      </c>
      <c r="C87" s="79" t="s">
        <v>11</v>
      </c>
      <c r="D87" s="9">
        <v>0.73470000000000002</v>
      </c>
      <c r="E87" s="8">
        <v>244.969539045</v>
      </c>
      <c r="F87" s="8">
        <v>179.984237984</v>
      </c>
      <c r="G87" s="80">
        <v>21909</v>
      </c>
      <c r="H87" s="80">
        <v>16097</v>
      </c>
      <c r="I87" s="1">
        <v>3943274.67</v>
      </c>
    </row>
    <row r="88" spans="1:9" x14ac:dyDescent="0.2">
      <c r="A88" s="79" t="s">
        <v>103</v>
      </c>
      <c r="B88" s="79" t="s">
        <v>15</v>
      </c>
      <c r="C88" s="79" t="s">
        <v>11</v>
      </c>
      <c r="D88" s="9">
        <v>0.72160000000000002</v>
      </c>
      <c r="E88" s="8">
        <v>242.54486590799999</v>
      </c>
      <c r="F88" s="8">
        <v>175.025529691</v>
      </c>
      <c r="G88" s="80">
        <v>21909</v>
      </c>
      <c r="H88" s="80">
        <v>15810</v>
      </c>
      <c r="I88" s="1">
        <v>3834634.33</v>
      </c>
    </row>
    <row r="89" spans="1:9" x14ac:dyDescent="0.2">
      <c r="A89" s="79" t="s">
        <v>104</v>
      </c>
      <c r="B89" s="79" t="s">
        <v>17</v>
      </c>
      <c r="C89" s="79" t="s">
        <v>11</v>
      </c>
      <c r="D89" s="9">
        <v>0.77280000000000004</v>
      </c>
      <c r="E89" s="8">
        <v>241.364986711</v>
      </c>
      <c r="F89" s="8">
        <v>186.523829933</v>
      </c>
      <c r="G89" s="80">
        <v>21909</v>
      </c>
      <c r="H89" s="80">
        <v>16931</v>
      </c>
      <c r="I89" s="1">
        <v>4086550.59</v>
      </c>
    </row>
    <row r="90" spans="1:9" x14ac:dyDescent="0.2">
      <c r="A90" s="79" t="s">
        <v>105</v>
      </c>
      <c r="B90" s="79" t="s">
        <v>19</v>
      </c>
      <c r="C90" s="79" t="s">
        <v>11</v>
      </c>
      <c r="D90" s="9">
        <v>0.80869999999999997</v>
      </c>
      <c r="E90" s="8">
        <v>240.266743805</v>
      </c>
      <c r="F90" s="8">
        <v>194.29485143100001</v>
      </c>
      <c r="G90" s="80">
        <v>21909</v>
      </c>
      <c r="H90" s="80">
        <v>17717</v>
      </c>
      <c r="I90" s="1">
        <v>4256805.9000000004</v>
      </c>
    </row>
    <row r="91" spans="1:9" x14ac:dyDescent="0.2">
      <c r="A91" s="79" t="s">
        <v>106</v>
      </c>
      <c r="B91" s="79" t="s">
        <v>21</v>
      </c>
      <c r="C91" s="79" t="s">
        <v>11</v>
      </c>
      <c r="D91" s="9">
        <v>0.73839999999999995</v>
      </c>
      <c r="E91" s="8">
        <v>240.20371082400001</v>
      </c>
      <c r="F91" s="8">
        <v>177.35978045600001</v>
      </c>
      <c r="G91" s="80">
        <v>21909</v>
      </c>
      <c r="H91" s="80">
        <v>16177</v>
      </c>
      <c r="I91" s="1">
        <v>3885775.43</v>
      </c>
    </row>
    <row r="92" spans="1:9" x14ac:dyDescent="0.2">
      <c r="A92" s="79" t="s">
        <v>107</v>
      </c>
      <c r="B92" s="79" t="s">
        <v>23</v>
      </c>
      <c r="C92" s="79" t="s">
        <v>11</v>
      </c>
      <c r="D92" s="9">
        <v>0.62019999999999997</v>
      </c>
      <c r="E92" s="8">
        <v>236.88307426200001</v>
      </c>
      <c r="F92" s="8">
        <v>146.90448354599999</v>
      </c>
      <c r="G92" s="80">
        <v>21909</v>
      </c>
      <c r="H92" s="80">
        <v>13587</v>
      </c>
      <c r="I92" s="1">
        <v>3218530.33</v>
      </c>
    </row>
    <row r="93" spans="1:9" x14ac:dyDescent="0.2">
      <c r="A93" s="79" t="s">
        <v>108</v>
      </c>
      <c r="B93" s="79" t="s">
        <v>10</v>
      </c>
      <c r="C93" s="79" t="s">
        <v>11</v>
      </c>
      <c r="D93" s="9">
        <v>0.69210000000000005</v>
      </c>
      <c r="E93" s="8">
        <v>257.46311263500002</v>
      </c>
      <c r="F93" s="8">
        <v>178.19939933399999</v>
      </c>
      <c r="G93" s="80">
        <v>21909</v>
      </c>
      <c r="H93" s="80">
        <v>15164</v>
      </c>
      <c r="I93" s="1">
        <v>3904170.64</v>
      </c>
    </row>
    <row r="94" spans="1:9" x14ac:dyDescent="0.2">
      <c r="A94" s="79" t="s">
        <v>109</v>
      </c>
      <c r="B94" s="79" t="s">
        <v>13</v>
      </c>
      <c r="C94" s="79" t="s">
        <v>11</v>
      </c>
      <c r="D94" s="9">
        <v>0.75429999999999997</v>
      </c>
      <c r="E94" s="8">
        <v>260.41344890200003</v>
      </c>
      <c r="F94" s="8">
        <v>196.442241545</v>
      </c>
      <c r="G94" s="80">
        <v>21909</v>
      </c>
      <c r="H94" s="80">
        <v>16527</v>
      </c>
      <c r="I94" s="1">
        <v>4303853.07</v>
      </c>
    </row>
    <row r="95" spans="1:9" x14ac:dyDescent="0.2">
      <c r="A95" s="79" t="s">
        <v>110</v>
      </c>
      <c r="B95" s="79" t="s">
        <v>15</v>
      </c>
      <c r="C95" s="79" t="s">
        <v>11</v>
      </c>
      <c r="D95" s="9">
        <v>0.81520000000000004</v>
      </c>
      <c r="E95" s="8">
        <v>253.57431075</v>
      </c>
      <c r="F95" s="8">
        <v>206.71126888500001</v>
      </c>
      <c r="G95" s="80">
        <v>21909</v>
      </c>
      <c r="H95" s="80">
        <v>17860</v>
      </c>
      <c r="I95" s="1">
        <v>4528837.1900000004</v>
      </c>
    </row>
    <row r="96" spans="1:9" x14ac:dyDescent="0.2">
      <c r="A96" s="79" t="s">
        <v>111</v>
      </c>
      <c r="B96" s="79" t="s">
        <v>17</v>
      </c>
      <c r="C96" s="79" t="s">
        <v>11</v>
      </c>
      <c r="D96" s="9">
        <v>0.80869999999999997</v>
      </c>
      <c r="E96" s="8">
        <v>250.43206129699999</v>
      </c>
      <c r="F96" s="8">
        <v>202.515168652</v>
      </c>
      <c r="G96" s="80">
        <v>21909</v>
      </c>
      <c r="H96" s="80">
        <v>17717</v>
      </c>
      <c r="I96" s="1">
        <v>4436904.83</v>
      </c>
    </row>
    <row r="97" spans="1:9" x14ac:dyDescent="0.2">
      <c r="A97" s="79" t="s">
        <v>112</v>
      </c>
      <c r="B97" s="79" t="s">
        <v>19</v>
      </c>
      <c r="C97" s="79" t="s">
        <v>11</v>
      </c>
      <c r="D97" s="9">
        <v>0.82740000000000002</v>
      </c>
      <c r="E97" s="8">
        <v>250.269413614</v>
      </c>
      <c r="F97" s="8">
        <v>207.078548998</v>
      </c>
      <c r="G97" s="80">
        <v>21909</v>
      </c>
      <c r="H97" s="80">
        <v>18128</v>
      </c>
      <c r="I97" s="1">
        <v>4536883.93</v>
      </c>
    </row>
    <row r="98" spans="1:9" x14ac:dyDescent="0.2">
      <c r="A98" s="79" t="s">
        <v>113</v>
      </c>
      <c r="B98" s="79" t="s">
        <v>21</v>
      </c>
      <c r="C98" s="79" t="s">
        <v>11</v>
      </c>
      <c r="D98" s="9">
        <v>0.80069999999999997</v>
      </c>
      <c r="E98" s="8">
        <v>241.37048398100001</v>
      </c>
      <c r="F98" s="8">
        <v>193.25943813000001</v>
      </c>
      <c r="G98" s="80">
        <v>21909</v>
      </c>
      <c r="H98" s="80">
        <v>17542</v>
      </c>
      <c r="I98" s="1">
        <v>4234121.03</v>
      </c>
    </row>
    <row r="99" spans="1:9" x14ac:dyDescent="0.2">
      <c r="A99" s="79" t="s">
        <v>114</v>
      </c>
      <c r="B99" s="79" t="s">
        <v>23</v>
      </c>
      <c r="C99" s="79" t="s">
        <v>11</v>
      </c>
      <c r="D99" s="9">
        <v>0.6139</v>
      </c>
      <c r="E99" s="8">
        <v>235.436010856</v>
      </c>
      <c r="F99" s="8">
        <v>144.524118399</v>
      </c>
      <c r="G99" s="80">
        <v>21909</v>
      </c>
      <c r="H99" s="80">
        <v>13449</v>
      </c>
      <c r="I99" s="1">
        <v>3166378.91</v>
      </c>
    </row>
    <row r="100" spans="1:9" x14ac:dyDescent="0.2">
      <c r="A100" s="79" t="s">
        <v>115</v>
      </c>
      <c r="B100" s="79" t="s">
        <v>10</v>
      </c>
      <c r="C100" s="79" t="s">
        <v>11</v>
      </c>
      <c r="D100" s="9">
        <v>0.73019999999999996</v>
      </c>
      <c r="E100" s="8">
        <v>240.97468212800001</v>
      </c>
      <c r="F100" s="8">
        <v>175.94924414600001</v>
      </c>
      <c r="G100" s="80">
        <v>21909</v>
      </c>
      <c r="H100" s="80">
        <v>15997</v>
      </c>
      <c r="I100" s="1">
        <v>3854871.99</v>
      </c>
    </row>
    <row r="101" spans="1:9" x14ac:dyDescent="0.2">
      <c r="A101" s="79" t="s">
        <v>116</v>
      </c>
      <c r="B101" s="79" t="s">
        <v>13</v>
      </c>
      <c r="C101" s="79" t="s">
        <v>11</v>
      </c>
      <c r="D101" s="9">
        <v>0.7994</v>
      </c>
      <c r="E101" s="8">
        <v>246.231561126</v>
      </c>
      <c r="F101" s="8">
        <v>196.825657492</v>
      </c>
      <c r="G101" s="80">
        <v>21909</v>
      </c>
      <c r="H101" s="80">
        <v>17513</v>
      </c>
      <c r="I101" s="1">
        <v>4312253.33</v>
      </c>
    </row>
    <row r="102" spans="1:9" x14ac:dyDescent="0.2">
      <c r="A102" s="79" t="s">
        <v>117</v>
      </c>
      <c r="B102" s="79" t="s">
        <v>15</v>
      </c>
      <c r="C102" s="79" t="s">
        <v>11</v>
      </c>
      <c r="D102" s="9">
        <v>0.81589999999999996</v>
      </c>
      <c r="E102" s="8">
        <v>245.712929626</v>
      </c>
      <c r="F102" s="8">
        <v>200.48219133699999</v>
      </c>
      <c r="G102" s="80">
        <v>21909</v>
      </c>
      <c r="H102" s="80">
        <v>17876</v>
      </c>
      <c r="I102" s="1">
        <v>4392364.33</v>
      </c>
    </row>
    <row r="103" spans="1:9" x14ac:dyDescent="0.2">
      <c r="A103" s="79" t="s">
        <v>118</v>
      </c>
      <c r="B103" s="79" t="s">
        <v>17</v>
      </c>
      <c r="C103" s="79" t="s">
        <v>11</v>
      </c>
      <c r="D103" s="9">
        <v>0.75860000000000005</v>
      </c>
      <c r="E103" s="8">
        <v>228.70361973499999</v>
      </c>
      <c r="F103" s="8">
        <v>173.492818476</v>
      </c>
      <c r="G103" s="80">
        <v>21909</v>
      </c>
      <c r="H103" s="80">
        <v>16620</v>
      </c>
      <c r="I103" s="1">
        <v>3801054.16</v>
      </c>
    </row>
    <row r="104" spans="1:9" x14ac:dyDescent="0.2">
      <c r="A104" s="79" t="s">
        <v>119</v>
      </c>
      <c r="B104" s="79" t="s">
        <v>19</v>
      </c>
      <c r="C104" s="79" t="s">
        <v>11</v>
      </c>
      <c r="D104" s="9">
        <v>0.76170000000000004</v>
      </c>
      <c r="E104" s="8">
        <v>225.11090898200001</v>
      </c>
      <c r="F104" s="8">
        <v>171.47637774399999</v>
      </c>
      <c r="G104" s="80">
        <v>21909</v>
      </c>
      <c r="H104" s="80">
        <v>16689</v>
      </c>
      <c r="I104" s="1">
        <v>3756875.96</v>
      </c>
    </row>
    <row r="105" spans="1:9" x14ac:dyDescent="0.2">
      <c r="A105" s="79" t="s">
        <v>120</v>
      </c>
      <c r="B105" s="79" t="s">
        <v>21</v>
      </c>
      <c r="C105" s="79" t="s">
        <v>11</v>
      </c>
      <c r="D105" s="9">
        <v>0.75990000000000002</v>
      </c>
      <c r="E105" s="8">
        <v>221.09154433</v>
      </c>
      <c r="F105" s="8">
        <v>168.000914236</v>
      </c>
      <c r="G105" s="80">
        <v>21909</v>
      </c>
      <c r="H105" s="80">
        <v>16648</v>
      </c>
      <c r="I105" s="1">
        <v>3680732.03</v>
      </c>
    </row>
    <row r="106" spans="1:9" x14ac:dyDescent="0.2">
      <c r="A106" s="79" t="s">
        <v>121</v>
      </c>
      <c r="B106" s="79" t="s">
        <v>23</v>
      </c>
      <c r="C106" s="79" t="s">
        <v>11</v>
      </c>
      <c r="D106" s="9">
        <v>0.5585</v>
      </c>
      <c r="E106" s="8">
        <v>208.09104119</v>
      </c>
      <c r="F106" s="8">
        <v>116.21717011299999</v>
      </c>
      <c r="G106" s="80">
        <v>21909</v>
      </c>
      <c r="H106" s="80">
        <v>12236</v>
      </c>
      <c r="I106" s="1">
        <v>2546201.98</v>
      </c>
    </row>
    <row r="107" spans="1:9" x14ac:dyDescent="0.2">
      <c r="A107" s="79" t="s">
        <v>122</v>
      </c>
      <c r="B107" s="79" t="s">
        <v>10</v>
      </c>
      <c r="C107" s="79" t="s">
        <v>11</v>
      </c>
      <c r="D107" s="9">
        <v>0.62250000000000005</v>
      </c>
      <c r="E107" s="8">
        <v>208.129817422</v>
      </c>
      <c r="F107" s="8">
        <v>129.557462687</v>
      </c>
      <c r="G107" s="80">
        <v>21909</v>
      </c>
      <c r="H107" s="80">
        <v>13638</v>
      </c>
      <c r="I107" s="1">
        <v>2838474.45</v>
      </c>
    </row>
    <row r="108" spans="1:9" x14ac:dyDescent="0.2">
      <c r="A108" s="79" t="s">
        <v>123</v>
      </c>
      <c r="B108" s="79" t="s">
        <v>13</v>
      </c>
      <c r="C108" s="79" t="s">
        <v>11</v>
      </c>
      <c r="D108" s="9">
        <v>0.68879999999999997</v>
      </c>
      <c r="E108" s="8">
        <v>211.52885693499999</v>
      </c>
      <c r="F108" s="8">
        <v>145.701856771</v>
      </c>
      <c r="G108" s="80">
        <v>21909</v>
      </c>
      <c r="H108" s="80">
        <v>15091</v>
      </c>
      <c r="I108" s="1">
        <v>3192181.98</v>
      </c>
    </row>
    <row r="109" spans="1:9" x14ac:dyDescent="0.2">
      <c r="A109" s="79" t="s">
        <v>124</v>
      </c>
      <c r="B109" s="79" t="s">
        <v>15</v>
      </c>
      <c r="C109" s="79" t="s">
        <v>11</v>
      </c>
      <c r="D109" s="9">
        <v>0.66610000000000003</v>
      </c>
      <c r="E109" s="8">
        <v>207.88910710600001</v>
      </c>
      <c r="F109" s="8">
        <v>138.469384271</v>
      </c>
      <c r="G109" s="80">
        <v>21909</v>
      </c>
      <c r="H109" s="80">
        <v>14593</v>
      </c>
      <c r="I109" s="1">
        <v>3033725.74</v>
      </c>
    </row>
    <row r="110" spans="1:9" x14ac:dyDescent="0.2">
      <c r="A110" s="79" t="s">
        <v>125</v>
      </c>
      <c r="B110" s="79" t="s">
        <v>17</v>
      </c>
      <c r="C110" s="79" t="s">
        <v>11</v>
      </c>
      <c r="D110" s="9">
        <v>0.70150000000000001</v>
      </c>
      <c r="E110" s="8">
        <v>214.689828237</v>
      </c>
      <c r="F110" s="8">
        <v>150.61311150700001</v>
      </c>
      <c r="G110" s="80">
        <v>21909</v>
      </c>
      <c r="H110" s="80">
        <v>15370</v>
      </c>
      <c r="I110" s="1">
        <v>3299782.66</v>
      </c>
    </row>
    <row r="111" spans="1:9" x14ac:dyDescent="0.2">
      <c r="A111" s="79" t="s">
        <v>126</v>
      </c>
      <c r="B111" s="79" t="s">
        <v>19</v>
      </c>
      <c r="C111" s="79" t="s">
        <v>11</v>
      </c>
      <c r="D111" s="9">
        <v>0.8357</v>
      </c>
      <c r="E111" s="8">
        <v>212.71278988500001</v>
      </c>
      <c r="F111" s="8">
        <v>177.760667762</v>
      </c>
      <c r="G111" s="80">
        <v>21909</v>
      </c>
      <c r="H111" s="80">
        <v>18309</v>
      </c>
      <c r="I111" s="1">
        <v>3894558.47</v>
      </c>
    </row>
    <row r="112" spans="1:9" x14ac:dyDescent="0.2">
      <c r="A112" s="79" t="s">
        <v>127</v>
      </c>
      <c r="B112" s="79" t="s">
        <v>21</v>
      </c>
      <c r="C112" s="79" t="s">
        <v>11</v>
      </c>
      <c r="D112" s="9">
        <v>0.83309999999999995</v>
      </c>
      <c r="E112" s="8">
        <v>215.110272847</v>
      </c>
      <c r="F112" s="8">
        <v>179.20455977</v>
      </c>
      <c r="G112" s="80">
        <v>21909</v>
      </c>
      <c r="H112" s="80">
        <v>18252</v>
      </c>
      <c r="I112" s="1">
        <v>3926192.7</v>
      </c>
    </row>
    <row r="113" spans="1:9" x14ac:dyDescent="0.2">
      <c r="A113" s="79" t="s">
        <v>128</v>
      </c>
      <c r="B113" s="79" t="s">
        <v>23</v>
      </c>
      <c r="C113" s="79" t="s">
        <v>11</v>
      </c>
      <c r="D113" s="9">
        <v>0.5746</v>
      </c>
      <c r="E113" s="8">
        <v>207.173895155</v>
      </c>
      <c r="F113" s="8">
        <v>119.05241407600001</v>
      </c>
      <c r="G113" s="80">
        <v>21909</v>
      </c>
      <c r="H113" s="80">
        <v>12590</v>
      </c>
      <c r="I113" s="1">
        <v>2608319.34</v>
      </c>
    </row>
    <row r="114" spans="1:9" x14ac:dyDescent="0.2">
      <c r="A114" s="79" t="s">
        <v>129</v>
      </c>
      <c r="B114" s="79" t="s">
        <v>10</v>
      </c>
      <c r="C114" s="79" t="s">
        <v>11</v>
      </c>
      <c r="D114" s="9">
        <v>0.61270000000000002</v>
      </c>
      <c r="E114" s="8">
        <v>211.51571811700001</v>
      </c>
      <c r="F114" s="8">
        <v>129.59911451900001</v>
      </c>
      <c r="G114" s="80">
        <v>21909</v>
      </c>
      <c r="H114" s="80">
        <v>13424</v>
      </c>
      <c r="I114" s="1">
        <v>2839387</v>
      </c>
    </row>
    <row r="115" spans="1:9" x14ac:dyDescent="0.2">
      <c r="A115" s="79" t="s">
        <v>130</v>
      </c>
      <c r="B115" s="79" t="s">
        <v>13</v>
      </c>
      <c r="C115" s="79" t="s">
        <v>11</v>
      </c>
      <c r="D115" s="9">
        <v>0.66800000000000004</v>
      </c>
      <c r="E115" s="8">
        <v>211.97513938200001</v>
      </c>
      <c r="F115" s="8">
        <v>141.607017208</v>
      </c>
      <c r="G115" s="80">
        <v>21909</v>
      </c>
      <c r="H115" s="80">
        <v>14636</v>
      </c>
      <c r="I115" s="1">
        <v>3102468.14</v>
      </c>
    </row>
    <row r="116" spans="1:9" x14ac:dyDescent="0.2">
      <c r="A116" s="79" t="s">
        <v>131</v>
      </c>
      <c r="B116" s="79" t="s">
        <v>15</v>
      </c>
      <c r="C116" s="79" t="s">
        <v>11</v>
      </c>
      <c r="D116" s="9">
        <v>0.67179999999999995</v>
      </c>
      <c r="E116" s="8">
        <v>207.48469561100001</v>
      </c>
      <c r="F116" s="8">
        <v>139.38380346</v>
      </c>
      <c r="G116" s="80">
        <v>21909</v>
      </c>
      <c r="H116" s="80">
        <v>14718</v>
      </c>
      <c r="I116" s="1">
        <v>3053759.75</v>
      </c>
    </row>
    <row r="117" spans="1:9" x14ac:dyDescent="0.2">
      <c r="A117" s="79" t="s">
        <v>132</v>
      </c>
      <c r="B117" s="79" t="s">
        <v>17</v>
      </c>
      <c r="C117" s="79" t="s">
        <v>11</v>
      </c>
      <c r="D117" s="9">
        <v>0.69950000000000001</v>
      </c>
      <c r="E117" s="8">
        <v>220.98855595399999</v>
      </c>
      <c r="F117" s="8">
        <v>154.57800994999999</v>
      </c>
      <c r="G117" s="80">
        <v>21909</v>
      </c>
      <c r="H117" s="80">
        <v>15325</v>
      </c>
      <c r="I117" s="1">
        <v>3386649.62</v>
      </c>
    </row>
    <row r="118" spans="1:9" x14ac:dyDescent="0.2">
      <c r="A118" s="79" t="s">
        <v>133</v>
      </c>
      <c r="B118" s="79" t="s">
        <v>19</v>
      </c>
      <c r="C118" s="79" t="s">
        <v>11</v>
      </c>
      <c r="D118" s="9">
        <v>0.86129999999999995</v>
      </c>
      <c r="E118" s="8">
        <v>244.068018123</v>
      </c>
      <c r="F118" s="8">
        <v>210.224454334</v>
      </c>
      <c r="G118" s="80">
        <v>21909</v>
      </c>
      <c r="H118" s="80">
        <v>18871</v>
      </c>
      <c r="I118" s="1">
        <v>4605807.57</v>
      </c>
    </row>
    <row r="119" spans="1:9" x14ac:dyDescent="0.2">
      <c r="A119" s="79" t="s">
        <v>134</v>
      </c>
      <c r="B119" s="79" t="s">
        <v>21</v>
      </c>
      <c r="C119" s="79" t="s">
        <v>11</v>
      </c>
      <c r="D119" s="9">
        <v>0.90590000000000004</v>
      </c>
      <c r="E119" s="8">
        <v>246.280755782</v>
      </c>
      <c r="F119" s="8">
        <v>223.10165502800001</v>
      </c>
      <c r="G119" s="80">
        <v>21909</v>
      </c>
      <c r="H119" s="80">
        <v>19847</v>
      </c>
      <c r="I119" s="1">
        <v>4887934.16</v>
      </c>
    </row>
    <row r="120" spans="1:9" x14ac:dyDescent="0.2">
      <c r="A120" s="79" t="s">
        <v>135</v>
      </c>
      <c r="B120" s="79" t="s">
        <v>23</v>
      </c>
      <c r="C120" s="79" t="s">
        <v>11</v>
      </c>
      <c r="D120" s="9">
        <v>0.76400000000000001</v>
      </c>
      <c r="E120" s="8">
        <v>236.05553975699999</v>
      </c>
      <c r="F120" s="8">
        <v>180.35207814099999</v>
      </c>
      <c r="G120" s="80">
        <v>21909</v>
      </c>
      <c r="H120" s="80">
        <v>16739</v>
      </c>
      <c r="I120" s="1">
        <v>3951333.68</v>
      </c>
    </row>
    <row r="121" spans="1:9" x14ac:dyDescent="0.2">
      <c r="A121" s="79" t="s">
        <v>136</v>
      </c>
      <c r="B121" s="79" t="s">
        <v>10</v>
      </c>
      <c r="C121" s="79" t="s">
        <v>11</v>
      </c>
      <c r="D121" s="9">
        <v>0.77090000000000003</v>
      </c>
      <c r="E121" s="8">
        <v>225.60435523999999</v>
      </c>
      <c r="F121" s="8">
        <v>173.92202108699999</v>
      </c>
      <c r="G121" s="80">
        <v>21909</v>
      </c>
      <c r="H121" s="80">
        <v>16890</v>
      </c>
      <c r="I121" s="1">
        <v>3810457.56</v>
      </c>
    </row>
    <row r="122" spans="1:9" x14ac:dyDescent="0.2">
      <c r="A122" s="79" t="s">
        <v>137</v>
      </c>
      <c r="B122" s="79" t="s">
        <v>13</v>
      </c>
      <c r="C122" s="79" t="s">
        <v>11</v>
      </c>
      <c r="D122" s="9">
        <v>0.79690000000000005</v>
      </c>
      <c r="E122" s="8">
        <v>232.47272737700001</v>
      </c>
      <c r="F122" s="8">
        <v>185.26513396300001</v>
      </c>
      <c r="G122" s="80">
        <v>21909</v>
      </c>
      <c r="H122" s="80">
        <v>17460</v>
      </c>
      <c r="I122" s="1">
        <v>4058973.82</v>
      </c>
    </row>
    <row r="123" spans="1:9" x14ac:dyDescent="0.2">
      <c r="A123" s="79" t="s">
        <v>138</v>
      </c>
      <c r="B123" s="79" t="s">
        <v>15</v>
      </c>
      <c r="C123" s="79" t="s">
        <v>11</v>
      </c>
      <c r="D123" s="9">
        <v>0.60140000000000005</v>
      </c>
      <c r="E123" s="8">
        <v>209.82763187899999</v>
      </c>
      <c r="F123" s="8">
        <v>126.18006527</v>
      </c>
      <c r="G123" s="80">
        <v>21909</v>
      </c>
      <c r="H123" s="80">
        <v>13175</v>
      </c>
      <c r="I123" s="1">
        <v>2764479.05</v>
      </c>
    </row>
    <row r="124" spans="1:9" x14ac:dyDescent="0.2">
      <c r="A124" s="79" t="s">
        <v>139</v>
      </c>
      <c r="B124" s="79" t="s">
        <v>17</v>
      </c>
      <c r="C124" s="79" t="s">
        <v>11</v>
      </c>
      <c r="D124" s="9">
        <v>0.71189999999999998</v>
      </c>
      <c r="E124" s="8">
        <v>211.735683421</v>
      </c>
      <c r="F124" s="8">
        <v>150.744132092</v>
      </c>
      <c r="G124" s="80">
        <v>21909</v>
      </c>
      <c r="H124" s="80">
        <v>15598</v>
      </c>
      <c r="I124" s="1">
        <v>3302653.19</v>
      </c>
    </row>
    <row r="125" spans="1:9" x14ac:dyDescent="0.2">
      <c r="A125" s="79" t="s">
        <v>140</v>
      </c>
      <c r="B125" s="79" t="s">
        <v>19</v>
      </c>
      <c r="C125" s="79" t="s">
        <v>11</v>
      </c>
      <c r="D125" s="9">
        <v>0.83589999999999998</v>
      </c>
      <c r="E125" s="8">
        <v>230.00056517199999</v>
      </c>
      <c r="F125" s="8">
        <v>192.24977634800001</v>
      </c>
      <c r="G125" s="80">
        <v>21909</v>
      </c>
      <c r="H125" s="80">
        <v>18313</v>
      </c>
      <c r="I125" s="1">
        <v>4212000.3499999996</v>
      </c>
    </row>
    <row r="126" spans="1:9" x14ac:dyDescent="0.2">
      <c r="A126" s="79" t="s">
        <v>141</v>
      </c>
      <c r="B126" s="79" t="s">
        <v>21</v>
      </c>
      <c r="C126" s="79" t="s">
        <v>11</v>
      </c>
      <c r="D126" s="9">
        <v>0.82150000000000001</v>
      </c>
      <c r="E126" s="8">
        <v>227.51283698200001</v>
      </c>
      <c r="F126" s="8">
        <v>186.89926696800001</v>
      </c>
      <c r="G126" s="80">
        <v>21909</v>
      </c>
      <c r="H126" s="80">
        <v>17998</v>
      </c>
      <c r="I126" s="1">
        <v>4094776.04</v>
      </c>
    </row>
    <row r="127" spans="1:9" x14ac:dyDescent="0.2">
      <c r="A127" s="79" t="s">
        <v>142</v>
      </c>
      <c r="B127" s="79" t="s">
        <v>23</v>
      </c>
      <c r="C127" s="79" t="s">
        <v>11</v>
      </c>
      <c r="D127" s="9">
        <v>0.67853399999999997</v>
      </c>
      <c r="E127" s="8">
        <v>185.07185725886529</v>
      </c>
      <c r="F127" s="8">
        <v>125.57753571638557</v>
      </c>
      <c r="G127" s="80">
        <v>21909</v>
      </c>
      <c r="H127" s="80">
        <v>14866</v>
      </c>
      <c r="I127" s="1">
        <v>2751278.2300102916</v>
      </c>
    </row>
    <row r="128" spans="1:9" x14ac:dyDescent="0.2">
      <c r="A128" s="79" t="s">
        <v>143</v>
      </c>
      <c r="B128" s="79" t="s">
        <v>10</v>
      </c>
      <c r="C128" s="79" t="s">
        <v>11</v>
      </c>
      <c r="D128" s="9">
        <v>0.80692900000000001</v>
      </c>
      <c r="E128" s="8">
        <v>221.43841393637936</v>
      </c>
      <c r="F128" s="8">
        <v>178.68500250952809</v>
      </c>
      <c r="G128" s="80">
        <v>21909</v>
      </c>
      <c r="H128" s="80">
        <v>17679</v>
      </c>
      <c r="I128" s="1">
        <v>3914809.7199812508</v>
      </c>
    </row>
    <row r="129" spans="1:9" x14ac:dyDescent="0.2">
      <c r="A129" s="79" t="s">
        <v>144</v>
      </c>
      <c r="B129" s="79" t="s">
        <v>13</v>
      </c>
      <c r="C129" s="79" t="s">
        <v>11</v>
      </c>
      <c r="D129" s="9">
        <v>0.860788</v>
      </c>
      <c r="E129" s="8">
        <v>224.47670714271305</v>
      </c>
      <c r="F129" s="8">
        <v>193.22681181269914</v>
      </c>
      <c r="G129" s="80">
        <v>21909</v>
      </c>
      <c r="H129" s="80">
        <v>18859</v>
      </c>
      <c r="I129" s="1">
        <v>4233406.2200044254</v>
      </c>
    </row>
    <row r="130" spans="1:9" x14ac:dyDescent="0.2">
      <c r="A130" s="79" t="s">
        <v>145</v>
      </c>
      <c r="B130" s="79" t="s">
        <v>15</v>
      </c>
      <c r="C130" s="79" t="s">
        <v>11</v>
      </c>
      <c r="D130" s="9">
        <v>0.82459300000000002</v>
      </c>
      <c r="E130" s="8">
        <v>220.2504129298602</v>
      </c>
      <c r="F130" s="8">
        <v>181.61686795339151</v>
      </c>
      <c r="G130" s="80">
        <v>21909</v>
      </c>
      <c r="H130" s="80">
        <v>18066</v>
      </c>
      <c r="I130" s="1">
        <v>3979043.9599908544</v>
      </c>
    </row>
    <row r="131" spans="1:9" x14ac:dyDescent="0.2">
      <c r="A131" s="79" t="s">
        <v>146</v>
      </c>
      <c r="B131" s="79" t="s">
        <v>17</v>
      </c>
      <c r="C131" s="79" t="s">
        <v>11</v>
      </c>
      <c r="D131" s="9">
        <v>0.70788300000000004</v>
      </c>
      <c r="E131" s="8">
        <v>180.11385453519205</v>
      </c>
      <c r="F131" s="8">
        <v>127.49946460296195</v>
      </c>
      <c r="G131" s="80">
        <v>21909</v>
      </c>
      <c r="H131" s="80">
        <v>15509</v>
      </c>
      <c r="I131" s="1">
        <v>2793385.7699862933</v>
      </c>
    </row>
    <row r="132" spans="1:9" x14ac:dyDescent="0.2">
      <c r="A132" s="79" t="s">
        <v>147</v>
      </c>
      <c r="B132" s="79" t="s">
        <v>19</v>
      </c>
      <c r="C132" s="79" t="s">
        <v>11</v>
      </c>
      <c r="D132" s="9">
        <v>0.66945100000000002</v>
      </c>
      <c r="E132" s="8">
        <v>162.73701711266321</v>
      </c>
      <c r="F132" s="8">
        <v>108.94444429190887</v>
      </c>
      <c r="G132" s="80">
        <v>21909</v>
      </c>
      <c r="H132" s="80">
        <v>14667</v>
      </c>
      <c r="I132" s="1">
        <v>2386863.8299914314</v>
      </c>
    </row>
    <row r="133" spans="1:9" x14ac:dyDescent="0.2">
      <c r="A133" s="79" t="s">
        <v>148</v>
      </c>
      <c r="B133" s="79" t="s">
        <v>21</v>
      </c>
      <c r="C133" s="79" t="s">
        <v>11</v>
      </c>
      <c r="D133" s="9">
        <v>0.64895700000000001</v>
      </c>
      <c r="E133" s="8">
        <v>163.59283865577731</v>
      </c>
      <c r="F133" s="8">
        <v>106.1647259120837</v>
      </c>
      <c r="G133" s="80">
        <v>21909</v>
      </c>
      <c r="H133" s="80">
        <v>14218</v>
      </c>
      <c r="I133" s="1">
        <v>2325962.9800078417</v>
      </c>
    </row>
    <row r="134" spans="1:9" x14ac:dyDescent="0.2">
      <c r="A134" s="79" t="s">
        <v>149</v>
      </c>
      <c r="B134" s="79" t="s">
        <v>23</v>
      </c>
      <c r="C134" s="79" t="s">
        <v>11</v>
      </c>
      <c r="D134" s="9">
        <v>0.48897699999999999</v>
      </c>
      <c r="E134" s="8">
        <v>197.2445608148455</v>
      </c>
      <c r="F134" s="8">
        <v>96.448079784994292</v>
      </c>
      <c r="G134" s="80">
        <v>21909</v>
      </c>
      <c r="H134" s="80">
        <v>10713</v>
      </c>
      <c r="I134" s="1">
        <v>2113080.9800094399</v>
      </c>
    </row>
    <row r="135" spans="1:9" x14ac:dyDescent="0.2">
      <c r="A135" s="79" t="s">
        <v>150</v>
      </c>
      <c r="B135" s="79" t="s">
        <v>10</v>
      </c>
      <c r="C135" s="79" t="s">
        <v>11</v>
      </c>
      <c r="D135" s="9">
        <v>0.54352100000000003</v>
      </c>
      <c r="E135" s="8">
        <v>198.38075075561156</v>
      </c>
      <c r="F135" s="8">
        <v>107.82408964342611</v>
      </c>
      <c r="G135" s="80">
        <v>21909</v>
      </c>
      <c r="H135" s="80">
        <v>11908</v>
      </c>
      <c r="I135" s="1">
        <v>2362317.9799978225</v>
      </c>
    </row>
    <row r="136" spans="1:9" x14ac:dyDescent="0.2">
      <c r="A136" s="79" t="s">
        <v>151</v>
      </c>
      <c r="B136" s="79" t="s">
        <v>13</v>
      </c>
      <c r="C136" s="79" t="s">
        <v>11</v>
      </c>
      <c r="D136" s="9">
        <v>0.59062499999999996</v>
      </c>
      <c r="E136" s="8">
        <v>196.97195826828522</v>
      </c>
      <c r="F136" s="8">
        <v>116.33653475702272</v>
      </c>
      <c r="G136" s="80">
        <v>21909</v>
      </c>
      <c r="H136" s="80">
        <v>12940</v>
      </c>
      <c r="I136" s="1">
        <v>2548817.1399916108</v>
      </c>
    </row>
    <row r="137" spans="1:9" x14ac:dyDescent="0.2">
      <c r="A137" s="79" t="s">
        <v>152</v>
      </c>
      <c r="B137" s="79" t="s">
        <v>15</v>
      </c>
      <c r="C137" s="79" t="s">
        <v>11</v>
      </c>
      <c r="D137" s="9">
        <v>0.67871700000000001</v>
      </c>
      <c r="E137" s="8">
        <v>219.33746469353724</v>
      </c>
      <c r="F137" s="8">
        <v>148.86795837294713</v>
      </c>
      <c r="G137" s="80">
        <v>21909</v>
      </c>
      <c r="H137" s="80">
        <v>14870</v>
      </c>
      <c r="I137" s="1">
        <v>3261548.0999928988</v>
      </c>
    </row>
    <row r="138" spans="1:9" x14ac:dyDescent="0.2">
      <c r="A138" s="79" t="s">
        <v>153</v>
      </c>
      <c r="B138" s="79" t="s">
        <v>17</v>
      </c>
      <c r="C138" s="79" t="s">
        <v>11</v>
      </c>
      <c r="D138" s="9">
        <v>0.74280000000000002</v>
      </c>
      <c r="E138" s="8">
        <v>225.32510077316272</v>
      </c>
      <c r="F138" s="8">
        <v>167.37143137443289</v>
      </c>
      <c r="G138" s="80">
        <v>21909</v>
      </c>
      <c r="H138" s="80">
        <v>16274</v>
      </c>
      <c r="I138" s="1">
        <v>3666940.6899824501</v>
      </c>
    </row>
    <row r="139" spans="1:9" x14ac:dyDescent="0.2">
      <c r="A139" s="79" t="s">
        <v>154</v>
      </c>
      <c r="B139" s="79" t="s">
        <v>19</v>
      </c>
      <c r="C139" s="79" t="s">
        <v>11</v>
      </c>
      <c r="D139" s="9">
        <v>0.84618199999999999</v>
      </c>
      <c r="E139" s="8">
        <v>232.01995468991112</v>
      </c>
      <c r="F139" s="8">
        <v>196.33109407075915</v>
      </c>
      <c r="G139" s="80">
        <v>21909</v>
      </c>
      <c r="H139" s="80">
        <v>18539</v>
      </c>
      <c r="I139" s="1">
        <v>4301417.9399962621</v>
      </c>
    </row>
    <row r="140" spans="1:9" x14ac:dyDescent="0.2">
      <c r="A140" s="79" t="s">
        <v>155</v>
      </c>
      <c r="B140" s="79" t="s">
        <v>21</v>
      </c>
      <c r="C140" s="79" t="s">
        <v>11</v>
      </c>
      <c r="D140" s="9">
        <v>0.83408599999999999</v>
      </c>
      <c r="E140" s="8">
        <v>214.04821878122391</v>
      </c>
      <c r="F140" s="8">
        <v>178.53471860915997</v>
      </c>
      <c r="G140" s="80">
        <v>21909</v>
      </c>
      <c r="H140" s="80">
        <v>18274</v>
      </c>
      <c r="I140" s="1">
        <v>3911517.1500080856</v>
      </c>
    </row>
    <row r="141" spans="1:9" x14ac:dyDescent="0.2">
      <c r="A141" s="79" t="s">
        <v>156</v>
      </c>
      <c r="B141" s="79" t="s">
        <v>23</v>
      </c>
      <c r="C141" s="79" t="s">
        <v>11</v>
      </c>
      <c r="D141" s="9">
        <v>0.57926</v>
      </c>
      <c r="E141" s="8">
        <v>196.99151761025055</v>
      </c>
      <c r="F141" s="8">
        <v>114.10924049439454</v>
      </c>
      <c r="G141" s="80">
        <v>21909</v>
      </c>
      <c r="H141" s="80">
        <v>12691</v>
      </c>
      <c r="I141" s="1">
        <v>2500019.3499916899</v>
      </c>
    </row>
    <row r="142" spans="1:9" x14ac:dyDescent="0.2">
      <c r="A142" s="79" t="s">
        <v>157</v>
      </c>
      <c r="B142" s="79" t="s">
        <v>10</v>
      </c>
      <c r="C142" s="79" t="s">
        <v>11</v>
      </c>
      <c r="D142" s="9">
        <v>0.59966200000000003</v>
      </c>
      <c r="E142" s="8">
        <v>210.98229182529846</v>
      </c>
      <c r="F142" s="8">
        <v>126.51811356067238</v>
      </c>
      <c r="G142" s="80">
        <v>21909</v>
      </c>
      <c r="H142" s="80">
        <v>13138</v>
      </c>
      <c r="I142" s="1">
        <v>2771885.3500007712</v>
      </c>
    </row>
    <row r="143" spans="1:9" x14ac:dyDescent="0.2">
      <c r="A143" s="79" t="s">
        <v>158</v>
      </c>
      <c r="B143" s="79" t="s">
        <v>13</v>
      </c>
      <c r="C143" s="79" t="s">
        <v>11</v>
      </c>
      <c r="D143" s="9">
        <v>0.77493299999999998</v>
      </c>
      <c r="E143" s="8">
        <v>221.95041524204652</v>
      </c>
      <c r="F143" s="8">
        <v>171.99662923818821</v>
      </c>
      <c r="G143" s="80">
        <v>21909</v>
      </c>
      <c r="H143" s="80">
        <v>16978</v>
      </c>
      <c r="I143" s="1">
        <v>3768274.1499794656</v>
      </c>
    </row>
    <row r="144" spans="1:9" x14ac:dyDescent="0.2">
      <c r="A144" s="79" t="s">
        <v>159</v>
      </c>
      <c r="B144" s="79" t="s">
        <v>15</v>
      </c>
      <c r="C144" s="79" t="s">
        <v>11</v>
      </c>
      <c r="D144" s="9">
        <v>0.73983299999999996</v>
      </c>
      <c r="E144" s="8">
        <v>218.02559072187302</v>
      </c>
      <c r="F144" s="8">
        <v>161.30251494868958</v>
      </c>
      <c r="G144" s="80">
        <v>21909</v>
      </c>
      <c r="H144" s="80">
        <v>16209</v>
      </c>
      <c r="I144" s="1">
        <v>3533976.8000108399</v>
      </c>
    </row>
    <row r="145" spans="1:9" x14ac:dyDescent="0.2">
      <c r="A145" s="79" t="s">
        <v>160</v>
      </c>
      <c r="B145" s="79" t="s">
        <v>17</v>
      </c>
      <c r="C145" s="79" t="s">
        <v>11</v>
      </c>
      <c r="D145" s="9">
        <v>0.74485400000000002</v>
      </c>
      <c r="E145" s="8">
        <v>217.1860965744759</v>
      </c>
      <c r="F145" s="8">
        <v>161.77187046414133</v>
      </c>
      <c r="G145" s="80">
        <v>21909</v>
      </c>
      <c r="H145" s="80">
        <v>16319</v>
      </c>
      <c r="I145" s="1">
        <v>3544259.9099988723</v>
      </c>
    </row>
    <row r="146" spans="1:9" x14ac:dyDescent="0.2">
      <c r="A146" s="79" t="s">
        <v>161</v>
      </c>
      <c r="B146" s="79" t="s">
        <v>19</v>
      </c>
      <c r="C146" s="79" t="s">
        <v>11</v>
      </c>
      <c r="D146" s="9">
        <v>0.90054299999999998</v>
      </c>
      <c r="E146" s="8">
        <v>239.78616168150089</v>
      </c>
      <c r="F146" s="8">
        <v>215.93778675320701</v>
      </c>
      <c r="G146" s="80">
        <v>21909</v>
      </c>
      <c r="H146" s="80">
        <v>19730</v>
      </c>
      <c r="I146" s="1">
        <v>4730980.9699760126</v>
      </c>
    </row>
    <row r="147" spans="1:9" x14ac:dyDescent="0.2">
      <c r="A147" s="79" t="s">
        <v>162</v>
      </c>
      <c r="B147" s="79" t="s">
        <v>21</v>
      </c>
      <c r="C147" s="79" t="s">
        <v>11</v>
      </c>
      <c r="D147" s="9">
        <v>0.93244800000000005</v>
      </c>
      <c r="E147" s="8">
        <v>228.60591463039148</v>
      </c>
      <c r="F147" s="8">
        <v>213.16309416149835</v>
      </c>
      <c r="G147" s="80">
        <v>21909</v>
      </c>
      <c r="H147" s="80">
        <v>20429</v>
      </c>
      <c r="I147" s="1">
        <v>4670190.2299842676</v>
      </c>
    </row>
    <row r="148" spans="1:9" x14ac:dyDescent="0.2">
      <c r="A148" s="79" t="s">
        <v>163</v>
      </c>
      <c r="B148" s="79" t="s">
        <v>23</v>
      </c>
      <c r="C148" s="79" t="s">
        <v>11</v>
      </c>
      <c r="D148" s="9">
        <v>0.795427</v>
      </c>
      <c r="E148" s="8">
        <v>220.4776461810338</v>
      </c>
      <c r="F148" s="8">
        <v>175.37377059641591</v>
      </c>
      <c r="G148" s="80">
        <v>21909</v>
      </c>
      <c r="H148" s="80">
        <v>17427</v>
      </c>
      <c r="I148" s="1">
        <v>3842263.9399968763</v>
      </c>
    </row>
    <row r="149" spans="1:9" x14ac:dyDescent="0.2">
      <c r="A149" s="79" t="s">
        <v>164</v>
      </c>
      <c r="B149" s="79" t="s">
        <v>10</v>
      </c>
      <c r="C149" s="79" t="s">
        <v>11</v>
      </c>
      <c r="D149" s="9">
        <v>0.54429700000000003</v>
      </c>
      <c r="E149" s="8">
        <v>207.43186666668481</v>
      </c>
      <c r="F149" s="8">
        <v>112.90451458305793</v>
      </c>
      <c r="G149" s="80">
        <v>21909</v>
      </c>
      <c r="H149" s="80">
        <v>11925</v>
      </c>
      <c r="I149" s="1">
        <v>2473625.0100002163</v>
      </c>
    </row>
    <row r="150" spans="1:9" x14ac:dyDescent="0.2">
      <c r="A150" s="79" t="s">
        <v>165</v>
      </c>
      <c r="B150" s="79" t="s">
        <v>13</v>
      </c>
      <c r="C150" s="79" t="s">
        <v>11</v>
      </c>
      <c r="D150" s="9">
        <v>0.635629</v>
      </c>
      <c r="E150" s="8">
        <v>217.44629182807097</v>
      </c>
      <c r="F150" s="8">
        <v>138.21521110035678</v>
      </c>
      <c r="G150" s="80">
        <v>21909</v>
      </c>
      <c r="H150" s="80">
        <v>13926</v>
      </c>
      <c r="I150" s="1">
        <v>3028157.0599977165</v>
      </c>
    </row>
    <row r="151" spans="1:9" x14ac:dyDescent="0.2">
      <c r="A151" s="79" t="s">
        <v>166</v>
      </c>
      <c r="B151" s="79" t="s">
        <v>15</v>
      </c>
      <c r="C151" s="79" t="s">
        <v>11</v>
      </c>
      <c r="D151" s="9">
        <v>0.64763300000000001</v>
      </c>
      <c r="E151" s="8">
        <v>226.59260272028399</v>
      </c>
      <c r="F151" s="8">
        <v>146.74893605359028</v>
      </c>
      <c r="G151" s="80">
        <v>21909</v>
      </c>
      <c r="H151" s="80">
        <v>14189</v>
      </c>
      <c r="I151" s="1">
        <v>3215122.4399981094</v>
      </c>
    </row>
    <row r="152" spans="1:9" x14ac:dyDescent="0.2">
      <c r="A152" s="79" t="s">
        <v>167</v>
      </c>
      <c r="B152" s="79" t="s">
        <v>17</v>
      </c>
      <c r="C152" s="79" t="s">
        <v>11</v>
      </c>
      <c r="D152" s="9">
        <v>0.62787000000000004</v>
      </c>
      <c r="E152" s="8">
        <v>211.36465033494713</v>
      </c>
      <c r="F152" s="8">
        <v>132.70948605630255</v>
      </c>
      <c r="G152" s="80">
        <v>21909</v>
      </c>
      <c r="H152" s="80">
        <v>13756</v>
      </c>
      <c r="I152" s="1">
        <v>2907532.1300075329</v>
      </c>
    </row>
    <row r="153" spans="1:9" x14ac:dyDescent="0.2">
      <c r="A153" s="79" t="s">
        <v>168</v>
      </c>
      <c r="B153" s="79" t="s">
        <v>19</v>
      </c>
      <c r="C153" s="79" t="s">
        <v>11</v>
      </c>
      <c r="D153" s="9">
        <v>0.69624399999999997</v>
      </c>
      <c r="E153" s="8">
        <v>226.45280647639919</v>
      </c>
      <c r="F153" s="8">
        <v>157.66630654027992</v>
      </c>
      <c r="G153" s="80">
        <v>21909</v>
      </c>
      <c r="H153" s="80">
        <v>15254</v>
      </c>
      <c r="I153" s="1">
        <v>3454311.109990993</v>
      </c>
    </row>
    <row r="154" spans="1:9" x14ac:dyDescent="0.2">
      <c r="A154" s="79" t="s">
        <v>169</v>
      </c>
      <c r="B154" s="79" t="s">
        <v>21</v>
      </c>
      <c r="C154" s="79" t="s">
        <v>11</v>
      </c>
      <c r="D154" s="9">
        <v>0.800037</v>
      </c>
      <c r="E154" s="8">
        <v>219.72936273304759</v>
      </c>
      <c r="F154" s="8">
        <v>175.79151353256006</v>
      </c>
      <c r="G154" s="80">
        <v>21909</v>
      </c>
      <c r="H154" s="80">
        <v>17528</v>
      </c>
      <c r="I154" s="1">
        <v>3851416.2699848581</v>
      </c>
    </row>
    <row r="155" spans="1:9" x14ac:dyDescent="0.2">
      <c r="A155" s="79" t="s">
        <v>170</v>
      </c>
      <c r="B155" s="79" t="s">
        <v>23</v>
      </c>
      <c r="C155" s="79" t="s">
        <v>11</v>
      </c>
      <c r="D155" s="9">
        <v>0.74503600000000003</v>
      </c>
      <c r="E155" s="8">
        <v>230.02712246424412</v>
      </c>
      <c r="F155" s="8">
        <v>171.37855310529264</v>
      </c>
      <c r="G155" s="80">
        <v>21909</v>
      </c>
      <c r="H155" s="80">
        <v>16323</v>
      </c>
      <c r="I155" s="1">
        <v>3754732.7199838567</v>
      </c>
    </row>
    <row r="156" spans="1:9" x14ac:dyDescent="0.2">
      <c r="A156" s="79" t="s">
        <v>171</v>
      </c>
      <c r="B156" s="79" t="s">
        <v>10</v>
      </c>
      <c r="C156" s="79" t="s">
        <v>11</v>
      </c>
      <c r="D156" s="9">
        <v>0.79620199999999997</v>
      </c>
      <c r="E156" s="8">
        <v>235.97866315166755</v>
      </c>
      <c r="F156" s="8">
        <v>187.88679538170106</v>
      </c>
      <c r="G156" s="80">
        <v>21909</v>
      </c>
      <c r="H156" s="80">
        <v>17444</v>
      </c>
      <c r="I156" s="1">
        <v>4116411.8000176889</v>
      </c>
    </row>
    <row r="157" spans="1:9" x14ac:dyDescent="0.2">
      <c r="A157" s="79" t="s">
        <v>172</v>
      </c>
      <c r="B157" s="79" t="s">
        <v>13</v>
      </c>
      <c r="C157" s="79" t="s">
        <v>11</v>
      </c>
      <c r="D157" s="9">
        <v>0.79757199999999995</v>
      </c>
      <c r="E157" s="8">
        <v>235.80654114757564</v>
      </c>
      <c r="F157" s="8">
        <v>188.07264138083605</v>
      </c>
      <c r="G157" s="80">
        <v>21909</v>
      </c>
      <c r="H157" s="80">
        <v>17474</v>
      </c>
      <c r="I157" s="1">
        <v>4120483.5000127368</v>
      </c>
    </row>
    <row r="158" spans="1:9" x14ac:dyDescent="0.2">
      <c r="A158" s="79" t="s">
        <v>173</v>
      </c>
      <c r="B158" s="79" t="s">
        <v>15</v>
      </c>
      <c r="C158" s="79" t="s">
        <v>11</v>
      </c>
      <c r="D158" s="9">
        <v>0.792597</v>
      </c>
      <c r="E158" s="8">
        <v>233.07878318331421</v>
      </c>
      <c r="F158" s="8">
        <v>184.73746268557449</v>
      </c>
      <c r="G158" s="80">
        <v>21909</v>
      </c>
      <c r="H158" s="80">
        <v>17365</v>
      </c>
      <c r="I158" s="1">
        <v>4047413.0699782516</v>
      </c>
    </row>
    <row r="159" spans="1:9" x14ac:dyDescent="0.2">
      <c r="A159" s="79" t="s">
        <v>174</v>
      </c>
      <c r="B159" s="79" t="s">
        <v>17</v>
      </c>
      <c r="C159" s="79" t="s">
        <v>11</v>
      </c>
      <c r="D159" s="9">
        <v>0.75325200000000003</v>
      </c>
      <c r="E159" s="8">
        <v>223.00182330398465</v>
      </c>
      <c r="F159" s="8">
        <v>167.97658907232912</v>
      </c>
      <c r="G159" s="80">
        <v>21909</v>
      </c>
      <c r="H159" s="80">
        <v>16503</v>
      </c>
      <c r="I159" s="1">
        <v>3680199.0899856589</v>
      </c>
    </row>
    <row r="160" spans="1:9" x14ac:dyDescent="0.2">
      <c r="A160" s="79" t="s">
        <v>175</v>
      </c>
      <c r="B160" s="79" t="s">
        <v>19</v>
      </c>
      <c r="C160" s="79" t="s">
        <v>11</v>
      </c>
      <c r="D160" s="9">
        <v>0.77547999999999995</v>
      </c>
      <c r="E160" s="8">
        <v>222.46363861182752</v>
      </c>
      <c r="F160" s="8">
        <v>172.51619060728237</v>
      </c>
      <c r="G160" s="80">
        <v>21909</v>
      </c>
      <c r="H160" s="80">
        <v>16990</v>
      </c>
      <c r="I160" s="1">
        <v>3779657.2200149493</v>
      </c>
    </row>
    <row r="161" spans="1:9" x14ac:dyDescent="0.2">
      <c r="A161" s="79" t="s">
        <v>176</v>
      </c>
      <c r="B161" s="79" t="s">
        <v>21</v>
      </c>
      <c r="C161" s="79" t="s">
        <v>11</v>
      </c>
      <c r="D161" s="9">
        <v>0.81363799999999997</v>
      </c>
      <c r="E161" s="8">
        <v>221.99106810238951</v>
      </c>
      <c r="F161" s="8">
        <v>180.62041991844427</v>
      </c>
      <c r="G161" s="80">
        <v>21909</v>
      </c>
      <c r="H161" s="80">
        <v>17826</v>
      </c>
      <c r="I161" s="1">
        <v>3957212.7799931956</v>
      </c>
    </row>
    <row r="162" spans="1:9" x14ac:dyDescent="0.2">
      <c r="A162" s="79" t="s">
        <v>177</v>
      </c>
      <c r="B162" s="79" t="s">
        <v>23</v>
      </c>
      <c r="C162" s="79" t="s">
        <v>11</v>
      </c>
      <c r="D162" s="9">
        <v>0.70884100000000005</v>
      </c>
      <c r="E162" s="8">
        <v>226.72864327016561</v>
      </c>
      <c r="F162" s="8">
        <v>160.71458441670873</v>
      </c>
      <c r="G162" s="80">
        <v>21909</v>
      </c>
      <c r="H162" s="80">
        <v>15530</v>
      </c>
      <c r="I162" s="1">
        <v>3521095.8299856717</v>
      </c>
    </row>
    <row r="163" spans="1:9" x14ac:dyDescent="0.2">
      <c r="A163" s="79" t="s">
        <v>178</v>
      </c>
      <c r="B163" s="79" t="s">
        <v>10</v>
      </c>
      <c r="C163" s="79" t="s">
        <v>11</v>
      </c>
      <c r="D163" s="9">
        <v>0.835364</v>
      </c>
      <c r="E163" s="8">
        <v>259.31539176072766</v>
      </c>
      <c r="F163" s="8">
        <v>216.62286275068868</v>
      </c>
      <c r="G163" s="80">
        <v>21909</v>
      </c>
      <c r="H163" s="80">
        <v>18302</v>
      </c>
      <c r="I163" s="1">
        <v>4745990.300004838</v>
      </c>
    </row>
    <row r="164" spans="1:9" x14ac:dyDescent="0.2">
      <c r="A164" s="79" t="s">
        <v>179</v>
      </c>
      <c r="B164" s="79" t="s">
        <v>13</v>
      </c>
      <c r="C164" s="79" t="s">
        <v>11</v>
      </c>
      <c r="D164" s="9">
        <v>0.87315699999999996</v>
      </c>
      <c r="E164" s="8">
        <v>262.72023680044447</v>
      </c>
      <c r="F164" s="8">
        <v>229.39605321979565</v>
      </c>
      <c r="G164" s="80">
        <v>21909</v>
      </c>
      <c r="H164" s="80">
        <v>19130</v>
      </c>
      <c r="I164" s="1">
        <v>5025838.1299925027</v>
      </c>
    </row>
    <row r="165" spans="1:9" x14ac:dyDescent="0.2">
      <c r="A165" s="79" t="s">
        <v>180</v>
      </c>
      <c r="B165" s="79" t="s">
        <v>15</v>
      </c>
      <c r="C165" s="79" t="s">
        <v>11</v>
      </c>
      <c r="D165" s="9">
        <v>0.84440199999999999</v>
      </c>
      <c r="E165" s="8">
        <v>260.83274432539525</v>
      </c>
      <c r="F165" s="8">
        <v>220.24765028161087</v>
      </c>
      <c r="G165" s="80">
        <v>21909</v>
      </c>
      <c r="H165" s="80">
        <v>18500</v>
      </c>
      <c r="I165" s="1">
        <v>4825405.7700198125</v>
      </c>
    </row>
    <row r="166" spans="1:9" x14ac:dyDescent="0.2">
      <c r="A166" s="79" t="s">
        <v>181</v>
      </c>
      <c r="B166" s="79" t="s">
        <v>17</v>
      </c>
      <c r="C166" s="79" t="s">
        <v>11</v>
      </c>
      <c r="D166" s="9">
        <v>0.75471299999999997</v>
      </c>
      <c r="E166" s="8">
        <v>239.04623465419394</v>
      </c>
      <c r="F166" s="8">
        <v>180.41122324191414</v>
      </c>
      <c r="G166" s="80">
        <v>21909</v>
      </c>
      <c r="H166" s="80">
        <v>16535</v>
      </c>
      <c r="I166" s="1">
        <v>3952629.4900070969</v>
      </c>
    </row>
    <row r="167" spans="1:9" x14ac:dyDescent="0.2">
      <c r="A167" s="79" t="s">
        <v>182</v>
      </c>
      <c r="B167" s="79" t="s">
        <v>19</v>
      </c>
      <c r="C167" s="79" t="s">
        <v>11</v>
      </c>
      <c r="D167" s="9">
        <v>0.77310699999999999</v>
      </c>
      <c r="E167" s="8">
        <v>226.09274707740866</v>
      </c>
      <c r="F167" s="8">
        <v>174.79387238108302</v>
      </c>
      <c r="G167" s="80">
        <v>21909</v>
      </c>
      <c r="H167" s="80">
        <v>16938</v>
      </c>
      <c r="I167" s="1">
        <v>3829558.949997148</v>
      </c>
    </row>
    <row r="168" spans="1:9" x14ac:dyDescent="0.2">
      <c r="A168" s="79" t="s">
        <v>183</v>
      </c>
      <c r="B168" s="79" t="s">
        <v>21</v>
      </c>
      <c r="C168" s="79" t="s">
        <v>11</v>
      </c>
      <c r="D168" s="9">
        <v>0.77758000000000005</v>
      </c>
      <c r="E168" s="8">
        <v>219.46401444000892</v>
      </c>
      <c r="F168" s="8">
        <v>170.65082614450645</v>
      </c>
      <c r="G168" s="80">
        <v>21909</v>
      </c>
      <c r="H168" s="80">
        <v>17036</v>
      </c>
      <c r="I168" s="1">
        <v>3738788.9499999918</v>
      </c>
    </row>
    <row r="169" spans="1:9" x14ac:dyDescent="0.2">
      <c r="A169" s="79" t="s">
        <v>184</v>
      </c>
      <c r="B169" s="79" t="s">
        <v>23</v>
      </c>
      <c r="C169" s="79" t="s">
        <v>11</v>
      </c>
      <c r="D169" s="9">
        <v>0.68565399999999999</v>
      </c>
      <c r="E169" s="8">
        <v>218.93548662031537</v>
      </c>
      <c r="F169" s="8">
        <v>150.11405723722569</v>
      </c>
      <c r="G169" s="80">
        <v>21909</v>
      </c>
      <c r="H169" s="80">
        <v>15022</v>
      </c>
      <c r="I169" s="1">
        <v>3288848.8800103776</v>
      </c>
    </row>
    <row r="170" spans="1:9" x14ac:dyDescent="0.2">
      <c r="A170" s="79" t="s">
        <v>185</v>
      </c>
      <c r="B170" s="79" t="s">
        <v>10</v>
      </c>
      <c r="C170" s="79" t="s">
        <v>11</v>
      </c>
      <c r="D170" s="9">
        <v>0.77662100000000001</v>
      </c>
      <c r="E170" s="8">
        <v>234.97180664248921</v>
      </c>
      <c r="F170" s="8">
        <v>182.48415217590735</v>
      </c>
      <c r="G170" s="80">
        <v>21909</v>
      </c>
      <c r="H170" s="80">
        <v>17015</v>
      </c>
      <c r="I170" s="1">
        <v>3998045.2900219541</v>
      </c>
    </row>
    <row r="171" spans="1:9" x14ac:dyDescent="0.2">
      <c r="A171" s="79" t="s">
        <v>186</v>
      </c>
      <c r="B171" s="79" t="s">
        <v>13</v>
      </c>
      <c r="C171" s="79" t="s">
        <v>11</v>
      </c>
      <c r="D171" s="9">
        <v>0.86485000000000001</v>
      </c>
      <c r="E171" s="8">
        <v>245.369592041602</v>
      </c>
      <c r="F171" s="8">
        <v>212.20790679648888</v>
      </c>
      <c r="G171" s="80">
        <v>21909</v>
      </c>
      <c r="H171" s="80">
        <v>18948</v>
      </c>
      <c r="I171" s="1">
        <v>4649263.030004275</v>
      </c>
    </row>
    <row r="172" spans="1:9" x14ac:dyDescent="0.2">
      <c r="A172" s="79" t="s">
        <v>187</v>
      </c>
      <c r="B172" s="79" t="s">
        <v>15</v>
      </c>
      <c r="C172" s="79" t="s">
        <v>11</v>
      </c>
      <c r="D172" s="9">
        <v>0.86781699999999995</v>
      </c>
      <c r="E172" s="8">
        <v>246.65555988014447</v>
      </c>
      <c r="F172" s="8">
        <v>214.05185814054437</v>
      </c>
      <c r="G172" s="80">
        <v>21909</v>
      </c>
      <c r="H172" s="80">
        <v>19013</v>
      </c>
      <c r="I172" s="1">
        <v>4689662.1600011867</v>
      </c>
    </row>
    <row r="173" spans="1:9" x14ac:dyDescent="0.2">
      <c r="A173" s="79" t="s">
        <v>188</v>
      </c>
      <c r="B173" s="79" t="s">
        <v>17</v>
      </c>
      <c r="C173" s="79" t="s">
        <v>11</v>
      </c>
      <c r="D173" s="9">
        <v>0.83180399999999999</v>
      </c>
      <c r="E173" s="8">
        <v>238.14336973291537</v>
      </c>
      <c r="F173" s="8">
        <v>198.08867451789902</v>
      </c>
      <c r="G173" s="80">
        <v>21909</v>
      </c>
      <c r="H173" s="80">
        <v>18224</v>
      </c>
      <c r="I173" s="1">
        <v>4339924.7700126497</v>
      </c>
    </row>
    <row r="174" spans="1:9" x14ac:dyDescent="0.2">
      <c r="A174" s="79" t="s">
        <v>189</v>
      </c>
      <c r="B174" s="79" t="s">
        <v>19</v>
      </c>
      <c r="C174" s="79" t="s">
        <v>11</v>
      </c>
      <c r="D174" s="9">
        <v>0.84298700000000004</v>
      </c>
      <c r="E174" s="8">
        <v>231.56617358905655</v>
      </c>
      <c r="F174" s="8">
        <v>195.20725090219935</v>
      </c>
      <c r="G174" s="80">
        <v>21909</v>
      </c>
      <c r="H174" s="80">
        <v>18469</v>
      </c>
      <c r="I174" s="1">
        <v>4276795.6600162853</v>
      </c>
    </row>
    <row r="175" spans="1:9" x14ac:dyDescent="0.2">
      <c r="A175" s="79" t="s">
        <v>190</v>
      </c>
      <c r="B175" s="79" t="s">
        <v>21</v>
      </c>
      <c r="C175" s="79" t="s">
        <v>11</v>
      </c>
      <c r="D175" s="9">
        <v>0.86836500000000005</v>
      </c>
      <c r="E175" s="8">
        <v>230.97384546593105</v>
      </c>
      <c r="F175" s="8">
        <v>200.5695107028773</v>
      </c>
      <c r="G175" s="80">
        <v>21909</v>
      </c>
      <c r="H175" s="80">
        <v>19025</v>
      </c>
      <c r="I175" s="1">
        <v>4394277.4099893384</v>
      </c>
    </row>
    <row r="176" spans="1:9" x14ac:dyDescent="0.2">
      <c r="A176" s="79" t="s">
        <v>191</v>
      </c>
      <c r="B176" s="79" t="s">
        <v>23</v>
      </c>
      <c r="C176" s="79" t="s">
        <v>11</v>
      </c>
      <c r="D176" s="9">
        <v>0.74604000000000004</v>
      </c>
      <c r="E176" s="8">
        <v>220.21771979121468</v>
      </c>
      <c r="F176" s="8">
        <v>164.29132456923656</v>
      </c>
      <c r="G176" s="80">
        <v>21909</v>
      </c>
      <c r="H176" s="80">
        <v>16345</v>
      </c>
      <c r="I176" s="1">
        <v>3599458.6299874038</v>
      </c>
    </row>
    <row r="177" spans="1:9" x14ac:dyDescent="0.2">
      <c r="A177" s="79" t="s">
        <v>192</v>
      </c>
      <c r="B177" s="79" t="s">
        <v>10</v>
      </c>
      <c r="C177" s="79" t="s">
        <v>11</v>
      </c>
      <c r="D177" s="9">
        <v>0.79579200000000005</v>
      </c>
      <c r="E177" s="8">
        <v>229.96132549395503</v>
      </c>
      <c r="F177" s="8">
        <v>183.00131041978665</v>
      </c>
      <c r="G177" s="80">
        <v>21909</v>
      </c>
      <c r="H177" s="80">
        <v>17435</v>
      </c>
      <c r="I177" s="1">
        <v>4009375.7099871058</v>
      </c>
    </row>
    <row r="178" spans="1:9" x14ac:dyDescent="0.2">
      <c r="A178" s="79" t="s">
        <v>193</v>
      </c>
      <c r="B178" s="79" t="s">
        <v>13</v>
      </c>
      <c r="C178" s="79" t="s">
        <v>11</v>
      </c>
      <c r="D178" s="9">
        <v>0.83915300000000004</v>
      </c>
      <c r="E178" s="8">
        <v>235.19811803162906</v>
      </c>
      <c r="F178" s="8">
        <v>197.36717330829796</v>
      </c>
      <c r="G178" s="80">
        <v>21909</v>
      </c>
      <c r="H178" s="80">
        <v>18385</v>
      </c>
      <c r="I178" s="1">
        <v>4324117.4000115003</v>
      </c>
    </row>
    <row r="179" spans="1:9" x14ac:dyDescent="0.2">
      <c r="A179" s="79" t="s">
        <v>194</v>
      </c>
      <c r="B179" s="79" t="s">
        <v>15</v>
      </c>
      <c r="C179" s="79" t="s">
        <v>11</v>
      </c>
      <c r="D179" s="9">
        <v>0.87973000000000001</v>
      </c>
      <c r="E179" s="8">
        <v>244.77009442745504</v>
      </c>
      <c r="F179" s="8">
        <v>215.33154411405215</v>
      </c>
      <c r="G179" s="80">
        <v>21909</v>
      </c>
      <c r="H179" s="80">
        <v>19274</v>
      </c>
      <c r="I179" s="1">
        <v>4717698.7999947686</v>
      </c>
    </row>
    <row r="180" spans="1:9" x14ac:dyDescent="0.2">
      <c r="A180" s="79" t="s">
        <v>195</v>
      </c>
      <c r="B180" s="79" t="s">
        <v>17</v>
      </c>
      <c r="C180" s="79" t="s">
        <v>11</v>
      </c>
      <c r="D180" s="9">
        <v>0.88977099999999998</v>
      </c>
      <c r="E180" s="8">
        <v>240.62561967684357</v>
      </c>
      <c r="F180" s="8">
        <v>214.10177689444467</v>
      </c>
      <c r="G180" s="80">
        <v>21909</v>
      </c>
      <c r="H180" s="80">
        <v>19494</v>
      </c>
      <c r="I180" s="1">
        <v>4690755.8299803883</v>
      </c>
    </row>
    <row r="181" spans="1:9" x14ac:dyDescent="0.2">
      <c r="A181" s="79" t="s">
        <v>196</v>
      </c>
      <c r="B181" s="79" t="s">
        <v>19</v>
      </c>
      <c r="C181" s="79" t="s">
        <v>11</v>
      </c>
      <c r="D181" s="9">
        <v>0.874116</v>
      </c>
      <c r="E181" s="8">
        <v>240.72309278936174</v>
      </c>
      <c r="F181" s="8">
        <v>210.41982518641046</v>
      </c>
      <c r="G181" s="80">
        <v>21909</v>
      </c>
      <c r="H181" s="80">
        <v>19151</v>
      </c>
      <c r="I181" s="1">
        <v>4610087.9500090666</v>
      </c>
    </row>
    <row r="182" spans="1:9" x14ac:dyDescent="0.2">
      <c r="A182" s="79" t="s">
        <v>197</v>
      </c>
      <c r="B182" s="79" t="s">
        <v>21</v>
      </c>
      <c r="C182" s="79" t="s">
        <v>11</v>
      </c>
      <c r="D182" s="9">
        <v>0.83248900000000003</v>
      </c>
      <c r="E182" s="8">
        <v>229.15994297842738</v>
      </c>
      <c r="F182" s="8">
        <v>190.77311607026962</v>
      </c>
      <c r="G182" s="80">
        <v>21909</v>
      </c>
      <c r="H182" s="80">
        <v>18239</v>
      </c>
      <c r="I182" s="1">
        <v>4179648.1999835372</v>
      </c>
    </row>
    <row r="183" spans="1:9" x14ac:dyDescent="0.2">
      <c r="A183" s="79" t="s">
        <v>198</v>
      </c>
      <c r="B183" s="79" t="s">
        <v>23</v>
      </c>
      <c r="C183" s="79" t="s">
        <v>11</v>
      </c>
      <c r="D183" s="9">
        <v>0.64019400000000004</v>
      </c>
      <c r="E183" s="8">
        <v>215.98136532147635</v>
      </c>
      <c r="F183" s="8">
        <v>138.26987219859544</v>
      </c>
      <c r="G183" s="80">
        <v>21909</v>
      </c>
      <c r="H183" s="80">
        <v>14026</v>
      </c>
      <c r="I183" s="1">
        <v>3029354.6299990271</v>
      </c>
    </row>
    <row r="184" spans="1:9" x14ac:dyDescent="0.2">
      <c r="A184" s="79" t="s">
        <v>199</v>
      </c>
      <c r="B184" s="79" t="s">
        <v>10</v>
      </c>
      <c r="C184" s="79" t="s">
        <v>11</v>
      </c>
      <c r="D184" s="9">
        <v>0.65073700000000001</v>
      </c>
      <c r="E184" s="8">
        <v>218.05493582032878</v>
      </c>
      <c r="F184" s="8">
        <v>141.89644529601659</v>
      </c>
      <c r="G184" s="80">
        <v>21909</v>
      </c>
      <c r="H184" s="80">
        <v>14257</v>
      </c>
      <c r="I184" s="1">
        <v>3108809.2199904276</v>
      </c>
    </row>
    <row r="185" spans="1:9" x14ac:dyDescent="0.2">
      <c r="A185" s="79" t="s">
        <v>200</v>
      </c>
      <c r="B185" s="79" t="s">
        <v>13</v>
      </c>
      <c r="C185" s="79" t="s">
        <v>11</v>
      </c>
      <c r="D185" s="9">
        <v>0.653613</v>
      </c>
      <c r="E185" s="8">
        <v>218.59128212233693</v>
      </c>
      <c r="F185" s="8">
        <v>142.87403167610867</v>
      </c>
      <c r="G185" s="80">
        <v>21909</v>
      </c>
      <c r="H185" s="80">
        <v>14320</v>
      </c>
      <c r="I185" s="1">
        <v>3130227.159991865</v>
      </c>
    </row>
    <row r="186" spans="1:9" x14ac:dyDescent="0.2">
      <c r="A186" s="79" t="s">
        <v>201</v>
      </c>
      <c r="B186" s="79" t="s">
        <v>15</v>
      </c>
      <c r="C186" s="79" t="s">
        <v>11</v>
      </c>
      <c r="D186" s="9">
        <v>0.74106499999999997</v>
      </c>
      <c r="E186" s="8">
        <v>223.10035230358918</v>
      </c>
      <c r="F186" s="8">
        <v>165.3319329956216</v>
      </c>
      <c r="G186" s="80">
        <v>21909</v>
      </c>
      <c r="H186" s="80">
        <v>16236</v>
      </c>
      <c r="I186" s="1">
        <v>3622257.3200010736</v>
      </c>
    </row>
    <row r="187" spans="1:9" x14ac:dyDescent="0.2">
      <c r="A187" s="79" t="s">
        <v>202</v>
      </c>
      <c r="B187" s="79" t="s">
        <v>17</v>
      </c>
      <c r="C187" s="79" t="s">
        <v>11</v>
      </c>
      <c r="D187" s="9">
        <v>0.86873</v>
      </c>
      <c r="E187" s="8">
        <v>233.43212998421484</v>
      </c>
      <c r="F187" s="8">
        <v>202.78943493493821</v>
      </c>
      <c r="G187" s="80">
        <v>21909</v>
      </c>
      <c r="H187" s="80">
        <v>19033</v>
      </c>
      <c r="I187" s="1">
        <v>4442913.7299895613</v>
      </c>
    </row>
    <row r="188" spans="1:9" x14ac:dyDescent="0.2">
      <c r="A188" s="79" t="s">
        <v>203</v>
      </c>
      <c r="B188" s="79" t="s">
        <v>19</v>
      </c>
      <c r="C188" s="79" t="s">
        <v>11</v>
      </c>
      <c r="D188" s="9">
        <v>0.862842</v>
      </c>
      <c r="E188" s="8">
        <v>229.97727994189043</v>
      </c>
      <c r="F188" s="8">
        <v>198.43399972712112</v>
      </c>
      <c r="G188" s="80">
        <v>21909</v>
      </c>
      <c r="H188" s="80">
        <v>18904</v>
      </c>
      <c r="I188" s="1">
        <v>4347490.5000214968</v>
      </c>
    </row>
    <row r="189" spans="1:9" x14ac:dyDescent="0.2">
      <c r="A189" s="79" t="s">
        <v>204</v>
      </c>
      <c r="B189" s="79" t="s">
        <v>21</v>
      </c>
      <c r="C189" s="79" t="s">
        <v>11</v>
      </c>
      <c r="D189" s="9">
        <v>0.80802399999999996</v>
      </c>
      <c r="E189" s="8">
        <v>223.24840648523971</v>
      </c>
      <c r="F189" s="8">
        <v>180.39009265636034</v>
      </c>
      <c r="G189" s="80">
        <v>21909</v>
      </c>
      <c r="H189" s="80">
        <v>17703</v>
      </c>
      <c r="I189" s="1">
        <v>3952166.5400081985</v>
      </c>
    </row>
    <row r="190" spans="1:9" x14ac:dyDescent="0.2">
      <c r="A190" s="79" t="s">
        <v>205</v>
      </c>
      <c r="B190" s="79" t="s">
        <v>23</v>
      </c>
      <c r="C190" s="79" t="s">
        <v>11</v>
      </c>
      <c r="D190" s="9">
        <v>0.64598999999999995</v>
      </c>
      <c r="E190" s="8">
        <v>213.46006288510722</v>
      </c>
      <c r="F190" s="8">
        <v>137.89311561517744</v>
      </c>
      <c r="G190" s="80">
        <v>21909</v>
      </c>
      <c r="H190" s="80">
        <v>14153</v>
      </c>
      <c r="I190" s="1">
        <v>3021100.2700129226</v>
      </c>
    </row>
    <row r="191" spans="1:9" x14ac:dyDescent="0.2">
      <c r="A191" s="79" t="s">
        <v>206</v>
      </c>
      <c r="B191" s="79" t="s">
        <v>10</v>
      </c>
      <c r="C191" s="79" t="s">
        <v>11</v>
      </c>
      <c r="D191" s="9">
        <v>0.73266699999999996</v>
      </c>
      <c r="E191" s="8">
        <v>224.65799775834716</v>
      </c>
      <c r="F191" s="8">
        <v>164.59948788246788</v>
      </c>
      <c r="G191" s="80">
        <v>21909</v>
      </c>
      <c r="H191" s="80">
        <v>16052</v>
      </c>
      <c r="I191" s="1">
        <v>3606210.1800169889</v>
      </c>
    </row>
    <row r="192" spans="1:9" x14ac:dyDescent="0.2">
      <c r="A192" s="79" t="s">
        <v>207</v>
      </c>
      <c r="B192" s="79" t="s">
        <v>13</v>
      </c>
      <c r="C192" s="79" t="s">
        <v>11</v>
      </c>
      <c r="D192" s="9">
        <v>0.76466299999999998</v>
      </c>
      <c r="E192" s="8">
        <v>227.11366919357911</v>
      </c>
      <c r="F192" s="8">
        <v>173.66540234606924</v>
      </c>
      <c r="G192" s="80">
        <v>21909</v>
      </c>
      <c r="H192" s="80">
        <v>16753</v>
      </c>
      <c r="I192" s="1">
        <v>3804835.300000031</v>
      </c>
    </row>
    <row r="193" spans="1:9" x14ac:dyDescent="0.2">
      <c r="A193" s="79" t="s">
        <v>208</v>
      </c>
      <c r="B193" s="79" t="s">
        <v>15</v>
      </c>
      <c r="C193" s="79" t="s">
        <v>11</v>
      </c>
      <c r="D193" s="9">
        <v>0.74471699999999996</v>
      </c>
      <c r="E193" s="8">
        <v>219.8738446924919</v>
      </c>
      <c r="F193" s="8">
        <v>163.74374229780904</v>
      </c>
      <c r="G193" s="80">
        <v>21909</v>
      </c>
      <c r="H193" s="80">
        <v>16316</v>
      </c>
      <c r="I193" s="1">
        <v>3587461.6500026979</v>
      </c>
    </row>
    <row r="194" spans="1:9" x14ac:dyDescent="0.2">
      <c r="A194" s="79" t="s">
        <v>209</v>
      </c>
      <c r="B194" s="79" t="s">
        <v>17</v>
      </c>
      <c r="C194" s="79" t="s">
        <v>11</v>
      </c>
      <c r="D194" s="9">
        <v>0.74334699999999998</v>
      </c>
      <c r="E194" s="8">
        <v>218.39823959258828</v>
      </c>
      <c r="F194" s="8">
        <v>162.3457816424708</v>
      </c>
      <c r="G194" s="80">
        <v>21909</v>
      </c>
      <c r="H194" s="80">
        <v>16286</v>
      </c>
      <c r="I194" s="1">
        <v>3556833.7300048927</v>
      </c>
    </row>
    <row r="195" spans="1:9" x14ac:dyDescent="0.2">
      <c r="A195" s="79" t="s">
        <v>210</v>
      </c>
      <c r="B195" s="79" t="s">
        <v>19</v>
      </c>
      <c r="C195" s="79" t="s">
        <v>11</v>
      </c>
      <c r="D195" s="9">
        <v>0.80450999999999995</v>
      </c>
      <c r="E195" s="8">
        <v>224.79108929904146</v>
      </c>
      <c r="F195" s="8">
        <v>180.84658085649298</v>
      </c>
      <c r="G195" s="80">
        <v>21909</v>
      </c>
      <c r="H195" s="80">
        <v>17626</v>
      </c>
      <c r="I195" s="1">
        <v>3962167.7399849049</v>
      </c>
    </row>
    <row r="196" spans="1:9" x14ac:dyDescent="0.2">
      <c r="A196" s="79" t="s">
        <v>211</v>
      </c>
      <c r="B196" s="79" t="s">
        <v>21</v>
      </c>
      <c r="C196" s="79" t="s">
        <v>11</v>
      </c>
      <c r="D196" s="9">
        <v>0.85079199999999999</v>
      </c>
      <c r="E196" s="8">
        <v>222.23238036449393</v>
      </c>
      <c r="F196" s="8">
        <v>189.07351179853791</v>
      </c>
      <c r="G196" s="80">
        <v>21909</v>
      </c>
      <c r="H196" s="80">
        <v>18640</v>
      </c>
      <c r="I196" s="1">
        <v>4142411.569994167</v>
      </c>
    </row>
    <row r="197" spans="1:9" x14ac:dyDescent="0.2">
      <c r="A197" s="79" t="s">
        <v>212</v>
      </c>
      <c r="B197" s="79" t="s">
        <v>23</v>
      </c>
      <c r="C197" s="79" t="s">
        <v>11</v>
      </c>
      <c r="D197" s="9">
        <v>0.70024699999999995</v>
      </c>
      <c r="E197" s="8">
        <v>213.68602126030891</v>
      </c>
      <c r="F197" s="8">
        <v>149.63290939837322</v>
      </c>
      <c r="G197" s="80">
        <v>21898</v>
      </c>
      <c r="H197" s="80">
        <v>15334</v>
      </c>
      <c r="I197" s="1">
        <v>3276661.4500055769</v>
      </c>
    </row>
    <row r="198" spans="1:9" x14ac:dyDescent="0.2">
      <c r="A198" s="79" t="s">
        <v>213</v>
      </c>
      <c r="B198" s="79" t="s">
        <v>10</v>
      </c>
      <c r="C198" s="79" t="s">
        <v>11</v>
      </c>
      <c r="D198" s="9">
        <v>0.77920400000000001</v>
      </c>
      <c r="E198" s="8">
        <v>226.71952470345698</v>
      </c>
      <c r="F198" s="8">
        <v>176.66066535825584</v>
      </c>
      <c r="G198" s="80">
        <v>21898</v>
      </c>
      <c r="H198" s="80">
        <v>17063</v>
      </c>
      <c r="I198" s="1">
        <v>3868515.2500150865</v>
      </c>
    </row>
    <row r="199" spans="1:9" x14ac:dyDescent="0.2">
      <c r="A199" s="79" t="s">
        <v>214</v>
      </c>
      <c r="B199" s="79" t="s">
        <v>13</v>
      </c>
      <c r="C199" s="79" t="s">
        <v>11</v>
      </c>
      <c r="D199" s="9">
        <v>0.837565</v>
      </c>
      <c r="E199" s="8">
        <v>232.33090671155375</v>
      </c>
      <c r="F199" s="8">
        <v>194.5922531736509</v>
      </c>
      <c r="G199" s="80">
        <v>21898</v>
      </c>
      <c r="H199" s="80">
        <v>18341</v>
      </c>
      <c r="I199" s="1">
        <v>4261181.1599966073</v>
      </c>
    </row>
    <row r="200" spans="1:9" x14ac:dyDescent="0.2">
      <c r="A200" s="79" t="s">
        <v>215</v>
      </c>
      <c r="B200" s="79" t="s">
        <v>15</v>
      </c>
      <c r="C200" s="79" t="s">
        <v>11</v>
      </c>
      <c r="D200" s="9">
        <v>0.872637</v>
      </c>
      <c r="E200" s="8">
        <v>238.76376785701413</v>
      </c>
      <c r="F200" s="8">
        <v>208.35404329069701</v>
      </c>
      <c r="G200" s="80">
        <v>21898</v>
      </c>
      <c r="H200" s="80">
        <v>19109</v>
      </c>
      <c r="I200" s="1">
        <v>4562536.839979683</v>
      </c>
    </row>
    <row r="201" spans="1:9" x14ac:dyDescent="0.2">
      <c r="A201" s="79" t="s">
        <v>216</v>
      </c>
      <c r="B201" s="79" t="s">
        <v>17</v>
      </c>
      <c r="C201" s="79" t="s">
        <v>11</v>
      </c>
      <c r="D201" s="9">
        <v>0.81633</v>
      </c>
      <c r="E201" s="8">
        <v>227.48413571327714</v>
      </c>
      <c r="F201" s="8">
        <v>185.7021833048928</v>
      </c>
      <c r="G201" s="80">
        <v>21898</v>
      </c>
      <c r="H201" s="80">
        <v>17876</v>
      </c>
      <c r="I201" s="1">
        <v>4066506.4100105423</v>
      </c>
    </row>
    <row r="202" spans="1:9" x14ac:dyDescent="0.2">
      <c r="A202" s="79" t="s">
        <v>217</v>
      </c>
      <c r="B202" s="79" t="s">
        <v>19</v>
      </c>
      <c r="C202" s="79" t="s">
        <v>11</v>
      </c>
      <c r="D202" s="9">
        <v>0.86546699999999999</v>
      </c>
      <c r="E202" s="8">
        <v>234.34331627346052</v>
      </c>
      <c r="F202" s="8">
        <v>202.81644579480428</v>
      </c>
      <c r="G202" s="80">
        <v>21898</v>
      </c>
      <c r="H202" s="80">
        <v>18952</v>
      </c>
      <c r="I202" s="1">
        <v>4441274.5300146239</v>
      </c>
    </row>
    <row r="203" spans="1:9" x14ac:dyDescent="0.2">
      <c r="A203" s="79" t="s">
        <v>218</v>
      </c>
      <c r="B203" s="79" t="s">
        <v>21</v>
      </c>
      <c r="C203" s="79" t="s">
        <v>11</v>
      </c>
      <c r="D203" s="9">
        <v>0.90232000000000001</v>
      </c>
      <c r="E203" s="8">
        <v>233.32474366047128</v>
      </c>
      <c r="F203" s="8">
        <v>210.53354689867808</v>
      </c>
      <c r="G203" s="80">
        <v>21898</v>
      </c>
      <c r="H203" s="80">
        <v>19759</v>
      </c>
      <c r="I203" s="1">
        <v>4610263.6099872524</v>
      </c>
    </row>
    <row r="204" spans="1:9" x14ac:dyDescent="0.2">
      <c r="A204" s="79" t="s">
        <v>219</v>
      </c>
      <c r="B204" s="79" t="s">
        <v>23</v>
      </c>
      <c r="C204" s="79" t="s">
        <v>11</v>
      </c>
      <c r="D204" s="9">
        <v>0.78801699999999997</v>
      </c>
      <c r="E204" s="8">
        <v>223.18693555811851</v>
      </c>
      <c r="F204" s="8">
        <v>175.8751374550595</v>
      </c>
      <c r="G204" s="80">
        <v>21898</v>
      </c>
      <c r="H204" s="80">
        <v>17256</v>
      </c>
      <c r="I204" s="1">
        <v>3851313.7599908928</v>
      </c>
    </row>
    <row r="205" spans="1:9" x14ac:dyDescent="0.2">
      <c r="A205" s="79" t="s">
        <v>220</v>
      </c>
      <c r="B205" s="79" t="s">
        <v>10</v>
      </c>
      <c r="C205" s="79" t="s">
        <v>11</v>
      </c>
      <c r="D205" s="9">
        <v>0.84290799999999999</v>
      </c>
      <c r="E205" s="8">
        <v>234.03798244645375</v>
      </c>
      <c r="F205" s="8">
        <v>197.27249429156285</v>
      </c>
      <c r="G205" s="80">
        <v>21898</v>
      </c>
      <c r="H205" s="80">
        <v>18458</v>
      </c>
      <c r="I205" s="1">
        <v>4319873.0799966436</v>
      </c>
    </row>
    <row r="206" spans="1:9" x14ac:dyDescent="0.2">
      <c r="A206" s="79" t="s">
        <v>221</v>
      </c>
      <c r="B206" s="79" t="s">
        <v>13</v>
      </c>
      <c r="C206" s="79" t="s">
        <v>11</v>
      </c>
      <c r="D206" s="9">
        <v>0.89629199999999998</v>
      </c>
      <c r="E206" s="8">
        <v>249.802491464566</v>
      </c>
      <c r="F206" s="8">
        <v>223.89594940063188</v>
      </c>
      <c r="G206" s="80">
        <v>21898</v>
      </c>
      <c r="H206" s="80">
        <v>19627</v>
      </c>
      <c r="I206" s="1">
        <v>4902873.4999750368</v>
      </c>
    </row>
    <row r="207" spans="1:9" x14ac:dyDescent="0.2">
      <c r="A207" s="79" t="s">
        <v>222</v>
      </c>
      <c r="B207" s="79" t="s">
        <v>15</v>
      </c>
      <c r="C207" s="79" t="s">
        <v>11</v>
      </c>
      <c r="D207" s="9">
        <v>0.86962300000000003</v>
      </c>
      <c r="E207" s="8">
        <v>242.41407236284434</v>
      </c>
      <c r="F207" s="8">
        <v>210.80880354396038</v>
      </c>
      <c r="G207" s="80">
        <v>21898</v>
      </c>
      <c r="H207" s="80">
        <v>19043</v>
      </c>
      <c r="I207" s="1">
        <v>4616291.1800056444</v>
      </c>
    </row>
    <row r="208" spans="1:9" x14ac:dyDescent="0.2">
      <c r="A208" s="79" t="s">
        <v>223</v>
      </c>
      <c r="B208" s="79" t="s">
        <v>17</v>
      </c>
      <c r="C208" s="79" t="s">
        <v>11</v>
      </c>
      <c r="D208" s="9">
        <v>0.86583200000000005</v>
      </c>
      <c r="E208" s="8">
        <v>242.35088080143092</v>
      </c>
      <c r="F208" s="8">
        <v>209.83526806078777</v>
      </c>
      <c r="G208" s="80">
        <v>21898</v>
      </c>
      <c r="H208" s="80">
        <v>18960</v>
      </c>
      <c r="I208" s="1">
        <v>4594972.6999951303</v>
      </c>
    </row>
    <row r="209" spans="1:9" x14ac:dyDescent="0.2">
      <c r="A209" s="79" t="s">
        <v>224</v>
      </c>
      <c r="B209" s="79" t="s">
        <v>19</v>
      </c>
      <c r="C209" s="79" t="s">
        <v>11</v>
      </c>
      <c r="D209" s="9">
        <v>0.87861900000000004</v>
      </c>
      <c r="E209" s="8">
        <v>231.3528950112065</v>
      </c>
      <c r="F209" s="8">
        <v>203.27106128484851</v>
      </c>
      <c r="G209" s="80">
        <v>21898</v>
      </c>
      <c r="H209" s="80">
        <v>19240</v>
      </c>
      <c r="I209" s="1">
        <v>4451229.7000156129</v>
      </c>
    </row>
    <row r="210" spans="1:9" x14ac:dyDescent="0.2">
      <c r="A210" s="79" t="s">
        <v>225</v>
      </c>
      <c r="B210" s="79" t="s">
        <v>21</v>
      </c>
      <c r="C210" s="79" t="s">
        <v>11</v>
      </c>
      <c r="D210" s="9">
        <v>0.916431</v>
      </c>
      <c r="E210" s="8">
        <v>233.88874975121794</v>
      </c>
      <c r="F210" s="8">
        <v>214.34283633242495</v>
      </c>
      <c r="G210" s="80">
        <v>21898</v>
      </c>
      <c r="H210" s="80">
        <v>20068</v>
      </c>
      <c r="I210" s="1">
        <v>4693679.4300074419</v>
      </c>
    </row>
    <row r="211" spans="1:9" x14ac:dyDescent="0.2">
      <c r="A211" s="79" t="s">
        <v>226</v>
      </c>
      <c r="B211" s="79" t="s">
        <v>23</v>
      </c>
      <c r="C211" s="79" t="s">
        <v>11</v>
      </c>
      <c r="D211" s="9">
        <v>0.81706100000000004</v>
      </c>
      <c r="E211" s="8">
        <v>220.96787894131089</v>
      </c>
      <c r="F211" s="8">
        <v>180.54421819426133</v>
      </c>
      <c r="G211" s="80">
        <v>21898</v>
      </c>
      <c r="H211" s="80">
        <v>17892</v>
      </c>
      <c r="I211" s="1">
        <v>3953557.2900179345</v>
      </c>
    </row>
    <row r="212" spans="1:9" x14ac:dyDescent="0.2">
      <c r="A212" s="79" t="s">
        <v>227</v>
      </c>
      <c r="B212" s="79" t="s">
        <v>10</v>
      </c>
      <c r="C212" s="79" t="s">
        <v>11</v>
      </c>
      <c r="D212" s="9">
        <v>0.85592299999999999</v>
      </c>
      <c r="E212" s="8">
        <v>227.47714773436442</v>
      </c>
      <c r="F212" s="8">
        <v>194.70290346082714</v>
      </c>
      <c r="G212" s="80">
        <v>21898</v>
      </c>
      <c r="H212" s="80">
        <v>18743</v>
      </c>
      <c r="I212" s="1">
        <v>4263604.1799851926</v>
      </c>
    </row>
    <row r="213" spans="1:9" x14ac:dyDescent="0.2">
      <c r="A213" s="79" t="s">
        <v>228</v>
      </c>
      <c r="B213" s="79" t="s">
        <v>13</v>
      </c>
      <c r="C213" s="79" t="s">
        <v>11</v>
      </c>
      <c r="D213" s="9">
        <v>0.847383</v>
      </c>
      <c r="E213" s="8">
        <v>222.88334069802139</v>
      </c>
      <c r="F213" s="8">
        <v>188.86762581023311</v>
      </c>
      <c r="G213" s="80">
        <v>21898</v>
      </c>
      <c r="H213" s="80">
        <v>18556</v>
      </c>
      <c r="I213" s="1">
        <v>4135823.2699924847</v>
      </c>
    </row>
    <row r="214" spans="1:9" x14ac:dyDescent="0.2">
      <c r="A214" s="79" t="s">
        <v>229</v>
      </c>
      <c r="B214" s="79" t="s">
        <v>15</v>
      </c>
      <c r="C214" s="79" t="s">
        <v>11</v>
      </c>
      <c r="D214" s="9">
        <v>0.77477399999999996</v>
      </c>
      <c r="E214" s="8">
        <v>219.40353943216283</v>
      </c>
      <c r="F214" s="8">
        <v>169.98814731966732</v>
      </c>
      <c r="G214" s="80">
        <v>21898</v>
      </c>
      <c r="H214" s="80">
        <v>16966</v>
      </c>
      <c r="I214" s="1">
        <v>3722400.4500060747</v>
      </c>
    </row>
    <row r="215" spans="1:9" x14ac:dyDescent="0.2">
      <c r="A215" s="79" t="s">
        <v>230</v>
      </c>
      <c r="B215" s="79" t="s">
        <v>17</v>
      </c>
      <c r="C215" s="79" t="s">
        <v>11</v>
      </c>
      <c r="D215" s="9">
        <v>0.75825699999999996</v>
      </c>
      <c r="E215" s="8">
        <v>176.63471654929285</v>
      </c>
      <c r="F215" s="8">
        <v>133.93447809609941</v>
      </c>
      <c r="G215" s="80">
        <v>21891</v>
      </c>
      <c r="H215" s="80">
        <v>16599</v>
      </c>
      <c r="I215" s="1">
        <v>2931959.6600017119</v>
      </c>
    </row>
    <row r="216" spans="1:9" x14ac:dyDescent="0.2">
      <c r="A216" s="79" t="s">
        <v>231</v>
      </c>
      <c r="B216" s="79" t="s">
        <v>19</v>
      </c>
      <c r="C216" s="79" t="s">
        <v>11</v>
      </c>
      <c r="D216" s="9">
        <v>0.82111400000000001</v>
      </c>
      <c r="E216" s="8">
        <v>184.67244283734652</v>
      </c>
      <c r="F216" s="8">
        <v>151.63707276969089</v>
      </c>
      <c r="G216" s="80">
        <v>21891</v>
      </c>
      <c r="H216" s="80">
        <v>17975</v>
      </c>
      <c r="I216" s="1">
        <v>3319487.1600013035</v>
      </c>
    </row>
    <row r="217" spans="1:9" x14ac:dyDescent="0.2">
      <c r="A217" s="79" t="s">
        <v>232</v>
      </c>
      <c r="B217" s="79" t="s">
        <v>21</v>
      </c>
      <c r="C217" s="79" t="s">
        <v>11</v>
      </c>
      <c r="D217" s="9">
        <v>0.86067300000000002</v>
      </c>
      <c r="E217" s="8">
        <v>184.597953400215</v>
      </c>
      <c r="F217" s="8">
        <v>158.87853638543012</v>
      </c>
      <c r="G217" s="80">
        <v>21891</v>
      </c>
      <c r="H217" s="80">
        <v>18841</v>
      </c>
      <c r="I217" s="1">
        <v>3478010.0400134511</v>
      </c>
    </row>
    <row r="218" spans="1:9" x14ac:dyDescent="0.2">
      <c r="A218" s="79" t="s">
        <v>233</v>
      </c>
      <c r="B218" s="79" t="s">
        <v>23</v>
      </c>
      <c r="C218" s="79" t="s">
        <v>11</v>
      </c>
      <c r="D218" s="9">
        <v>0.71476899999999999</v>
      </c>
      <c r="E218" s="8">
        <v>219.22667092787927</v>
      </c>
      <c r="F218" s="8">
        <v>156.69634644413352</v>
      </c>
      <c r="G218" s="80">
        <v>21891</v>
      </c>
      <c r="H218" s="80">
        <v>15647</v>
      </c>
      <c r="I218" s="1">
        <v>3430239.7200085269</v>
      </c>
    </row>
    <row r="219" spans="1:9" x14ac:dyDescent="0.2">
      <c r="A219" s="79" t="s">
        <v>234</v>
      </c>
      <c r="B219" s="79" t="s">
        <v>10</v>
      </c>
      <c r="C219" s="79" t="s">
        <v>11</v>
      </c>
      <c r="D219" s="9">
        <v>0.75053700000000001</v>
      </c>
      <c r="E219" s="8">
        <v>225.90426171688338</v>
      </c>
      <c r="F219" s="8">
        <v>169.54945045947622</v>
      </c>
      <c r="G219" s="80">
        <v>21891</v>
      </c>
      <c r="H219" s="80">
        <v>16430</v>
      </c>
      <c r="I219" s="1">
        <v>3711607.020008394</v>
      </c>
    </row>
    <row r="220" spans="1:9" x14ac:dyDescent="0.2">
      <c r="A220" s="79" t="s">
        <v>235</v>
      </c>
      <c r="B220" s="79" t="s">
        <v>13</v>
      </c>
      <c r="C220" s="79" t="s">
        <v>11</v>
      </c>
      <c r="D220" s="9">
        <v>0.77406200000000003</v>
      </c>
      <c r="E220" s="8">
        <v>230.02078253115894</v>
      </c>
      <c r="F220" s="8">
        <v>178.05043899275904</v>
      </c>
      <c r="G220" s="80">
        <v>21891</v>
      </c>
      <c r="H220" s="80">
        <v>16945</v>
      </c>
      <c r="I220" s="1">
        <v>3897702.1599904881</v>
      </c>
    </row>
    <row r="221" spans="1:9" x14ac:dyDescent="0.2">
      <c r="A221" s="79" t="s">
        <v>236</v>
      </c>
      <c r="B221" s="79" t="s">
        <v>15</v>
      </c>
      <c r="C221" s="79" t="s">
        <v>11</v>
      </c>
      <c r="D221" s="9">
        <v>0.79731399999999997</v>
      </c>
      <c r="E221" s="8">
        <v>239.90034318810757</v>
      </c>
      <c r="F221" s="8">
        <v>191.27589374652732</v>
      </c>
      <c r="G221" s="80">
        <v>21891</v>
      </c>
      <c r="H221" s="80">
        <v>17454</v>
      </c>
      <c r="I221" s="1">
        <v>4187220.5900052297</v>
      </c>
    </row>
    <row r="222" spans="1:9" x14ac:dyDescent="0.2">
      <c r="A222" s="79" t="s">
        <v>237</v>
      </c>
      <c r="B222" s="79" t="s">
        <v>17</v>
      </c>
      <c r="C222" s="79" t="s">
        <v>11</v>
      </c>
      <c r="D222" s="9">
        <v>0.84491300000000003</v>
      </c>
      <c r="E222" s="8">
        <v>263.38843695968166</v>
      </c>
      <c r="F222" s="8">
        <v>222.54042894368789</v>
      </c>
      <c r="G222" s="80">
        <v>21891</v>
      </c>
      <c r="H222" s="80">
        <v>18496</v>
      </c>
      <c r="I222" s="1">
        <v>4871632.5300062718</v>
      </c>
    </row>
    <row r="223" spans="1:9" x14ac:dyDescent="0.2">
      <c r="A223" s="79" t="s">
        <v>238</v>
      </c>
      <c r="B223" s="79" t="s">
        <v>19</v>
      </c>
      <c r="C223" s="79" t="s">
        <v>11</v>
      </c>
      <c r="D223" s="9">
        <v>0.86738800000000005</v>
      </c>
      <c r="E223" s="8">
        <v>282.61166842169138</v>
      </c>
      <c r="F223" s="8">
        <v>245.13408980818951</v>
      </c>
      <c r="G223" s="80">
        <v>21891</v>
      </c>
      <c r="H223" s="80">
        <v>18988</v>
      </c>
      <c r="I223" s="1">
        <v>5366230.3599910764</v>
      </c>
    </row>
    <row r="224" spans="1:9" x14ac:dyDescent="0.2">
      <c r="A224" s="79" t="s">
        <v>239</v>
      </c>
      <c r="B224" s="79" t="s">
        <v>21</v>
      </c>
      <c r="C224" s="79" t="s">
        <v>11</v>
      </c>
      <c r="D224" s="9">
        <v>0.884656</v>
      </c>
      <c r="E224" s="8">
        <v>279.66177579224342</v>
      </c>
      <c r="F224" s="8">
        <v>247.40441048798985</v>
      </c>
      <c r="G224" s="80">
        <v>21891</v>
      </c>
      <c r="H224" s="80">
        <v>19366</v>
      </c>
      <c r="I224" s="1">
        <v>5415929.9499925859</v>
      </c>
    </row>
    <row r="225" spans="1:9" x14ac:dyDescent="0.2">
      <c r="A225" s="79" t="s">
        <v>240</v>
      </c>
      <c r="B225" s="79" t="s">
        <v>23</v>
      </c>
      <c r="C225" s="79" t="s">
        <v>11</v>
      </c>
      <c r="D225" s="9">
        <v>0.76201399999999997</v>
      </c>
      <c r="E225" s="8">
        <v>229.87941433996156</v>
      </c>
      <c r="F225" s="8">
        <v>175.17122190842491</v>
      </c>
      <c r="G225" s="80">
        <v>21892</v>
      </c>
      <c r="H225" s="80">
        <v>16682</v>
      </c>
      <c r="I225" s="1">
        <v>3834848.3900192385</v>
      </c>
    </row>
    <row r="226" spans="1:9" x14ac:dyDescent="0.2">
      <c r="A226" s="79" t="s">
        <v>241</v>
      </c>
      <c r="B226" s="79" t="s">
        <v>10</v>
      </c>
      <c r="C226" s="79" t="s">
        <v>11</v>
      </c>
      <c r="D226" s="9">
        <v>0.71140099999999995</v>
      </c>
      <c r="E226" s="8">
        <v>207.23991588540363</v>
      </c>
      <c r="F226" s="8">
        <v>147.43077151467551</v>
      </c>
      <c r="G226" s="80">
        <v>21892</v>
      </c>
      <c r="H226" s="80">
        <v>15574</v>
      </c>
      <c r="I226" s="1">
        <v>3227554.4499992761</v>
      </c>
    </row>
    <row r="227" spans="1:9" x14ac:dyDescent="0.2">
      <c r="A227" s="79" t="s">
        <v>242</v>
      </c>
      <c r="B227" s="79" t="s">
        <v>13</v>
      </c>
      <c r="C227" s="79" t="s">
        <v>11</v>
      </c>
      <c r="D227" s="9">
        <v>0.725379</v>
      </c>
      <c r="E227" s="8">
        <v>203.69441876558929</v>
      </c>
      <c r="F227" s="8">
        <v>147.75568107059919</v>
      </c>
      <c r="G227" s="80">
        <v>21892</v>
      </c>
      <c r="H227" s="80">
        <v>15880</v>
      </c>
      <c r="I227" s="1">
        <v>3234667.3699975577</v>
      </c>
    </row>
    <row r="228" spans="1:9" x14ac:dyDescent="0.2">
      <c r="A228" s="79" t="s">
        <v>243</v>
      </c>
      <c r="B228" s="79" t="s">
        <v>15</v>
      </c>
      <c r="C228" s="79" t="s">
        <v>11</v>
      </c>
      <c r="D228" s="9">
        <v>0.72789099999999995</v>
      </c>
      <c r="E228" s="8">
        <v>207.01969689285519</v>
      </c>
      <c r="F228" s="8">
        <v>150.68787091118435</v>
      </c>
      <c r="G228" s="80">
        <v>21892</v>
      </c>
      <c r="H228" s="80">
        <v>15935</v>
      </c>
      <c r="I228" s="1">
        <v>3298858.8699876475</v>
      </c>
    </row>
    <row r="229" spans="1:9" x14ac:dyDescent="0.2">
      <c r="A229" s="79" t="s">
        <v>244</v>
      </c>
      <c r="B229" s="79" t="s">
        <v>17</v>
      </c>
      <c r="C229" s="79" t="s">
        <v>11</v>
      </c>
      <c r="D229" s="9">
        <v>0.71094500000000005</v>
      </c>
      <c r="E229" s="8">
        <v>208.15148676510498</v>
      </c>
      <c r="F229" s="8">
        <v>147.98418326384495</v>
      </c>
      <c r="G229" s="80">
        <v>21892</v>
      </c>
      <c r="H229" s="80">
        <v>15564</v>
      </c>
      <c r="I229" s="1">
        <v>3239669.7400120939</v>
      </c>
    </row>
    <row r="230" spans="1:9" x14ac:dyDescent="0.2">
      <c r="A230" s="79" t="s">
        <v>245</v>
      </c>
      <c r="B230" s="79" t="s">
        <v>19</v>
      </c>
      <c r="C230" s="79" t="s">
        <v>11</v>
      </c>
      <c r="D230" s="9">
        <v>0.75808500000000001</v>
      </c>
      <c r="E230" s="8">
        <v>206.01928537074568</v>
      </c>
      <c r="F230" s="8">
        <v>156.18015987634274</v>
      </c>
      <c r="G230" s="80">
        <v>21892</v>
      </c>
      <c r="H230" s="80">
        <v>16596</v>
      </c>
      <c r="I230" s="1">
        <v>3419096.0600128951</v>
      </c>
    </row>
    <row r="231" spans="1:9" x14ac:dyDescent="0.2">
      <c r="A231" s="79" t="s">
        <v>246</v>
      </c>
      <c r="B231" s="79" t="s">
        <v>21</v>
      </c>
      <c r="C231" s="79" t="s">
        <v>11</v>
      </c>
      <c r="D231" s="9">
        <v>0.80175399999999997</v>
      </c>
      <c r="E231" s="8">
        <v>214.66338479969494</v>
      </c>
      <c r="F231" s="8">
        <v>172.1072414582608</v>
      </c>
      <c r="G231" s="80">
        <v>21892</v>
      </c>
      <c r="H231" s="80">
        <v>17552</v>
      </c>
      <c r="I231" s="1">
        <v>3767771.7300042454</v>
      </c>
    </row>
    <row r="232" spans="1:9" x14ac:dyDescent="0.2">
      <c r="A232" s="79" t="s">
        <v>247</v>
      </c>
      <c r="B232" s="79" t="s">
        <v>23</v>
      </c>
      <c r="C232" s="79" t="s">
        <v>11</v>
      </c>
      <c r="D232" s="9">
        <v>0.66171899999999995</v>
      </c>
      <c r="E232" s="8">
        <v>204.28065636024834</v>
      </c>
      <c r="F232" s="8">
        <v>135.17639888580737</v>
      </c>
      <c r="G232" s="80">
        <v>21896</v>
      </c>
      <c r="H232" s="80">
        <v>14489</v>
      </c>
      <c r="I232" s="1">
        <v>2959822.4300036384</v>
      </c>
    </row>
    <row r="233" spans="1:9" x14ac:dyDescent="0.2">
      <c r="A233" s="79" t="s">
        <v>248</v>
      </c>
      <c r="B233" s="79" t="s">
        <v>10</v>
      </c>
      <c r="C233" s="79" t="s">
        <v>11</v>
      </c>
      <c r="D233" s="9">
        <v>0.73296499999999998</v>
      </c>
      <c r="E233" s="8">
        <v>204.90302760400868</v>
      </c>
      <c r="F233" s="8">
        <v>150.18673228063278</v>
      </c>
      <c r="G233" s="80">
        <v>21896</v>
      </c>
      <c r="H233" s="80">
        <v>16049</v>
      </c>
      <c r="I233" s="1">
        <v>3288488.6900167353</v>
      </c>
    </row>
    <row r="234" spans="1:9" x14ac:dyDescent="0.2">
      <c r="A234" s="79" t="s">
        <v>249</v>
      </c>
      <c r="B234" s="79" t="s">
        <v>13</v>
      </c>
      <c r="C234" s="79" t="s">
        <v>11</v>
      </c>
      <c r="D234" s="9">
        <v>0.73807999999999996</v>
      </c>
      <c r="E234" s="8">
        <v>206.84654353068478</v>
      </c>
      <c r="F234" s="8">
        <v>152.66929987209522</v>
      </c>
      <c r="G234" s="80">
        <v>21896</v>
      </c>
      <c r="H234" s="80">
        <v>16161</v>
      </c>
      <c r="I234" s="1">
        <v>3342846.9899993967</v>
      </c>
    </row>
    <row r="235" spans="1:9" x14ac:dyDescent="0.2">
      <c r="A235" s="79" t="s">
        <v>250</v>
      </c>
      <c r="B235" s="79" t="s">
        <v>15</v>
      </c>
      <c r="C235" s="79" t="s">
        <v>11</v>
      </c>
      <c r="D235" s="9">
        <v>0.70798300000000003</v>
      </c>
      <c r="E235" s="8">
        <v>203.4356128248271</v>
      </c>
      <c r="F235" s="8">
        <v>144.02899479404775</v>
      </c>
      <c r="G235" s="80">
        <v>21896</v>
      </c>
      <c r="H235" s="80">
        <v>15502</v>
      </c>
      <c r="I235" s="1">
        <v>3153658.8700104696</v>
      </c>
    </row>
    <row r="236" spans="1:9" x14ac:dyDescent="0.2">
      <c r="A236" s="79" t="s">
        <v>251</v>
      </c>
      <c r="B236" s="79" t="s">
        <v>17</v>
      </c>
      <c r="C236" s="79" t="s">
        <v>11</v>
      </c>
      <c r="D236" s="9">
        <v>0.66423100000000002</v>
      </c>
      <c r="E236" s="8">
        <v>199.88013132509303</v>
      </c>
      <c r="F236" s="8">
        <v>132.76656147205668</v>
      </c>
      <c r="G236" s="80">
        <v>21896</v>
      </c>
      <c r="H236" s="80">
        <v>14544</v>
      </c>
      <c r="I236" s="1">
        <v>2907056.629992153</v>
      </c>
    </row>
    <row r="237" spans="1:9" x14ac:dyDescent="0.2">
      <c r="A237" s="79" t="s">
        <v>252</v>
      </c>
      <c r="B237" s="79" t="s">
        <v>19</v>
      </c>
      <c r="C237" s="79" t="s">
        <v>11</v>
      </c>
      <c r="D237" s="9">
        <v>0.71296099999999996</v>
      </c>
      <c r="E237" s="8">
        <v>200.03444238117194</v>
      </c>
      <c r="F237" s="8">
        <v>142.61681037689419</v>
      </c>
      <c r="G237" s="80">
        <v>21896</v>
      </c>
      <c r="H237" s="80">
        <v>15611</v>
      </c>
      <c r="I237" s="1">
        <v>3122737.6800124752</v>
      </c>
    </row>
    <row r="238" spans="1:9" x14ac:dyDescent="0.2">
      <c r="A238" s="79" t="s">
        <v>253</v>
      </c>
      <c r="B238" s="79" t="s">
        <v>21</v>
      </c>
      <c r="C238" s="79" t="s">
        <v>11</v>
      </c>
      <c r="D238" s="9">
        <v>0.76050399999999996</v>
      </c>
      <c r="E238" s="8">
        <v>205.78418748483188</v>
      </c>
      <c r="F238" s="8">
        <v>156.49973922165785</v>
      </c>
      <c r="G238" s="80">
        <v>21896</v>
      </c>
      <c r="H238" s="80">
        <v>16652</v>
      </c>
      <c r="I238" s="1">
        <v>3426718.2899974203</v>
      </c>
    </row>
    <row r="239" spans="1:9" x14ac:dyDescent="0.2">
      <c r="A239" s="79" t="s">
        <v>254</v>
      </c>
      <c r="B239" s="79" t="s">
        <v>23</v>
      </c>
      <c r="C239" s="79" t="s">
        <v>11</v>
      </c>
      <c r="D239" s="9">
        <v>0.62490900000000005</v>
      </c>
      <c r="E239" s="8">
        <v>198.10216472957947</v>
      </c>
      <c r="F239" s="8">
        <v>123.79575812910284</v>
      </c>
      <c r="G239" s="80">
        <v>21896</v>
      </c>
      <c r="H239" s="80">
        <v>13683</v>
      </c>
      <c r="I239" s="1">
        <v>2710631.9199948357</v>
      </c>
    </row>
    <row r="240" spans="1:9" x14ac:dyDescent="0.2">
      <c r="A240" s="79" t="s">
        <v>255</v>
      </c>
      <c r="B240" s="79" t="s">
        <v>10</v>
      </c>
      <c r="C240" s="79" t="s">
        <v>11</v>
      </c>
      <c r="D240" s="9">
        <v>0.65769999999999995</v>
      </c>
      <c r="E240" s="8">
        <v>195.56865564876142</v>
      </c>
      <c r="F240" s="8">
        <v>128.62551196555594</v>
      </c>
      <c r="G240" s="80">
        <v>21896</v>
      </c>
      <c r="H240" s="80">
        <v>14401</v>
      </c>
      <c r="I240" s="1">
        <v>2816384.2099978132</v>
      </c>
    </row>
    <row r="241" spans="1:9" x14ac:dyDescent="0.2">
      <c r="A241" s="79" t="s">
        <v>256</v>
      </c>
      <c r="B241" s="79" t="s">
        <v>13</v>
      </c>
      <c r="C241" s="79" t="s">
        <v>11</v>
      </c>
      <c r="D241" s="9">
        <v>0.65432000000000001</v>
      </c>
      <c r="E241" s="8">
        <v>197.30385007295646</v>
      </c>
      <c r="F241" s="8">
        <v>129.09993880139055</v>
      </c>
      <c r="G241" s="80">
        <v>21896</v>
      </c>
      <c r="H241" s="80">
        <v>14327</v>
      </c>
      <c r="I241" s="1">
        <v>2826772.2599952472</v>
      </c>
    </row>
    <row r="242" spans="1:9" x14ac:dyDescent="0.2">
      <c r="A242" s="79" t="s">
        <v>257</v>
      </c>
      <c r="B242" s="79" t="s">
        <v>15</v>
      </c>
      <c r="C242" s="79" t="s">
        <v>11</v>
      </c>
      <c r="D242" s="9">
        <v>0.64436400000000005</v>
      </c>
      <c r="E242" s="8">
        <v>212.03465943629723</v>
      </c>
      <c r="F242" s="8">
        <v>136.62755800085483</v>
      </c>
      <c r="G242" s="80">
        <v>21896</v>
      </c>
      <c r="H242" s="80">
        <v>14109</v>
      </c>
      <c r="I242" s="1">
        <v>2991597.0099867177</v>
      </c>
    </row>
    <row r="243" spans="1:9" x14ac:dyDescent="0.2">
      <c r="A243" s="79" t="s">
        <v>258</v>
      </c>
      <c r="B243" s="79" t="s">
        <v>17</v>
      </c>
      <c r="C243" s="79" t="s">
        <v>11</v>
      </c>
      <c r="D243" s="9">
        <v>0.64952500000000002</v>
      </c>
      <c r="E243" s="8">
        <v>201.14627408275163</v>
      </c>
      <c r="F243" s="8">
        <v>130.6495391854628</v>
      </c>
      <c r="G243" s="80">
        <v>21896</v>
      </c>
      <c r="H243" s="80">
        <v>14222</v>
      </c>
      <c r="I243" s="1">
        <v>2860702.3100048937</v>
      </c>
    </row>
    <row r="244" spans="1:9" x14ac:dyDescent="0.2">
      <c r="A244" s="79" t="s">
        <v>259</v>
      </c>
      <c r="B244" s="79" t="s">
        <v>19</v>
      </c>
      <c r="C244" s="79" t="s">
        <v>11</v>
      </c>
      <c r="D244" s="9">
        <v>0.79247400000000001</v>
      </c>
      <c r="E244" s="8">
        <v>215.09772014755214</v>
      </c>
      <c r="F244" s="8">
        <v>170.45924552431151</v>
      </c>
      <c r="G244" s="80">
        <v>21896</v>
      </c>
      <c r="H244" s="80">
        <v>17352</v>
      </c>
      <c r="I244" s="1">
        <v>3732375.6400003247</v>
      </c>
    </row>
    <row r="245" spans="1:9" x14ac:dyDescent="0.2">
      <c r="A245" s="79" t="s">
        <v>260</v>
      </c>
      <c r="B245" s="79" t="s">
        <v>21</v>
      </c>
      <c r="C245" s="79" t="s">
        <v>11</v>
      </c>
      <c r="D245" s="9">
        <v>0.91130800000000001</v>
      </c>
      <c r="E245" s="8">
        <v>223.92048712079415</v>
      </c>
      <c r="F245" s="8">
        <v>204.0605316043262</v>
      </c>
      <c r="G245" s="80">
        <v>21896</v>
      </c>
      <c r="H245" s="80">
        <v>19954</v>
      </c>
      <c r="I245" s="1">
        <v>4468109.4000083264</v>
      </c>
    </row>
    <row r="246" spans="1:9" x14ac:dyDescent="0.2">
      <c r="A246" s="79" t="s">
        <v>261</v>
      </c>
      <c r="B246" s="79" t="s">
        <v>23</v>
      </c>
      <c r="C246" s="79" t="s">
        <v>11</v>
      </c>
      <c r="D246" s="9">
        <v>0.80293199999999998</v>
      </c>
      <c r="E246" s="8">
        <v>208.35338831654431</v>
      </c>
      <c r="F246" s="8">
        <v>167.29361161824832</v>
      </c>
      <c r="G246" s="80">
        <v>21896</v>
      </c>
      <c r="H246" s="80">
        <v>17581</v>
      </c>
      <c r="I246" s="1">
        <v>3663060.9199931654</v>
      </c>
    </row>
    <row r="247" spans="1:9" x14ac:dyDescent="0.2">
      <c r="A247" s="79" t="s">
        <v>262</v>
      </c>
      <c r="B247" s="79" t="s">
        <v>10</v>
      </c>
      <c r="C247" s="79" t="s">
        <v>11</v>
      </c>
      <c r="D247" s="9">
        <v>0.52543799999999996</v>
      </c>
      <c r="E247" s="8">
        <v>194.60354628472891</v>
      </c>
      <c r="F247" s="8">
        <v>102.25218304739707</v>
      </c>
      <c r="G247" s="80">
        <v>21896</v>
      </c>
      <c r="H247" s="80">
        <v>11505</v>
      </c>
      <c r="I247" s="1">
        <v>2238913.8000058061</v>
      </c>
    </row>
    <row r="248" spans="1:9" x14ac:dyDescent="0.2">
      <c r="A248" s="79" t="s">
        <v>263</v>
      </c>
      <c r="B248" s="79" t="s">
        <v>13</v>
      </c>
      <c r="C248" s="79" t="s">
        <v>11</v>
      </c>
      <c r="D248" s="9">
        <v>0.65879600000000005</v>
      </c>
      <c r="E248" s="8">
        <v>202.18875355287625</v>
      </c>
      <c r="F248" s="8">
        <v>133.20116779321521</v>
      </c>
      <c r="G248" s="80">
        <v>21896</v>
      </c>
      <c r="H248" s="80">
        <v>14425</v>
      </c>
      <c r="I248" s="1">
        <v>2916572.7700002398</v>
      </c>
    </row>
    <row r="249" spans="1:9" x14ac:dyDescent="0.2">
      <c r="A249" s="79" t="s">
        <v>264</v>
      </c>
      <c r="B249" s="79" t="s">
        <v>15</v>
      </c>
      <c r="C249" s="79" t="s">
        <v>11</v>
      </c>
      <c r="D249" s="9">
        <v>0.71560999999999997</v>
      </c>
      <c r="E249" s="8">
        <v>206.49036505224029</v>
      </c>
      <c r="F249" s="8">
        <v>147.76660257597521</v>
      </c>
      <c r="G249" s="80">
        <v>21896</v>
      </c>
      <c r="H249" s="80">
        <v>15669</v>
      </c>
      <c r="I249" s="1">
        <v>3235497.5300035533</v>
      </c>
    </row>
    <row r="250" spans="1:9" x14ac:dyDescent="0.2">
      <c r="A250" s="79" t="s">
        <v>265</v>
      </c>
      <c r="B250" s="79" t="s">
        <v>17</v>
      </c>
      <c r="C250" s="79" t="s">
        <v>11</v>
      </c>
      <c r="D250" s="9">
        <v>0.76653300000000002</v>
      </c>
      <c r="E250" s="8">
        <v>224.67898236434706</v>
      </c>
      <c r="F250" s="8">
        <v>172.22378699320427</v>
      </c>
      <c r="G250" s="80">
        <v>21896</v>
      </c>
      <c r="H250" s="80">
        <v>16784</v>
      </c>
      <c r="I250" s="1">
        <v>3771012.040003201</v>
      </c>
    </row>
    <row r="251" spans="1:9" x14ac:dyDescent="0.2">
      <c r="A251" s="79" t="s">
        <v>266</v>
      </c>
      <c r="B251" s="79" t="s">
        <v>19</v>
      </c>
      <c r="C251" s="79" t="s">
        <v>11</v>
      </c>
      <c r="D251" s="9">
        <v>0.784161</v>
      </c>
      <c r="E251" s="8">
        <v>252.81100349408496</v>
      </c>
      <c r="F251" s="8">
        <v>198.24465336104487</v>
      </c>
      <c r="G251" s="80">
        <v>21896</v>
      </c>
      <c r="H251" s="80">
        <v>17170</v>
      </c>
      <c r="I251" s="1">
        <v>4340764.9299934385</v>
      </c>
    </row>
    <row r="252" spans="1:9" x14ac:dyDescent="0.2">
      <c r="A252" s="79" t="s">
        <v>267</v>
      </c>
      <c r="B252" s="79" t="s">
        <v>21</v>
      </c>
      <c r="C252" s="79" t="s">
        <v>11</v>
      </c>
      <c r="D252" s="9">
        <v>0.84143199999999996</v>
      </c>
      <c r="E252" s="8">
        <v>256.12999131576225</v>
      </c>
      <c r="F252" s="8">
        <v>215.51602849842911</v>
      </c>
      <c r="G252" s="80">
        <v>21896</v>
      </c>
      <c r="H252" s="80">
        <v>18424</v>
      </c>
      <c r="I252" s="1">
        <v>4718938.9600016037</v>
      </c>
    </row>
    <row r="253" spans="1:9" x14ac:dyDescent="0.2">
      <c r="A253" s="79" t="s">
        <v>268</v>
      </c>
      <c r="B253" s="79" t="s">
        <v>23</v>
      </c>
      <c r="C253" s="79" t="s">
        <v>11</v>
      </c>
      <c r="D253" s="9">
        <v>0.72017699999999996</v>
      </c>
      <c r="E253" s="8">
        <v>261.79571437779595</v>
      </c>
      <c r="F253" s="8">
        <v>188.53930489694301</v>
      </c>
      <c r="G253" s="80">
        <v>21896</v>
      </c>
      <c r="H253" s="80">
        <v>15769</v>
      </c>
      <c r="I253" s="1">
        <v>4128256.6200234639</v>
      </c>
    </row>
    <row r="254" spans="1:9" x14ac:dyDescent="0.2">
      <c r="A254" s="79" t="s">
        <v>269</v>
      </c>
      <c r="B254" s="79" t="s">
        <v>10</v>
      </c>
      <c r="C254" s="79" t="s">
        <v>11</v>
      </c>
      <c r="D254" s="9">
        <v>0.92957599999999996</v>
      </c>
      <c r="E254" s="8">
        <v>331.17267662491167</v>
      </c>
      <c r="F254" s="8">
        <v>307.85023109350806</v>
      </c>
      <c r="G254" s="80">
        <v>21896</v>
      </c>
      <c r="H254" s="80">
        <v>20354</v>
      </c>
      <c r="I254" s="1">
        <v>6740688.6600234527</v>
      </c>
    </row>
    <row r="255" spans="1:9" x14ac:dyDescent="0.2">
      <c r="A255" s="79" t="s">
        <v>270</v>
      </c>
      <c r="B255" s="79" t="s">
        <v>13</v>
      </c>
      <c r="C255" s="79" t="s">
        <v>11</v>
      </c>
      <c r="D255" s="9">
        <v>0.95643</v>
      </c>
      <c r="E255" s="8">
        <v>340.93042068810706</v>
      </c>
      <c r="F255" s="8">
        <v>326.07621803298952</v>
      </c>
      <c r="G255" s="80">
        <v>21896</v>
      </c>
      <c r="H255" s="80">
        <v>20942</v>
      </c>
      <c r="I255" s="1">
        <v>7139764.8700503381</v>
      </c>
    </row>
    <row r="256" spans="1:9" x14ac:dyDescent="0.2">
      <c r="A256" s="79" t="s">
        <v>271</v>
      </c>
      <c r="B256" s="79" t="s">
        <v>15</v>
      </c>
      <c r="C256" s="79" t="s">
        <v>11</v>
      </c>
      <c r="D256" s="9">
        <v>0.911856</v>
      </c>
      <c r="E256" s="8">
        <v>312.11937644169888</v>
      </c>
      <c r="F256" s="8">
        <v>284.60794072136281</v>
      </c>
      <c r="G256" s="80">
        <v>21896</v>
      </c>
      <c r="H256" s="80">
        <v>19966</v>
      </c>
      <c r="I256" s="1">
        <v>6231775.4700349597</v>
      </c>
    </row>
    <row r="257" spans="1:9" x14ac:dyDescent="0.2">
      <c r="A257" s="79" t="s">
        <v>272</v>
      </c>
      <c r="B257" s="79" t="s">
        <v>17</v>
      </c>
      <c r="C257" s="79" t="s">
        <v>11</v>
      </c>
      <c r="D257" s="9">
        <v>0.71469700000000003</v>
      </c>
      <c r="E257" s="8">
        <v>233.26500223649299</v>
      </c>
      <c r="F257" s="8">
        <v>166.71373858233827</v>
      </c>
      <c r="G257" s="80">
        <v>21896</v>
      </c>
      <c r="H257" s="80">
        <v>15649</v>
      </c>
      <c r="I257" s="1">
        <v>3650364.0199988787</v>
      </c>
    </row>
    <row r="258" spans="1:9" x14ac:dyDescent="0.2">
      <c r="A258" s="79" t="s">
        <v>273</v>
      </c>
      <c r="B258" s="79" t="s">
        <v>19</v>
      </c>
      <c r="C258" s="79" t="s">
        <v>11</v>
      </c>
      <c r="D258" s="9">
        <v>0.76571100000000003</v>
      </c>
      <c r="E258" s="8">
        <v>227.87513062101638</v>
      </c>
      <c r="F258" s="8">
        <v>174.48641030288459</v>
      </c>
      <c r="G258" s="80">
        <v>21896</v>
      </c>
      <c r="H258" s="80">
        <v>16766</v>
      </c>
      <c r="I258" s="1">
        <v>3820554.4399919608</v>
      </c>
    </row>
    <row r="259" spans="1:9" x14ac:dyDescent="0.2">
      <c r="A259" s="79" t="s">
        <v>274</v>
      </c>
      <c r="B259" s="79" t="s">
        <v>21</v>
      </c>
      <c r="C259" s="79" t="s">
        <v>11</v>
      </c>
      <c r="D259" s="9">
        <v>0.83914900000000003</v>
      </c>
      <c r="E259" s="8">
        <v>228.66886252227383</v>
      </c>
      <c r="F259" s="8">
        <v>191.88717939277765</v>
      </c>
      <c r="G259" s="80">
        <v>21896</v>
      </c>
      <c r="H259" s="80">
        <v>18374</v>
      </c>
      <c r="I259" s="1">
        <v>4201561.6799842594</v>
      </c>
    </row>
    <row r="260" spans="1:9" x14ac:dyDescent="0.2">
      <c r="A260" s="79" t="s">
        <v>275</v>
      </c>
      <c r="B260" s="79" t="s">
        <v>23</v>
      </c>
      <c r="C260" s="79" t="s">
        <v>11</v>
      </c>
      <c r="D260" s="9">
        <v>0.78443600000000002</v>
      </c>
      <c r="E260" s="8">
        <v>224.37576560243843</v>
      </c>
      <c r="F260" s="8">
        <v>176.00831887045499</v>
      </c>
      <c r="G260" s="80">
        <v>21896</v>
      </c>
      <c r="H260" s="80">
        <v>17176</v>
      </c>
      <c r="I260" s="1">
        <v>3853878.1499874825</v>
      </c>
    </row>
    <row r="261" spans="1:9" x14ac:dyDescent="0.2">
      <c r="A261" s="79" t="s">
        <v>276</v>
      </c>
      <c r="B261" s="79" t="s">
        <v>10</v>
      </c>
      <c r="C261" s="79" t="s">
        <v>11</v>
      </c>
      <c r="D261" s="9">
        <v>0.79023600000000005</v>
      </c>
      <c r="E261" s="8">
        <v>222.80638155301472</v>
      </c>
      <c r="F261" s="8">
        <v>176.06954786316285</v>
      </c>
      <c r="G261" s="80">
        <v>21896</v>
      </c>
      <c r="H261" s="80">
        <v>17303</v>
      </c>
      <c r="I261" s="1">
        <v>3855218.8200118137</v>
      </c>
    </row>
    <row r="262" spans="1:9" x14ac:dyDescent="0.2">
      <c r="A262" s="79" t="s">
        <v>277</v>
      </c>
      <c r="B262" s="79" t="s">
        <v>13</v>
      </c>
      <c r="C262" s="79" t="s">
        <v>11</v>
      </c>
      <c r="D262" s="9">
        <v>0.83750500000000005</v>
      </c>
      <c r="E262" s="8">
        <v>226.76888319354819</v>
      </c>
      <c r="F262" s="8">
        <v>189.91997533811139</v>
      </c>
      <c r="G262" s="80">
        <v>21896</v>
      </c>
      <c r="H262" s="80">
        <v>18338</v>
      </c>
      <c r="I262" s="1">
        <v>4158487.7800032869</v>
      </c>
    </row>
    <row r="263" spans="1:9" x14ac:dyDescent="0.2">
      <c r="A263" s="79" t="s">
        <v>278</v>
      </c>
      <c r="B263" s="79" t="s">
        <v>15</v>
      </c>
      <c r="C263" s="79" t="s">
        <v>11</v>
      </c>
      <c r="D263" s="9">
        <v>0.79366099999999995</v>
      </c>
      <c r="E263" s="8">
        <v>220.28268212730632</v>
      </c>
      <c r="F263" s="8">
        <v>174.82976114396826</v>
      </c>
      <c r="G263" s="80">
        <v>21896</v>
      </c>
      <c r="H263" s="80">
        <v>17378</v>
      </c>
      <c r="I263" s="1">
        <v>3828072.450008329</v>
      </c>
    </row>
    <row r="264" spans="1:9" x14ac:dyDescent="0.2">
      <c r="A264" s="79" t="s">
        <v>279</v>
      </c>
      <c r="B264" s="79" t="s">
        <v>17</v>
      </c>
      <c r="C264" s="79" t="s">
        <v>11</v>
      </c>
      <c r="D264" s="9">
        <v>0.82841600000000004</v>
      </c>
      <c r="E264" s="8">
        <v>232.50776889552711</v>
      </c>
      <c r="F264" s="8">
        <v>192.61319053690019</v>
      </c>
      <c r="G264" s="80">
        <v>21896</v>
      </c>
      <c r="H264" s="80">
        <v>18139</v>
      </c>
      <c r="I264" s="1">
        <v>4217458.4199959664</v>
      </c>
    </row>
    <row r="265" spans="1:9" x14ac:dyDescent="0.2">
      <c r="A265" s="79" t="s">
        <v>280</v>
      </c>
      <c r="B265" s="79" t="s">
        <v>19</v>
      </c>
      <c r="C265" s="79" t="s">
        <v>11</v>
      </c>
      <c r="D265" s="9">
        <v>0.83691099999999996</v>
      </c>
      <c r="E265" s="8">
        <v>242.16112960416982</v>
      </c>
      <c r="F265" s="8">
        <v>202.66727712807872</v>
      </c>
      <c r="G265" s="80">
        <v>21896</v>
      </c>
      <c r="H265" s="80">
        <v>18325</v>
      </c>
      <c r="I265" s="1">
        <v>4437602.6999964118</v>
      </c>
    </row>
    <row r="266" spans="1:9" x14ac:dyDescent="0.2">
      <c r="A266" s="79" t="s">
        <v>281</v>
      </c>
      <c r="B266" s="79" t="s">
        <v>21</v>
      </c>
      <c r="C266" s="79" t="s">
        <v>11</v>
      </c>
      <c r="D266" s="9">
        <v>0.89610000000000001</v>
      </c>
      <c r="E266" s="8">
        <v>241.88934763797931</v>
      </c>
      <c r="F266" s="8">
        <v>216.75698255410998</v>
      </c>
      <c r="G266" s="80">
        <v>21896</v>
      </c>
      <c r="H266" s="80">
        <v>19621</v>
      </c>
      <c r="I266" s="1">
        <v>4746110.8900047923</v>
      </c>
    </row>
    <row r="267" spans="1:9" x14ac:dyDescent="0.2">
      <c r="A267" s="79" t="s">
        <v>282</v>
      </c>
      <c r="B267" s="79" t="s">
        <v>23</v>
      </c>
      <c r="C267" s="79" t="s">
        <v>11</v>
      </c>
      <c r="D267" s="9">
        <v>0.80042000000000002</v>
      </c>
      <c r="E267" s="8">
        <v>234.26715280034693</v>
      </c>
      <c r="F267" s="8">
        <v>187.51215381708442</v>
      </c>
      <c r="G267" s="80">
        <v>21896</v>
      </c>
      <c r="H267" s="80">
        <v>17526</v>
      </c>
      <c r="I267" s="1">
        <v>4105766.1199788805</v>
      </c>
    </row>
    <row r="268" spans="1:9" x14ac:dyDescent="0.2">
      <c r="A268" s="79" t="s">
        <v>283</v>
      </c>
      <c r="B268" s="79" t="s">
        <v>10</v>
      </c>
      <c r="C268" s="79" t="s">
        <v>11</v>
      </c>
      <c r="D268" s="9">
        <v>0.84750599999999998</v>
      </c>
      <c r="E268" s="8">
        <v>233.94295791240316</v>
      </c>
      <c r="F268" s="8">
        <v>198.26815262972531</v>
      </c>
      <c r="G268" s="80">
        <v>21896</v>
      </c>
      <c r="H268" s="80">
        <v>18557</v>
      </c>
      <c r="I268" s="1">
        <v>4341279.4699804652</v>
      </c>
    </row>
    <row r="269" spans="1:9" x14ac:dyDescent="0.2">
      <c r="A269" s="79" t="s">
        <v>284</v>
      </c>
      <c r="B269" s="79" t="s">
        <v>13</v>
      </c>
      <c r="C269" s="79" t="s">
        <v>11</v>
      </c>
      <c r="D269" s="9">
        <v>0.87838000000000005</v>
      </c>
      <c r="E269" s="8">
        <v>230.92871522807064</v>
      </c>
      <c r="F269" s="8">
        <v>202.84307544672464</v>
      </c>
      <c r="G269" s="80">
        <v>21896</v>
      </c>
      <c r="H269" s="80">
        <v>19233</v>
      </c>
      <c r="I269" s="1">
        <v>4441451.979981483</v>
      </c>
    </row>
    <row r="270" spans="1:9" x14ac:dyDescent="0.2">
      <c r="A270" s="79" t="s">
        <v>285</v>
      </c>
      <c r="B270" s="79" t="s">
        <v>15</v>
      </c>
      <c r="C270" s="79" t="s">
        <v>11</v>
      </c>
      <c r="D270" s="9">
        <v>0.85508799999999996</v>
      </c>
      <c r="E270" s="8">
        <v>227.70817016402918</v>
      </c>
      <c r="F270" s="8">
        <v>194.7104525932188</v>
      </c>
      <c r="G270" s="80">
        <v>21896</v>
      </c>
      <c r="H270" s="80">
        <v>18723</v>
      </c>
      <c r="I270" s="1">
        <v>4263380.0699811187</v>
      </c>
    </row>
    <row r="271" spans="1:9" x14ac:dyDescent="0.2">
      <c r="A271" s="79" t="s">
        <v>286</v>
      </c>
      <c r="B271" s="79" t="s">
        <v>17</v>
      </c>
      <c r="C271" s="79" t="s">
        <v>11</v>
      </c>
      <c r="D271" s="9">
        <v>0.80571800000000005</v>
      </c>
      <c r="E271" s="8">
        <v>234.49499376443018</v>
      </c>
      <c r="F271" s="8">
        <v>188.93682316368637</v>
      </c>
      <c r="G271" s="80">
        <v>21896</v>
      </c>
      <c r="H271" s="80">
        <v>17642</v>
      </c>
      <c r="I271" s="1">
        <v>4136960.6799920769</v>
      </c>
    </row>
    <row r="272" spans="1:9" x14ac:dyDescent="0.2">
      <c r="A272" s="79" t="s">
        <v>287</v>
      </c>
      <c r="B272" s="79" t="s">
        <v>19</v>
      </c>
      <c r="C272" s="79" t="s">
        <v>11</v>
      </c>
      <c r="D272" s="9">
        <v>0.80740800000000001</v>
      </c>
      <c r="E272" s="8">
        <v>231.82570620489841</v>
      </c>
      <c r="F272" s="8">
        <v>187.17787084382533</v>
      </c>
      <c r="G272" s="80">
        <v>21896</v>
      </c>
      <c r="H272" s="80">
        <v>17679</v>
      </c>
      <c r="I272" s="1">
        <v>4098446.6599963992</v>
      </c>
    </row>
    <row r="273" spans="1:9" x14ac:dyDescent="0.2">
      <c r="A273" s="79" t="s">
        <v>288</v>
      </c>
      <c r="B273" s="79" t="s">
        <v>21</v>
      </c>
      <c r="C273" s="79" t="s">
        <v>11</v>
      </c>
      <c r="D273" s="9">
        <v>0.85746299999999998</v>
      </c>
      <c r="E273" s="8">
        <v>237.82271318135517</v>
      </c>
      <c r="F273" s="8">
        <v>203.92407014888306</v>
      </c>
      <c r="G273" s="80">
        <v>21896</v>
      </c>
      <c r="H273" s="80">
        <v>18775</v>
      </c>
      <c r="I273" s="1">
        <v>4465121.4399799434</v>
      </c>
    </row>
    <row r="274" spans="1:9" x14ac:dyDescent="0.2">
      <c r="A274" s="79" t="s">
        <v>289</v>
      </c>
      <c r="B274" s="79" t="s">
        <v>23</v>
      </c>
      <c r="C274" s="79" t="s">
        <v>11</v>
      </c>
      <c r="D274" s="9">
        <v>0.73237099999999999</v>
      </c>
      <c r="E274" s="8">
        <v>237.67846719804621</v>
      </c>
      <c r="F274" s="8">
        <v>174.06886645907329</v>
      </c>
      <c r="G274" s="80">
        <v>21896</v>
      </c>
      <c r="H274" s="80">
        <v>16036</v>
      </c>
      <c r="I274" s="1">
        <v>3811411.899987869</v>
      </c>
    </row>
    <row r="275" spans="1:9" x14ac:dyDescent="0.2">
      <c r="A275" s="79" t="s">
        <v>290</v>
      </c>
      <c r="B275" s="79" t="s">
        <v>10</v>
      </c>
      <c r="C275" s="79" t="s">
        <v>11</v>
      </c>
      <c r="D275" s="9">
        <v>0.69345999999999997</v>
      </c>
      <c r="E275" s="8">
        <v>229.3879313746437</v>
      </c>
      <c r="F275" s="8">
        <v>159.07135321486069</v>
      </c>
      <c r="G275" s="80">
        <v>21896</v>
      </c>
      <c r="H275" s="80">
        <v>15184</v>
      </c>
      <c r="I275" s="1">
        <v>3483026.34999259</v>
      </c>
    </row>
    <row r="276" spans="1:9" x14ac:dyDescent="0.2">
      <c r="A276" s="79" t="s">
        <v>291</v>
      </c>
      <c r="B276" s="79" t="s">
        <v>13</v>
      </c>
      <c r="C276" s="79" t="s">
        <v>11</v>
      </c>
      <c r="D276" s="9">
        <v>0.70036100000000001</v>
      </c>
      <c r="E276" s="8">
        <v>243.29469817485699</v>
      </c>
      <c r="F276" s="8">
        <v>170.39404054249675</v>
      </c>
      <c r="G276" s="80">
        <v>21903</v>
      </c>
      <c r="H276" s="80">
        <v>15340</v>
      </c>
      <c r="I276" s="1">
        <v>3732140.6700023063</v>
      </c>
    </row>
    <row r="277" spans="1:9" x14ac:dyDescent="0.2">
      <c r="A277" s="79" t="s">
        <v>292</v>
      </c>
      <c r="B277" s="79" t="s">
        <v>15</v>
      </c>
      <c r="C277" s="79" t="s">
        <v>11</v>
      </c>
      <c r="D277" s="9">
        <v>0.70122799999999996</v>
      </c>
      <c r="E277" s="8">
        <v>244.8741506615618</v>
      </c>
      <c r="F277" s="8">
        <v>171.71264575678802</v>
      </c>
      <c r="G277" s="80">
        <v>21903</v>
      </c>
      <c r="H277" s="80">
        <v>15359</v>
      </c>
      <c r="I277" s="1">
        <v>3761022.0800109277</v>
      </c>
    </row>
    <row r="278" spans="1:9" x14ac:dyDescent="0.2">
      <c r="A278" s="79" t="s">
        <v>293</v>
      </c>
      <c r="B278" s="79" t="s">
        <v>17</v>
      </c>
      <c r="C278" s="79" t="s">
        <v>11</v>
      </c>
      <c r="D278" s="9">
        <v>0.78496100000000002</v>
      </c>
      <c r="E278" s="8">
        <v>258.45549118952255</v>
      </c>
      <c r="F278" s="8">
        <v>202.87747158021554</v>
      </c>
      <c r="G278" s="80">
        <v>21903</v>
      </c>
      <c r="H278" s="80">
        <v>17193</v>
      </c>
      <c r="I278" s="1">
        <v>4443625.2600214612</v>
      </c>
    </row>
    <row r="279" spans="1:9" x14ac:dyDescent="0.2">
      <c r="A279" s="79" t="s">
        <v>294</v>
      </c>
      <c r="B279" s="79" t="s">
        <v>19</v>
      </c>
      <c r="C279" s="79" t="s">
        <v>11</v>
      </c>
      <c r="D279" s="9">
        <v>0.86942399999999997</v>
      </c>
      <c r="E279" s="8">
        <v>261.70495300117761</v>
      </c>
      <c r="F279" s="8">
        <v>227.53264027765263</v>
      </c>
      <c r="G279" s="80">
        <v>21903</v>
      </c>
      <c r="H279" s="80">
        <v>19043</v>
      </c>
      <c r="I279" s="1">
        <v>4983647.4200014258</v>
      </c>
    </row>
    <row r="280" spans="1:9" x14ac:dyDescent="0.2">
      <c r="A280" s="79" t="s">
        <v>295</v>
      </c>
      <c r="B280" s="79" t="s">
        <v>21</v>
      </c>
      <c r="C280" s="79" t="s">
        <v>11</v>
      </c>
      <c r="D280" s="9">
        <v>0.88129500000000005</v>
      </c>
      <c r="E280" s="8">
        <v>256.54598404377276</v>
      </c>
      <c r="F280" s="8">
        <v>226.09264164712351</v>
      </c>
      <c r="G280" s="80">
        <v>21903</v>
      </c>
      <c r="H280" s="80">
        <v>19303</v>
      </c>
      <c r="I280" s="1">
        <v>4952107.1299969461</v>
      </c>
    </row>
    <row r="281" spans="1:9" x14ac:dyDescent="0.2">
      <c r="A281" s="79" t="s">
        <v>296</v>
      </c>
      <c r="B281" s="79" t="s">
        <v>23</v>
      </c>
      <c r="C281" s="79" t="s">
        <v>11</v>
      </c>
      <c r="D281" s="9">
        <v>0.772953</v>
      </c>
      <c r="E281" s="8">
        <v>248.2134961599468</v>
      </c>
      <c r="F281" s="8">
        <v>191.85748481887867</v>
      </c>
      <c r="G281" s="80">
        <v>21903</v>
      </c>
      <c r="H281" s="80">
        <v>16930</v>
      </c>
      <c r="I281" s="1">
        <v>4202254.4899878995</v>
      </c>
    </row>
    <row r="282" spans="1:9" x14ac:dyDescent="0.2">
      <c r="A282" s="79" t="s">
        <v>297</v>
      </c>
      <c r="B282" s="79" t="s">
        <v>10</v>
      </c>
      <c r="C282" s="79" t="s">
        <v>11</v>
      </c>
      <c r="D282" s="9">
        <v>0.75848099999999996</v>
      </c>
      <c r="E282" s="8">
        <v>258.44311322456622</v>
      </c>
      <c r="F282" s="8">
        <v>196.02408071952328</v>
      </c>
      <c r="G282" s="80">
        <v>21903</v>
      </c>
      <c r="H282" s="80">
        <v>16613</v>
      </c>
      <c r="I282" s="1">
        <v>4293515.4399997182</v>
      </c>
    </row>
    <row r="283" spans="1:9" x14ac:dyDescent="0.2">
      <c r="A283" s="79" t="s">
        <v>298</v>
      </c>
      <c r="B283" s="79" t="s">
        <v>13</v>
      </c>
      <c r="C283" s="79" t="s">
        <v>11</v>
      </c>
      <c r="D283" s="9">
        <v>0.84755499999999995</v>
      </c>
      <c r="E283" s="8">
        <v>270.65650560316834</v>
      </c>
      <c r="F283" s="8">
        <v>229.3963096387352</v>
      </c>
      <c r="G283" s="80">
        <v>21903</v>
      </c>
      <c r="H283" s="80">
        <v>18564</v>
      </c>
      <c r="I283" s="1">
        <v>5024467.3700172175</v>
      </c>
    </row>
    <row r="284" spans="1:9" x14ac:dyDescent="0.2">
      <c r="A284" s="79" t="s">
        <v>299</v>
      </c>
      <c r="B284" s="79" t="s">
        <v>15</v>
      </c>
      <c r="C284" s="79" t="s">
        <v>11</v>
      </c>
      <c r="D284" s="9">
        <v>0.87937699999999996</v>
      </c>
      <c r="E284" s="8">
        <v>280.65454597260236</v>
      </c>
      <c r="F284" s="8">
        <v>246.80122403224644</v>
      </c>
      <c r="G284" s="80">
        <v>21903</v>
      </c>
      <c r="H284" s="80">
        <v>19261</v>
      </c>
      <c r="I284" s="1">
        <v>5405687.2099782936</v>
      </c>
    </row>
    <row r="285" spans="1:9" x14ac:dyDescent="0.2">
      <c r="A285" s="79" t="s">
        <v>300</v>
      </c>
      <c r="B285" s="79" t="s">
        <v>17</v>
      </c>
      <c r="C285" s="79" t="s">
        <v>11</v>
      </c>
      <c r="D285" s="9">
        <v>0.90704499999999999</v>
      </c>
      <c r="E285" s="8">
        <v>288.14789147829828</v>
      </c>
      <c r="F285" s="8">
        <v>261.36301693828938</v>
      </c>
      <c r="G285" s="80">
        <v>21903</v>
      </c>
      <c r="H285" s="80">
        <v>19867</v>
      </c>
      <c r="I285" s="1">
        <v>5724634.1599993519</v>
      </c>
    </row>
    <row r="286" spans="1:9" x14ac:dyDescent="0.2">
      <c r="A286" s="79" t="s">
        <v>301</v>
      </c>
      <c r="B286" s="79" t="s">
        <v>19</v>
      </c>
      <c r="C286" s="79" t="s">
        <v>11</v>
      </c>
      <c r="D286" s="9">
        <v>0.89307400000000003</v>
      </c>
      <c r="E286" s="8">
        <v>278.02814937856647</v>
      </c>
      <c r="F286" s="8">
        <v>248.2997137375765</v>
      </c>
      <c r="G286" s="80">
        <v>21903</v>
      </c>
      <c r="H286" s="80">
        <v>19561</v>
      </c>
      <c r="I286" s="1">
        <v>5438508.6299941381</v>
      </c>
    </row>
    <row r="287" spans="1:9" x14ac:dyDescent="0.2">
      <c r="A287" s="79" t="s">
        <v>302</v>
      </c>
      <c r="B287" s="79" t="s">
        <v>21</v>
      </c>
      <c r="C287" s="79" t="s">
        <v>11</v>
      </c>
      <c r="D287" s="9">
        <v>0.92238500000000001</v>
      </c>
      <c r="E287" s="8">
        <v>266.59552145759471</v>
      </c>
      <c r="F287" s="8">
        <v>245.90372643052487</v>
      </c>
      <c r="G287" s="80">
        <v>21903</v>
      </c>
      <c r="H287" s="80">
        <v>20203</v>
      </c>
      <c r="I287" s="1">
        <v>5386029.3200077862</v>
      </c>
    </row>
    <row r="288" spans="1:9" x14ac:dyDescent="0.2">
      <c r="A288" s="79" t="s">
        <v>303</v>
      </c>
      <c r="B288" s="79" t="s">
        <v>23</v>
      </c>
      <c r="C288" s="79" t="s">
        <v>11</v>
      </c>
      <c r="D288" s="9">
        <v>0.82350500000000004</v>
      </c>
      <c r="E288" s="8">
        <v>248.2402264913672</v>
      </c>
      <c r="F288" s="8">
        <v>204.42703011159821</v>
      </c>
      <c r="G288" s="80">
        <v>21553</v>
      </c>
      <c r="H288" s="80">
        <v>17749</v>
      </c>
      <c r="I288" s="1">
        <v>4406015.7799952766</v>
      </c>
    </row>
    <row r="289" spans="1:9" x14ac:dyDescent="0.2">
      <c r="A289" s="79" t="s">
        <v>304</v>
      </c>
      <c r="B289" s="79" t="s">
        <v>10</v>
      </c>
      <c r="C289" s="79" t="s">
        <v>11</v>
      </c>
      <c r="D289" s="9">
        <v>0.71920399999999995</v>
      </c>
      <c r="E289" s="8">
        <v>243.427532418129</v>
      </c>
      <c r="F289" s="8">
        <v>175.07401197111389</v>
      </c>
      <c r="G289" s="80">
        <v>21553</v>
      </c>
      <c r="H289" s="80">
        <v>15501</v>
      </c>
      <c r="I289" s="1">
        <v>3773370.1800134177</v>
      </c>
    </row>
    <row r="290" spans="1:9" x14ac:dyDescent="0.2">
      <c r="A290" s="79" t="s">
        <v>305</v>
      </c>
      <c r="B290" s="79" t="s">
        <v>13</v>
      </c>
      <c r="C290" s="79" t="s">
        <v>11</v>
      </c>
      <c r="D290" s="9">
        <v>0.728854</v>
      </c>
      <c r="E290" s="8">
        <v>244.73988859954736</v>
      </c>
      <c r="F290" s="8">
        <v>178.37975734284274</v>
      </c>
      <c r="G290" s="80">
        <v>21553</v>
      </c>
      <c r="H290" s="80">
        <v>15709</v>
      </c>
      <c r="I290" s="1">
        <v>3844618.9100102894</v>
      </c>
    </row>
    <row r="291" spans="1:9" x14ac:dyDescent="0.2">
      <c r="A291" s="79" t="s">
        <v>306</v>
      </c>
      <c r="B291" s="79" t="s">
        <v>15</v>
      </c>
      <c r="C291" s="79" t="s">
        <v>11</v>
      </c>
      <c r="D291" s="9">
        <v>0.75548599999999999</v>
      </c>
      <c r="E291" s="8">
        <v>251.55783946536849</v>
      </c>
      <c r="F291" s="8">
        <v>190.04854544678676</v>
      </c>
      <c r="G291" s="80">
        <v>21553</v>
      </c>
      <c r="H291" s="80">
        <v>16283</v>
      </c>
      <c r="I291" s="1">
        <v>4096116.300014595</v>
      </c>
    </row>
    <row r="292" spans="1:9" x14ac:dyDescent="0.2">
      <c r="A292" s="79" t="s">
        <v>307</v>
      </c>
      <c r="B292" s="79" t="s">
        <v>17</v>
      </c>
      <c r="C292" s="79" t="s">
        <v>11</v>
      </c>
      <c r="D292" s="9">
        <v>0.81571000000000005</v>
      </c>
      <c r="E292" s="8">
        <v>256.68193618189571</v>
      </c>
      <c r="F292" s="8">
        <v>209.37805038806238</v>
      </c>
      <c r="G292" s="80">
        <v>21553</v>
      </c>
      <c r="H292" s="80">
        <v>17581</v>
      </c>
      <c r="I292" s="1">
        <v>4512725.1200139085</v>
      </c>
    </row>
    <row r="293" spans="1:9" x14ac:dyDescent="0.2">
      <c r="A293" s="79" t="s">
        <v>308</v>
      </c>
      <c r="B293" s="79" t="s">
        <v>19</v>
      </c>
      <c r="C293" s="79" t="s">
        <v>11</v>
      </c>
      <c r="D293" s="9">
        <v>0.87514499999999995</v>
      </c>
      <c r="E293" s="8">
        <v>263.54918990626669</v>
      </c>
      <c r="F293" s="8">
        <v>230.64375353834743</v>
      </c>
      <c r="G293" s="80">
        <v>21553</v>
      </c>
      <c r="H293" s="80">
        <v>18862</v>
      </c>
      <c r="I293" s="1">
        <v>4971064.8200120023</v>
      </c>
    </row>
    <row r="294" spans="1:9" x14ac:dyDescent="0.2">
      <c r="A294" s="79" t="s">
        <v>309</v>
      </c>
      <c r="B294" s="79" t="s">
        <v>21</v>
      </c>
      <c r="C294" s="79" t="s">
        <v>11</v>
      </c>
      <c r="D294" s="9">
        <v>0.87069099999999999</v>
      </c>
      <c r="E294" s="8">
        <v>254.04557710782933</v>
      </c>
      <c r="F294" s="8">
        <v>221.19516076673898</v>
      </c>
      <c r="G294" s="80">
        <v>21553</v>
      </c>
      <c r="H294" s="80">
        <v>18766</v>
      </c>
      <c r="I294" s="1">
        <v>4767419.3000055254</v>
      </c>
    </row>
    <row r="295" spans="1:9" x14ac:dyDescent="0.2">
      <c r="A295" s="79" t="s">
        <v>310</v>
      </c>
      <c r="B295" s="79" t="s">
        <v>23</v>
      </c>
      <c r="C295" s="79" t="s">
        <v>11</v>
      </c>
      <c r="D295" s="9">
        <v>0.69544799999999996</v>
      </c>
      <c r="E295" s="8">
        <v>236.66449596376552</v>
      </c>
      <c r="F295" s="8">
        <v>164.587952025281</v>
      </c>
      <c r="G295" s="80">
        <v>21553</v>
      </c>
      <c r="H295" s="80">
        <v>14989</v>
      </c>
      <c r="I295" s="1">
        <v>3547364.1300008814</v>
      </c>
    </row>
    <row r="296" spans="1:9" x14ac:dyDescent="0.2">
      <c r="A296" s="79" t="s">
        <v>311</v>
      </c>
      <c r="B296" s="79" t="s">
        <v>10</v>
      </c>
      <c r="C296" s="79" t="s">
        <v>11</v>
      </c>
      <c r="D296" s="9">
        <v>0.68222499999999997</v>
      </c>
      <c r="E296" s="8">
        <v>233.16292709390788</v>
      </c>
      <c r="F296" s="8">
        <v>159.06962742953749</v>
      </c>
      <c r="G296" s="80">
        <v>21553</v>
      </c>
      <c r="H296" s="80">
        <v>14704</v>
      </c>
      <c r="I296" s="1">
        <v>3428427.6799888215</v>
      </c>
    </row>
    <row r="297" spans="1:9" x14ac:dyDescent="0.2">
      <c r="A297" s="79" t="s">
        <v>312</v>
      </c>
      <c r="B297" s="79" t="s">
        <v>13</v>
      </c>
      <c r="C297" s="79" t="s">
        <v>11</v>
      </c>
      <c r="D297" s="9">
        <v>0.72426100000000004</v>
      </c>
      <c r="E297" s="8">
        <v>234.05569955042185</v>
      </c>
      <c r="F297" s="8">
        <v>169.51744397448547</v>
      </c>
      <c r="G297" s="80">
        <v>21553</v>
      </c>
      <c r="H297" s="80">
        <v>15610</v>
      </c>
      <c r="I297" s="1">
        <v>3653609.4699820853</v>
      </c>
    </row>
    <row r="298" spans="1:9" x14ac:dyDescent="0.2">
      <c r="A298" s="79" t="s">
        <v>313</v>
      </c>
      <c r="B298" s="79" t="s">
        <v>15</v>
      </c>
      <c r="C298" s="79" t="s">
        <v>11</v>
      </c>
      <c r="D298" s="9">
        <v>0.73706700000000003</v>
      </c>
      <c r="E298" s="8">
        <v>236.05455243718598</v>
      </c>
      <c r="F298" s="8">
        <v>173.98796548123863</v>
      </c>
      <c r="G298" s="80">
        <v>21553</v>
      </c>
      <c r="H298" s="80">
        <v>15886</v>
      </c>
      <c r="I298" s="1">
        <v>3749962.6200171364</v>
      </c>
    </row>
    <row r="299" spans="1:9" x14ac:dyDescent="0.2">
      <c r="A299" s="79" t="s">
        <v>314</v>
      </c>
      <c r="B299" s="79" t="s">
        <v>17</v>
      </c>
      <c r="C299" s="79" t="s">
        <v>11</v>
      </c>
      <c r="D299" s="9">
        <v>0.79719799999999996</v>
      </c>
      <c r="E299" s="8">
        <v>240.38173612023905</v>
      </c>
      <c r="F299" s="8">
        <v>191.63174453755613</v>
      </c>
      <c r="G299" s="80">
        <v>21553</v>
      </c>
      <c r="H299" s="80">
        <v>17182</v>
      </c>
      <c r="I299" s="1">
        <v>4130238.9900179473</v>
      </c>
    </row>
    <row r="300" spans="1:9" x14ac:dyDescent="0.2">
      <c r="A300" s="79" t="s">
        <v>315</v>
      </c>
      <c r="B300" s="79" t="s">
        <v>19</v>
      </c>
      <c r="C300" s="79" t="s">
        <v>11</v>
      </c>
      <c r="D300" s="9">
        <v>0.85060100000000005</v>
      </c>
      <c r="E300" s="8">
        <v>243.72011618442468</v>
      </c>
      <c r="F300" s="8">
        <v>207.30853663105171</v>
      </c>
      <c r="G300" s="80">
        <v>21553</v>
      </c>
      <c r="H300" s="80">
        <v>18333</v>
      </c>
      <c r="I300" s="1">
        <v>4468120.8900090577</v>
      </c>
    </row>
    <row r="301" spans="1:9" x14ac:dyDescent="0.2">
      <c r="A301" s="79" t="s">
        <v>316</v>
      </c>
      <c r="B301" s="79" t="s">
        <v>21</v>
      </c>
      <c r="C301" s="79" t="s">
        <v>11</v>
      </c>
      <c r="D301" s="9">
        <v>0.86285000000000001</v>
      </c>
      <c r="E301" s="8">
        <v>249.35080926977295</v>
      </c>
      <c r="F301" s="8">
        <v>215.15227578480804</v>
      </c>
      <c r="G301" s="80">
        <v>21553</v>
      </c>
      <c r="H301" s="80">
        <v>18597</v>
      </c>
      <c r="I301" s="1">
        <v>4637176.9999899678</v>
      </c>
    </row>
    <row r="302" spans="1:9" x14ac:dyDescent="0.2">
      <c r="A302" s="79" t="s">
        <v>317</v>
      </c>
      <c r="B302" s="79" t="s">
        <v>23</v>
      </c>
      <c r="C302" s="79" t="s">
        <v>11</v>
      </c>
      <c r="D302" s="9">
        <v>0.61638800000000005</v>
      </c>
      <c r="E302" s="8">
        <v>228.35947534811763</v>
      </c>
      <c r="F302" s="8">
        <v>140.757928362629</v>
      </c>
      <c r="G302" s="80">
        <v>21553</v>
      </c>
      <c r="H302" s="80">
        <v>13285</v>
      </c>
      <c r="I302" s="1">
        <v>3033755.6299997428</v>
      </c>
    </row>
    <row r="303" spans="1:9" x14ac:dyDescent="0.2">
      <c r="A303" s="79" t="s">
        <v>318</v>
      </c>
      <c r="B303" s="79" t="s">
        <v>10</v>
      </c>
      <c r="C303" s="79" t="s">
        <v>11</v>
      </c>
      <c r="D303" s="9">
        <v>0.56711400000000001</v>
      </c>
      <c r="E303" s="8">
        <v>212.47596252922227</v>
      </c>
      <c r="F303" s="8">
        <v>120.49801373334031</v>
      </c>
      <c r="G303" s="80">
        <v>21553</v>
      </c>
      <c r="H303" s="80">
        <v>12223</v>
      </c>
      <c r="I303" s="1">
        <v>2597093.689994684</v>
      </c>
    </row>
    <row r="304" spans="1:9" x14ac:dyDescent="0.2">
      <c r="A304" s="79" t="s">
        <v>319</v>
      </c>
      <c r="B304" s="79" t="s">
        <v>13</v>
      </c>
      <c r="C304" s="79" t="s">
        <v>11</v>
      </c>
      <c r="D304" s="9">
        <v>0.63026000000000004</v>
      </c>
      <c r="E304" s="8">
        <v>213.45823910483887</v>
      </c>
      <c r="F304" s="8">
        <v>134.53425138032438</v>
      </c>
      <c r="G304" s="80">
        <v>21553</v>
      </c>
      <c r="H304" s="80">
        <v>13584</v>
      </c>
      <c r="I304" s="1">
        <v>2899616.7200001311</v>
      </c>
    </row>
    <row r="305" spans="1:9" x14ac:dyDescent="0.2">
      <c r="A305" s="79" t="s">
        <v>320</v>
      </c>
      <c r="B305" s="79" t="s">
        <v>15</v>
      </c>
      <c r="C305" s="79" t="s">
        <v>11</v>
      </c>
      <c r="D305" s="9">
        <v>0.69971700000000003</v>
      </c>
      <c r="E305" s="8">
        <v>227.44645779616943</v>
      </c>
      <c r="F305" s="8">
        <v>159.14814782276395</v>
      </c>
      <c r="G305" s="80">
        <v>21553</v>
      </c>
      <c r="H305" s="80">
        <v>15081</v>
      </c>
      <c r="I305" s="1">
        <v>3430120.0300240312</v>
      </c>
    </row>
    <row r="306" spans="1:9" x14ac:dyDescent="0.2">
      <c r="A306" s="79" t="s">
        <v>321</v>
      </c>
      <c r="B306" s="79" t="s">
        <v>17</v>
      </c>
      <c r="C306" s="79" t="s">
        <v>11</v>
      </c>
      <c r="D306" s="9">
        <v>0.75905900000000004</v>
      </c>
      <c r="E306" s="8">
        <v>241.55663141963683</v>
      </c>
      <c r="F306" s="8">
        <v>183.35575047674376</v>
      </c>
      <c r="G306" s="80">
        <v>21553</v>
      </c>
      <c r="H306" s="80">
        <v>16360</v>
      </c>
      <c r="I306" s="1">
        <v>3951866.4900252586</v>
      </c>
    </row>
    <row r="307" spans="1:9" x14ac:dyDescent="0.2">
      <c r="A307" s="79" t="s">
        <v>322</v>
      </c>
      <c r="B307" s="79" t="s">
        <v>19</v>
      </c>
      <c r="C307" s="79" t="s">
        <v>11</v>
      </c>
      <c r="D307" s="9">
        <v>0.82833000000000001</v>
      </c>
      <c r="E307" s="8">
        <v>250.08219066952242</v>
      </c>
      <c r="F307" s="8">
        <v>207.15062172426036</v>
      </c>
      <c r="G307" s="80">
        <v>21553</v>
      </c>
      <c r="H307" s="80">
        <v>17853</v>
      </c>
      <c r="I307" s="1">
        <v>4464717.3500229837</v>
      </c>
    </row>
    <row r="308" spans="1:9" x14ac:dyDescent="0.2">
      <c r="A308" s="79" t="s">
        <v>323</v>
      </c>
      <c r="B308" s="79" t="s">
        <v>21</v>
      </c>
      <c r="C308" s="79" t="s">
        <v>11</v>
      </c>
      <c r="D308" s="9">
        <v>0.78559800000000002</v>
      </c>
      <c r="E308" s="8">
        <v>241.13852055461382</v>
      </c>
      <c r="F308" s="8">
        <v>189.4380100232321</v>
      </c>
      <c r="G308" s="80">
        <v>21553</v>
      </c>
      <c r="H308" s="80">
        <v>16932</v>
      </c>
      <c r="I308" s="1">
        <v>4082957.4300307212</v>
      </c>
    </row>
    <row r="309" spans="1:9" x14ac:dyDescent="0.2">
      <c r="A309" s="79" t="s">
        <v>324</v>
      </c>
      <c r="B309" s="79" t="s">
        <v>23</v>
      </c>
      <c r="C309" s="79" t="s">
        <v>11</v>
      </c>
      <c r="D309" s="9">
        <v>0.60121599999999997</v>
      </c>
      <c r="E309" s="8">
        <v>214.07158898056767</v>
      </c>
      <c r="F309" s="8">
        <v>128.7031805321856</v>
      </c>
      <c r="G309" s="80">
        <v>21553</v>
      </c>
      <c r="H309" s="80">
        <v>12958</v>
      </c>
      <c r="I309" s="1">
        <v>2773939.650010196</v>
      </c>
    </row>
    <row r="310" spans="1:9" x14ac:dyDescent="0.2">
      <c r="A310" s="79" t="s">
        <v>325</v>
      </c>
      <c r="B310" s="79" t="s">
        <v>10</v>
      </c>
      <c r="C310" s="79" t="s">
        <v>11</v>
      </c>
      <c r="D310" s="9">
        <v>0.615228</v>
      </c>
      <c r="E310" s="8">
        <v>215.78445248899521</v>
      </c>
      <c r="F310" s="8">
        <v>132.7565461886548</v>
      </c>
      <c r="G310" s="80">
        <v>21553</v>
      </c>
      <c r="H310" s="80">
        <v>13260</v>
      </c>
      <c r="I310" s="1">
        <v>2861301.8400040767</v>
      </c>
    </row>
    <row r="311" spans="1:9" x14ac:dyDescent="0.2">
      <c r="A311" s="79" t="s">
        <v>326</v>
      </c>
      <c r="B311" s="79" t="s">
        <v>13</v>
      </c>
      <c r="C311" s="79" t="s">
        <v>11</v>
      </c>
      <c r="D311" s="9">
        <v>0.68310700000000002</v>
      </c>
      <c r="E311" s="8">
        <v>224.73248590575719</v>
      </c>
      <c r="F311" s="8">
        <v>153.51628033176183</v>
      </c>
      <c r="G311" s="80">
        <v>21553</v>
      </c>
      <c r="H311" s="80">
        <v>14723</v>
      </c>
      <c r="I311" s="1">
        <v>3308736.3899904629</v>
      </c>
    </row>
    <row r="312" spans="1:9" x14ac:dyDescent="0.2">
      <c r="A312" s="79" t="s">
        <v>327</v>
      </c>
      <c r="B312" s="79" t="s">
        <v>15</v>
      </c>
      <c r="C312" s="79" t="s">
        <v>11</v>
      </c>
      <c r="D312" s="9">
        <v>0.74555700000000003</v>
      </c>
      <c r="E312" s="8">
        <v>236.47805588362203</v>
      </c>
      <c r="F312" s="8">
        <v>176.30797939933757</v>
      </c>
      <c r="G312" s="80">
        <v>21553</v>
      </c>
      <c r="H312" s="80">
        <v>16069</v>
      </c>
      <c r="I312" s="1">
        <v>3799965.8799939225</v>
      </c>
    </row>
    <row r="313" spans="1:9" x14ac:dyDescent="0.2">
      <c r="A313" s="79" t="s">
        <v>328</v>
      </c>
      <c r="B313" s="79" t="s">
        <v>17</v>
      </c>
      <c r="C313" s="79" t="s">
        <v>11</v>
      </c>
      <c r="D313" s="9">
        <v>0.76286399999999999</v>
      </c>
      <c r="E313" s="8">
        <v>242.87723330594358</v>
      </c>
      <c r="F313" s="8">
        <v>185.28220990193125</v>
      </c>
      <c r="G313" s="80">
        <v>21553</v>
      </c>
      <c r="H313" s="80">
        <v>16442</v>
      </c>
      <c r="I313" s="1">
        <v>3993387.4700163244</v>
      </c>
    </row>
    <row r="314" spans="1:9" x14ac:dyDescent="0.2">
      <c r="A314" s="79" t="s">
        <v>329</v>
      </c>
      <c r="B314" s="79" t="s">
        <v>19</v>
      </c>
      <c r="C314" s="79" t="s">
        <v>11</v>
      </c>
      <c r="D314" s="9">
        <v>0.82331900000000002</v>
      </c>
      <c r="E314" s="8">
        <v>253.88729557636859</v>
      </c>
      <c r="F314" s="8">
        <v>209.03030019035216</v>
      </c>
      <c r="G314" s="80">
        <v>21553</v>
      </c>
      <c r="H314" s="80">
        <v>17745</v>
      </c>
      <c r="I314" s="1">
        <v>4505230.0600026604</v>
      </c>
    </row>
    <row r="315" spans="1:9" x14ac:dyDescent="0.2">
      <c r="A315" s="79" t="s">
        <v>330</v>
      </c>
      <c r="B315" s="79" t="s">
        <v>21</v>
      </c>
      <c r="C315" s="79" t="s">
        <v>11</v>
      </c>
      <c r="D315" s="9">
        <v>0.77650399999999997</v>
      </c>
      <c r="E315" s="8">
        <v>239.4885295179576</v>
      </c>
      <c r="F315" s="8">
        <v>185.96390432944546</v>
      </c>
      <c r="G315" s="80">
        <v>21553</v>
      </c>
      <c r="H315" s="80">
        <v>16736</v>
      </c>
      <c r="I315" s="1">
        <v>4008080.0300125382</v>
      </c>
    </row>
    <row r="316" spans="1:9" x14ac:dyDescent="0.2">
      <c r="A316" s="79" t="s">
        <v>331</v>
      </c>
      <c r="B316" s="79" t="s">
        <v>23</v>
      </c>
      <c r="C316" s="79" t="s">
        <v>11</v>
      </c>
      <c r="D316" s="9">
        <v>0.67340999999999995</v>
      </c>
      <c r="E316" s="8">
        <v>228.37999242090831</v>
      </c>
      <c r="F316" s="8">
        <v>153.79330997991292</v>
      </c>
      <c r="G316" s="80">
        <v>21553</v>
      </c>
      <c r="H316" s="80">
        <v>14514</v>
      </c>
      <c r="I316" s="1">
        <v>3314707.209997063</v>
      </c>
    </row>
    <row r="317" spans="1:9" x14ac:dyDescent="0.2">
      <c r="A317" s="79" t="s">
        <v>332</v>
      </c>
      <c r="B317" s="79" t="s">
        <v>10</v>
      </c>
      <c r="C317" s="79" t="s">
        <v>11</v>
      </c>
      <c r="D317" s="9">
        <v>0.60706199999999999</v>
      </c>
      <c r="E317" s="8">
        <v>215.18313130486465</v>
      </c>
      <c r="F317" s="8">
        <v>130.62942931345285</v>
      </c>
      <c r="G317" s="80">
        <v>21553</v>
      </c>
      <c r="H317" s="80">
        <v>13084</v>
      </c>
      <c r="I317" s="1">
        <v>2815456.0899928492</v>
      </c>
    </row>
    <row r="318" spans="1:9" x14ac:dyDescent="0.2">
      <c r="A318" s="79" t="s">
        <v>333</v>
      </c>
      <c r="B318" s="79" t="s">
        <v>13</v>
      </c>
      <c r="C318" s="79" t="s">
        <v>11</v>
      </c>
      <c r="D318" s="9">
        <v>0.67688999999999999</v>
      </c>
      <c r="E318" s="8">
        <v>217.73501747893647</v>
      </c>
      <c r="F318" s="8">
        <v>147.38255324085762</v>
      </c>
      <c r="G318" s="80">
        <v>21553</v>
      </c>
      <c r="H318" s="80">
        <v>14589</v>
      </c>
      <c r="I318" s="1">
        <v>3176536.1700002044</v>
      </c>
    </row>
    <row r="319" spans="1:9" x14ac:dyDescent="0.2">
      <c r="A319" s="79" t="s">
        <v>334</v>
      </c>
      <c r="B319" s="79" t="s">
        <v>15</v>
      </c>
      <c r="C319" s="79" t="s">
        <v>11</v>
      </c>
      <c r="D319" s="9">
        <v>0.67916299999999996</v>
      </c>
      <c r="E319" s="8">
        <v>211.68357220860219</v>
      </c>
      <c r="F319" s="8">
        <v>143.76764858671734</v>
      </c>
      <c r="G319" s="80">
        <v>21553</v>
      </c>
      <c r="H319" s="80">
        <v>14638</v>
      </c>
      <c r="I319" s="1">
        <v>3098624.1299895188</v>
      </c>
    </row>
    <row r="320" spans="1:9" x14ac:dyDescent="0.2">
      <c r="A320" s="79" t="s">
        <v>335</v>
      </c>
      <c r="B320" s="79" t="s">
        <v>17</v>
      </c>
      <c r="C320" s="79" t="s">
        <v>11</v>
      </c>
      <c r="D320" s="9">
        <v>0.723333</v>
      </c>
      <c r="E320" s="8">
        <v>216.11193200834992</v>
      </c>
      <c r="F320" s="8">
        <v>156.32093072937295</v>
      </c>
      <c r="G320" s="80">
        <v>21553</v>
      </c>
      <c r="H320" s="80">
        <v>15590</v>
      </c>
      <c r="I320" s="1">
        <v>3369185.0200101752</v>
      </c>
    </row>
    <row r="321" spans="1:9" x14ac:dyDescent="0.2">
      <c r="A321" s="79" t="s">
        <v>336</v>
      </c>
      <c r="B321" s="79" t="s">
        <v>19</v>
      </c>
      <c r="C321" s="79" t="s">
        <v>11</v>
      </c>
      <c r="D321" s="9">
        <v>0.82280900000000001</v>
      </c>
      <c r="E321" s="8">
        <v>239.57199560052959</v>
      </c>
      <c r="F321" s="8">
        <v>197.12196770657411</v>
      </c>
      <c r="G321" s="80">
        <v>21553</v>
      </c>
      <c r="H321" s="80">
        <v>17734</v>
      </c>
      <c r="I321" s="1">
        <v>4248569.7699797917</v>
      </c>
    </row>
    <row r="322" spans="1:9" x14ac:dyDescent="0.2">
      <c r="A322" s="79" t="s">
        <v>337</v>
      </c>
      <c r="B322" s="79" t="s">
        <v>21</v>
      </c>
      <c r="C322" s="79" t="s">
        <v>11</v>
      </c>
      <c r="D322" s="9">
        <v>0.83696000000000004</v>
      </c>
      <c r="E322" s="8">
        <v>240.96511669092251</v>
      </c>
      <c r="F322" s="8">
        <v>201.6781765873684</v>
      </c>
      <c r="G322" s="80">
        <v>21553</v>
      </c>
      <c r="H322" s="80">
        <v>18039</v>
      </c>
      <c r="I322" s="1">
        <v>4346769.7399875512</v>
      </c>
    </row>
    <row r="323" spans="1:9" x14ac:dyDescent="0.2">
      <c r="A323" s="79" t="s">
        <v>338</v>
      </c>
      <c r="B323" s="79" t="s">
        <v>23</v>
      </c>
      <c r="C323" s="79" t="s">
        <v>11</v>
      </c>
      <c r="D323" s="9">
        <v>0.78847500000000004</v>
      </c>
      <c r="E323" s="8">
        <v>244.3803771929839</v>
      </c>
      <c r="F323" s="8">
        <v>192.6877989151194</v>
      </c>
      <c r="G323" s="80">
        <v>21553</v>
      </c>
      <c r="H323" s="80">
        <v>16994</v>
      </c>
      <c r="I323" s="1">
        <v>4153000.1300175684</v>
      </c>
    </row>
    <row r="324" spans="1:9" x14ac:dyDescent="0.2">
      <c r="A324" s="79" t="s">
        <v>339</v>
      </c>
      <c r="B324" s="79" t="s">
        <v>10</v>
      </c>
      <c r="C324" s="79" t="s">
        <v>11</v>
      </c>
      <c r="D324" s="9">
        <v>0.84470800000000001</v>
      </c>
      <c r="E324" s="8">
        <v>254.93929419033756</v>
      </c>
      <c r="F324" s="8">
        <v>215.34936157515361</v>
      </c>
      <c r="G324" s="80">
        <v>21553</v>
      </c>
      <c r="H324" s="80">
        <v>18206</v>
      </c>
      <c r="I324" s="1">
        <v>4641424.7900292855</v>
      </c>
    </row>
    <row r="325" spans="1:9" x14ac:dyDescent="0.2">
      <c r="A325" s="79" t="s">
        <v>340</v>
      </c>
      <c r="B325" s="79" t="s">
        <v>13</v>
      </c>
      <c r="C325" s="79" t="s">
        <v>11</v>
      </c>
      <c r="D325" s="9">
        <v>0.85264200000000001</v>
      </c>
      <c r="E325" s="8">
        <v>261.90835827231376</v>
      </c>
      <c r="F325" s="8">
        <v>223.31415116087365</v>
      </c>
      <c r="G325" s="80">
        <v>21553</v>
      </c>
      <c r="H325" s="80">
        <v>18377</v>
      </c>
      <c r="I325" s="1">
        <v>4813089.8999703098</v>
      </c>
    </row>
    <row r="326" spans="1:9" x14ac:dyDescent="0.2">
      <c r="A326" s="79" t="s">
        <v>341</v>
      </c>
      <c r="B326" s="79" t="s">
        <v>15</v>
      </c>
      <c r="C326" s="79" t="s">
        <v>11</v>
      </c>
      <c r="D326" s="9">
        <v>0.80823999999999996</v>
      </c>
      <c r="E326" s="8">
        <v>263.14709873872874</v>
      </c>
      <c r="F326" s="8">
        <v>212.68605113110263</v>
      </c>
      <c r="G326" s="80">
        <v>21553</v>
      </c>
      <c r="H326" s="80">
        <v>17420</v>
      </c>
      <c r="I326" s="1">
        <v>4584022.4600286549</v>
      </c>
    </row>
    <row r="327" spans="1:9" x14ac:dyDescent="0.2">
      <c r="A327" s="79" t="s">
        <v>342</v>
      </c>
      <c r="B327" s="79" t="s">
        <v>17</v>
      </c>
      <c r="C327" s="79" t="s">
        <v>11</v>
      </c>
      <c r="D327" s="9">
        <v>0.72820499999999999</v>
      </c>
      <c r="E327" s="8">
        <v>249.5869939474326</v>
      </c>
      <c r="F327" s="8">
        <v>181.7504695404331</v>
      </c>
      <c r="G327" s="80">
        <v>21553</v>
      </c>
      <c r="H327" s="80">
        <v>15695</v>
      </c>
      <c r="I327" s="1">
        <v>3917267.8700049547</v>
      </c>
    </row>
    <row r="328" spans="1:9" x14ac:dyDescent="0.2">
      <c r="A328" s="79" t="s">
        <v>343</v>
      </c>
      <c r="B328" s="79" t="s">
        <v>19</v>
      </c>
      <c r="C328" s="79" t="s">
        <v>11</v>
      </c>
      <c r="D328" s="9">
        <v>0.76175000000000004</v>
      </c>
      <c r="E328" s="8">
        <v>239.53070166850753</v>
      </c>
      <c r="F328" s="8">
        <v>182.46253700151055</v>
      </c>
      <c r="G328" s="80">
        <v>21553</v>
      </c>
      <c r="H328" s="80">
        <v>16418</v>
      </c>
      <c r="I328" s="1">
        <v>3932615.0599935567</v>
      </c>
    </row>
    <row r="329" spans="1:9" x14ac:dyDescent="0.2">
      <c r="A329" s="79" t="s">
        <v>344</v>
      </c>
      <c r="B329" s="79" t="s">
        <v>21</v>
      </c>
      <c r="C329" s="79" t="s">
        <v>11</v>
      </c>
      <c r="D329" s="9">
        <v>0.82976799999999995</v>
      </c>
      <c r="E329" s="8">
        <v>242.16700290816007</v>
      </c>
      <c r="F329" s="8">
        <v>200.94254535375745</v>
      </c>
      <c r="G329" s="80">
        <v>21553</v>
      </c>
      <c r="H329" s="80">
        <v>17884</v>
      </c>
      <c r="I329" s="1">
        <v>4330914.6800095346</v>
      </c>
    </row>
    <row r="330" spans="1:9" x14ac:dyDescent="0.2">
      <c r="A330" s="79" t="s">
        <v>345</v>
      </c>
      <c r="B330" s="79" t="s">
        <v>23</v>
      </c>
      <c r="C330" s="79" t="s">
        <v>11</v>
      </c>
      <c r="D330" s="9">
        <v>0.75144999999999995</v>
      </c>
      <c r="E330" s="8">
        <v>244.9660613721471</v>
      </c>
      <c r="F330" s="8">
        <v>184.079725791458</v>
      </c>
      <c r="G330" s="80">
        <v>21553</v>
      </c>
      <c r="H330" s="80">
        <v>16196</v>
      </c>
      <c r="I330" s="1">
        <v>3967470.3299832945</v>
      </c>
    </row>
    <row r="331" spans="1:9" x14ac:dyDescent="0.2">
      <c r="A331" s="79" t="s">
        <v>346</v>
      </c>
      <c r="B331" s="79" t="s">
        <v>10</v>
      </c>
      <c r="C331" s="79" t="s">
        <v>11</v>
      </c>
      <c r="D331" s="9">
        <v>0.74527900000000002</v>
      </c>
      <c r="E331" s="8">
        <v>258.28982817763472</v>
      </c>
      <c r="F331" s="8">
        <v>192.49800538288622</v>
      </c>
      <c r="G331" s="80">
        <v>21553</v>
      </c>
      <c r="H331" s="80">
        <v>16063</v>
      </c>
      <c r="I331" s="1">
        <v>4148909.5100173466</v>
      </c>
    </row>
    <row r="332" spans="1:9" x14ac:dyDescent="0.2">
      <c r="A332" s="79" t="s">
        <v>347</v>
      </c>
      <c r="B332" s="79" t="s">
        <v>13</v>
      </c>
      <c r="C332" s="79" t="s">
        <v>11</v>
      </c>
      <c r="D332" s="9">
        <v>0.696191</v>
      </c>
      <c r="E332" s="8">
        <v>250.69541486242261</v>
      </c>
      <c r="F332" s="8">
        <v>174.5318377956967</v>
      </c>
      <c r="G332" s="80">
        <v>21553</v>
      </c>
      <c r="H332" s="80">
        <v>15005</v>
      </c>
      <c r="I332" s="1">
        <v>3761684.7000106513</v>
      </c>
    </row>
    <row r="333" spans="1:9" x14ac:dyDescent="0.2">
      <c r="A333" s="79" t="s">
        <v>348</v>
      </c>
      <c r="B333" s="79" t="s">
        <v>15</v>
      </c>
      <c r="C333" s="79" t="s">
        <v>11</v>
      </c>
      <c r="D333" s="9">
        <v>0.75015100000000001</v>
      </c>
      <c r="E333" s="8">
        <v>245.12276595738817</v>
      </c>
      <c r="F333" s="8">
        <v>183.87903679297787</v>
      </c>
      <c r="G333" s="80">
        <v>21553</v>
      </c>
      <c r="H333" s="80">
        <v>16168</v>
      </c>
      <c r="I333" s="1">
        <v>3963144.8799990518</v>
      </c>
    </row>
    <row r="334" spans="1:9" x14ac:dyDescent="0.2">
      <c r="A334" s="79" t="s">
        <v>349</v>
      </c>
      <c r="B334" s="79" t="s">
        <v>17</v>
      </c>
      <c r="C334" s="79" t="s">
        <v>11</v>
      </c>
      <c r="D334" s="9">
        <v>0.81079199999999996</v>
      </c>
      <c r="E334" s="8">
        <v>246.93248927031416</v>
      </c>
      <c r="F334" s="8">
        <v>200.2108871154243</v>
      </c>
      <c r="G334" s="80">
        <v>21553</v>
      </c>
      <c r="H334" s="80">
        <v>17475</v>
      </c>
      <c r="I334" s="1">
        <v>4315145.2499987399</v>
      </c>
    </row>
    <row r="335" spans="1:9" x14ac:dyDescent="0.2">
      <c r="A335" s="79" t="s">
        <v>350</v>
      </c>
      <c r="B335" s="79" t="s">
        <v>19</v>
      </c>
      <c r="C335" s="79" t="s">
        <v>11</v>
      </c>
      <c r="D335" s="9">
        <v>0.84777100000000005</v>
      </c>
      <c r="E335" s="8">
        <v>246.46388682235167</v>
      </c>
      <c r="F335" s="8">
        <v>208.94484016229805</v>
      </c>
      <c r="G335" s="80">
        <v>21553</v>
      </c>
      <c r="H335" s="80">
        <v>18272</v>
      </c>
      <c r="I335" s="1">
        <v>4503388.1400180096</v>
      </c>
    </row>
    <row r="336" spans="1:9" x14ac:dyDescent="0.2">
      <c r="A336" s="79" t="s">
        <v>351</v>
      </c>
      <c r="B336" s="79" t="s">
        <v>21</v>
      </c>
      <c r="C336" s="79" t="s">
        <v>11</v>
      </c>
      <c r="D336" s="9">
        <v>0.77297800000000005</v>
      </c>
      <c r="E336" s="8">
        <v>226.83261524524454</v>
      </c>
      <c r="F336" s="8">
        <v>175.33667563614227</v>
      </c>
      <c r="G336" s="80">
        <v>21553</v>
      </c>
      <c r="H336" s="80">
        <v>16660</v>
      </c>
      <c r="I336" s="1">
        <v>3779031.3699857742</v>
      </c>
    </row>
    <row r="337" spans="1:9" x14ac:dyDescent="0.2">
      <c r="A337" s="79" t="s">
        <v>352</v>
      </c>
      <c r="B337" s="79" t="s">
        <v>23</v>
      </c>
      <c r="C337" s="79" t="s">
        <v>11</v>
      </c>
      <c r="D337" s="9">
        <v>0.59184300000000001</v>
      </c>
      <c r="E337" s="8">
        <v>232.68338193763432</v>
      </c>
      <c r="F337" s="8">
        <v>137.71211525061307</v>
      </c>
      <c r="G337" s="80">
        <v>21553</v>
      </c>
      <c r="H337" s="80">
        <v>12756</v>
      </c>
      <c r="I337" s="1">
        <v>2968109.2199964635</v>
      </c>
    </row>
    <row r="338" spans="1:9" x14ac:dyDescent="0.2">
      <c r="A338" s="79" t="s">
        <v>353</v>
      </c>
      <c r="B338" s="79" t="s">
        <v>10</v>
      </c>
      <c r="C338" s="79" t="s">
        <v>11</v>
      </c>
      <c r="D338" s="9">
        <v>0.66176400000000002</v>
      </c>
      <c r="E338" s="8">
        <v>239.24945453220431</v>
      </c>
      <c r="F338" s="8">
        <v>158.32668166811257</v>
      </c>
      <c r="G338" s="80">
        <v>21553</v>
      </c>
      <c r="H338" s="80">
        <v>14263</v>
      </c>
      <c r="I338" s="1">
        <v>3412414.96999283</v>
      </c>
    </row>
    <row r="339" spans="1:9" x14ac:dyDescent="0.2">
      <c r="A339" s="79" t="s">
        <v>354</v>
      </c>
      <c r="B339" s="79" t="s">
        <v>13</v>
      </c>
      <c r="C339" s="79" t="s">
        <v>11</v>
      </c>
      <c r="D339" s="9">
        <v>0.73298399999999997</v>
      </c>
      <c r="E339" s="8">
        <v>243.85429737963096</v>
      </c>
      <c r="F339" s="8">
        <v>178.74125133407924</v>
      </c>
      <c r="G339" s="80">
        <v>21553</v>
      </c>
      <c r="H339" s="80">
        <v>15798</v>
      </c>
      <c r="I339" s="1">
        <v>3852410.19000341</v>
      </c>
    </row>
    <row r="340" spans="1:9" x14ac:dyDescent="0.2">
      <c r="A340" s="79" t="s">
        <v>355</v>
      </c>
      <c r="B340" s="79" t="s">
        <v>15</v>
      </c>
      <c r="C340" s="79" t="s">
        <v>11</v>
      </c>
      <c r="D340" s="9">
        <v>0.79483099999999995</v>
      </c>
      <c r="E340" s="8">
        <v>261.49224563674477</v>
      </c>
      <c r="F340" s="8">
        <v>207.84223356391567</v>
      </c>
      <c r="G340" s="80">
        <v>21553</v>
      </c>
      <c r="H340" s="80">
        <v>17131</v>
      </c>
      <c r="I340" s="1">
        <v>4479623.6600030744</v>
      </c>
    </row>
    <row r="341" spans="1:9" x14ac:dyDescent="0.2">
      <c r="A341" s="79" t="s">
        <v>356</v>
      </c>
      <c r="B341" s="79" t="s">
        <v>17</v>
      </c>
      <c r="C341" s="79" t="s">
        <v>11</v>
      </c>
      <c r="D341" s="9">
        <v>0.83134600000000003</v>
      </c>
      <c r="E341" s="8">
        <v>266.07779607166771</v>
      </c>
      <c r="F341" s="8">
        <v>221.2027072802924</v>
      </c>
      <c r="G341" s="80">
        <v>21553</v>
      </c>
      <c r="H341" s="80">
        <v>17918</v>
      </c>
      <c r="I341" s="1">
        <v>4767581.9500121418</v>
      </c>
    </row>
    <row r="342" spans="1:9" x14ac:dyDescent="0.2">
      <c r="A342" s="79" t="s">
        <v>357</v>
      </c>
      <c r="B342" s="79" t="s">
        <v>19</v>
      </c>
      <c r="C342" s="79" t="s">
        <v>11</v>
      </c>
      <c r="D342" s="9">
        <v>0.85667899999999997</v>
      </c>
      <c r="E342" s="8">
        <v>276.73243338467637</v>
      </c>
      <c r="F342" s="8">
        <v>237.07083236740425</v>
      </c>
      <c r="G342" s="80">
        <v>21553</v>
      </c>
      <c r="H342" s="80">
        <v>18464</v>
      </c>
      <c r="I342" s="1">
        <v>5109587.650014664</v>
      </c>
    </row>
    <row r="343" spans="1:9" x14ac:dyDescent="0.2">
      <c r="A343" s="79" t="s">
        <v>358</v>
      </c>
      <c r="B343" s="79" t="s">
        <v>21</v>
      </c>
      <c r="C343" s="79" t="s">
        <v>11</v>
      </c>
      <c r="D343" s="9">
        <v>0.83621800000000002</v>
      </c>
      <c r="E343" s="8">
        <v>249.40005437438873</v>
      </c>
      <c r="F343" s="8">
        <v>208.55273882937911</v>
      </c>
      <c r="G343" s="80">
        <v>21553</v>
      </c>
      <c r="H343" s="80">
        <v>18023</v>
      </c>
      <c r="I343" s="1">
        <v>4494937.179989608</v>
      </c>
    </row>
    <row r="344" spans="1:9" x14ac:dyDescent="0.2">
      <c r="A344" s="79" t="s">
        <v>359</v>
      </c>
      <c r="B344" s="79" t="s">
        <v>23</v>
      </c>
      <c r="C344" s="79" t="s">
        <v>11</v>
      </c>
      <c r="D344" s="9">
        <v>0.706816</v>
      </c>
      <c r="E344" s="8">
        <v>233.34828541443486</v>
      </c>
      <c r="F344" s="8">
        <v>164.93424488486525</v>
      </c>
      <c r="G344" s="80">
        <v>21553</v>
      </c>
      <c r="H344" s="80">
        <v>15234</v>
      </c>
      <c r="I344" s="1">
        <v>3554827.7800035006</v>
      </c>
    </row>
    <row r="345" spans="1:9" x14ac:dyDescent="0.2">
      <c r="A345" s="79" t="s">
        <v>360</v>
      </c>
      <c r="B345" s="79" t="s">
        <v>10</v>
      </c>
      <c r="C345" s="79" t="s">
        <v>11</v>
      </c>
      <c r="D345" s="9">
        <v>0.72115300000000004</v>
      </c>
      <c r="E345" s="8">
        <v>232.90191275844407</v>
      </c>
      <c r="F345" s="8">
        <v>167.95779845054034</v>
      </c>
      <c r="G345" s="80">
        <v>21553</v>
      </c>
      <c r="H345" s="80">
        <v>15543</v>
      </c>
      <c r="I345" s="1">
        <v>3619994.4300044961</v>
      </c>
    </row>
    <row r="346" spans="1:9" x14ac:dyDescent="0.2">
      <c r="A346" s="79" t="s">
        <v>361</v>
      </c>
      <c r="B346" s="79" t="s">
        <v>13</v>
      </c>
      <c r="C346" s="79" t="s">
        <v>11</v>
      </c>
      <c r="D346" s="9">
        <v>0.71822900000000001</v>
      </c>
      <c r="E346" s="8">
        <v>231.15519961314723</v>
      </c>
      <c r="F346" s="8">
        <v>166.02247900577734</v>
      </c>
      <c r="G346" s="80">
        <v>21553</v>
      </c>
      <c r="H346" s="80">
        <v>15480</v>
      </c>
      <c r="I346" s="1">
        <v>3578282.4900115193</v>
      </c>
    </row>
    <row r="347" spans="1:9" x14ac:dyDescent="0.2">
      <c r="A347" s="79" t="s">
        <v>362</v>
      </c>
      <c r="B347" s="79" t="s">
        <v>15</v>
      </c>
      <c r="C347" s="79" t="s">
        <v>11</v>
      </c>
      <c r="D347" s="9">
        <v>0.701851</v>
      </c>
      <c r="E347" s="8">
        <v>231.13481390905477</v>
      </c>
      <c r="F347" s="8">
        <v>162.22225815442266</v>
      </c>
      <c r="G347" s="80">
        <v>21553</v>
      </c>
      <c r="H347" s="80">
        <v>15127</v>
      </c>
      <c r="I347" s="1">
        <v>3496376.3300022716</v>
      </c>
    </row>
    <row r="348" spans="1:9" x14ac:dyDescent="0.2">
      <c r="A348" s="79" t="s">
        <v>363</v>
      </c>
      <c r="B348" s="79" t="s">
        <v>17</v>
      </c>
      <c r="C348" s="79" t="s">
        <v>11</v>
      </c>
      <c r="D348" s="9">
        <v>0.72653500000000004</v>
      </c>
      <c r="E348" s="8">
        <v>226.0862673214227</v>
      </c>
      <c r="F348" s="8">
        <v>164.25949334135194</v>
      </c>
      <c r="G348" s="80">
        <v>21553</v>
      </c>
      <c r="H348" s="80">
        <v>15659</v>
      </c>
      <c r="I348" s="1">
        <v>3540284.8599861581</v>
      </c>
    </row>
    <row r="349" spans="1:9" x14ac:dyDescent="0.2">
      <c r="A349" s="79" t="s">
        <v>364</v>
      </c>
      <c r="B349" s="79" t="s">
        <v>19</v>
      </c>
      <c r="C349" s="79" t="s">
        <v>11</v>
      </c>
      <c r="D349" s="9">
        <v>0.83459399999999995</v>
      </c>
      <c r="E349" s="8">
        <v>241.26349121668829</v>
      </c>
      <c r="F349" s="8">
        <v>201.35701201715719</v>
      </c>
      <c r="G349" s="80">
        <v>21553</v>
      </c>
      <c r="H349" s="80">
        <v>17988</v>
      </c>
      <c r="I349" s="1">
        <v>4339847.6800057888</v>
      </c>
    </row>
    <row r="350" spans="1:9" x14ac:dyDescent="0.2">
      <c r="A350" s="79" t="s">
        <v>365</v>
      </c>
      <c r="B350" s="79" t="s">
        <v>21</v>
      </c>
      <c r="C350" s="79" t="s">
        <v>11</v>
      </c>
      <c r="D350" s="9">
        <v>0.85208600000000001</v>
      </c>
      <c r="E350" s="8">
        <v>241.5243386883381</v>
      </c>
      <c r="F350" s="8">
        <v>205.79940054801324</v>
      </c>
      <c r="G350" s="80">
        <v>21553</v>
      </c>
      <c r="H350" s="80">
        <v>18365</v>
      </c>
      <c r="I350" s="1">
        <v>4435594.4800113291</v>
      </c>
    </row>
    <row r="351" spans="1:9" x14ac:dyDescent="0.2">
      <c r="A351" s="79" t="s">
        <v>366</v>
      </c>
      <c r="B351" s="79" t="s">
        <v>23</v>
      </c>
      <c r="C351" s="79" t="s">
        <v>11</v>
      </c>
      <c r="D351" s="9">
        <v>0.60733999999999999</v>
      </c>
      <c r="E351" s="8">
        <v>221.35566310092807</v>
      </c>
      <c r="F351" s="8">
        <v>134.43815849260653</v>
      </c>
      <c r="G351" s="80">
        <v>21553</v>
      </c>
      <c r="H351" s="80">
        <v>13090</v>
      </c>
      <c r="I351" s="1">
        <v>2897545.6299911486</v>
      </c>
    </row>
    <row r="352" spans="1:9" x14ac:dyDescent="0.2">
      <c r="A352" s="79" t="s">
        <v>367</v>
      </c>
      <c r="B352" s="79" t="s">
        <v>10</v>
      </c>
      <c r="C352" s="79" t="s">
        <v>11</v>
      </c>
      <c r="D352" s="9">
        <v>0.54771999999999998</v>
      </c>
      <c r="E352" s="8">
        <v>222.9756001685227</v>
      </c>
      <c r="F352" s="8">
        <v>122.12810095993181</v>
      </c>
      <c r="G352" s="80">
        <v>21553</v>
      </c>
      <c r="H352" s="80">
        <v>11805</v>
      </c>
      <c r="I352" s="1">
        <v>2632226.9599894104</v>
      </c>
    </row>
    <row r="353" spans="1:9" x14ac:dyDescent="0.2">
      <c r="A353" s="79" t="s">
        <v>368</v>
      </c>
      <c r="B353" s="79" t="s">
        <v>13</v>
      </c>
      <c r="C353" s="79" t="s">
        <v>11</v>
      </c>
      <c r="D353" s="9">
        <v>0.53338300000000005</v>
      </c>
      <c r="E353" s="8">
        <v>221.76686499582166</v>
      </c>
      <c r="F353" s="8">
        <v>118.28663666273678</v>
      </c>
      <c r="G353" s="80">
        <v>21553</v>
      </c>
      <c r="H353" s="80">
        <v>11496</v>
      </c>
      <c r="I353" s="1">
        <v>2549431.8799919658</v>
      </c>
    </row>
    <row r="354" spans="1:9" x14ac:dyDescent="0.2">
      <c r="A354" s="79" t="s">
        <v>369</v>
      </c>
      <c r="B354" s="79" t="s">
        <v>15</v>
      </c>
      <c r="C354" s="79" t="s">
        <v>11</v>
      </c>
      <c r="D354" s="9">
        <v>0.55393700000000001</v>
      </c>
      <c r="E354" s="8">
        <v>218.90663037083834</v>
      </c>
      <c r="F354" s="8">
        <v>121.2604398458423</v>
      </c>
      <c r="G354" s="80">
        <v>21553</v>
      </c>
      <c r="H354" s="80">
        <v>11939</v>
      </c>
      <c r="I354" s="1">
        <v>2613526.2599974391</v>
      </c>
    </row>
    <row r="355" spans="1:9" x14ac:dyDescent="0.2">
      <c r="A355" s="79" t="s">
        <v>370</v>
      </c>
      <c r="B355" s="79" t="s">
        <v>17</v>
      </c>
      <c r="C355" s="79" t="s">
        <v>11</v>
      </c>
      <c r="D355" s="9">
        <v>0.599777</v>
      </c>
      <c r="E355" s="8">
        <v>222.66394213597104</v>
      </c>
      <c r="F355" s="8">
        <v>133.54877650404572</v>
      </c>
      <c r="G355" s="80">
        <v>21553</v>
      </c>
      <c r="H355" s="80">
        <v>12927</v>
      </c>
      <c r="I355" s="1">
        <v>2878376.7799916975</v>
      </c>
    </row>
    <row r="356" spans="1:9" x14ac:dyDescent="0.2">
      <c r="A356" s="79" t="s">
        <v>371</v>
      </c>
      <c r="B356" s="79" t="s">
        <v>19</v>
      </c>
      <c r="C356" s="79" t="s">
        <v>11</v>
      </c>
      <c r="D356" s="9">
        <v>0.71711599999999998</v>
      </c>
      <c r="E356" s="8">
        <v>240.63241524378304</v>
      </c>
      <c r="F356" s="8">
        <v>172.56134227290448</v>
      </c>
      <c r="G356" s="80">
        <v>21553</v>
      </c>
      <c r="H356" s="80">
        <v>15456</v>
      </c>
      <c r="I356" s="1">
        <v>3719214.6100079105</v>
      </c>
    </row>
    <row r="357" spans="1:9" x14ac:dyDescent="0.2">
      <c r="A357" s="79" t="s">
        <v>372</v>
      </c>
      <c r="B357" s="79" t="s">
        <v>21</v>
      </c>
      <c r="C357" s="79" t="s">
        <v>11</v>
      </c>
      <c r="D357" s="9">
        <v>0.77766400000000002</v>
      </c>
      <c r="E357" s="8">
        <v>244.16331901468794</v>
      </c>
      <c r="F357" s="8">
        <v>189.87711177122372</v>
      </c>
      <c r="G357" s="80">
        <v>21553</v>
      </c>
      <c r="H357" s="80">
        <v>16761</v>
      </c>
      <c r="I357" s="1">
        <v>4092421.3900051848</v>
      </c>
    </row>
    <row r="358" spans="1:9" x14ac:dyDescent="0.2">
      <c r="A358" s="79" t="s">
        <v>373</v>
      </c>
      <c r="B358" s="79" t="s">
        <v>23</v>
      </c>
      <c r="C358" s="79" t="s">
        <v>11</v>
      </c>
      <c r="D358" s="9">
        <v>0.72672000000000003</v>
      </c>
      <c r="E358" s="8">
        <v>246.81163314728602</v>
      </c>
      <c r="F358" s="8">
        <v>179.36299401410204</v>
      </c>
      <c r="G358" s="80">
        <v>21553</v>
      </c>
      <c r="H358" s="80">
        <v>15663</v>
      </c>
      <c r="I358" s="1">
        <v>3865810.6099859411</v>
      </c>
    </row>
    <row r="359" spans="1:9" x14ac:dyDescent="0.2">
      <c r="A359" s="79" t="s">
        <v>374</v>
      </c>
      <c r="B359" s="79" t="s">
        <v>10</v>
      </c>
      <c r="C359" s="79" t="s">
        <v>11</v>
      </c>
      <c r="D359" s="9">
        <v>0.72300799999999998</v>
      </c>
      <c r="E359" s="8">
        <v>244.78848681316271</v>
      </c>
      <c r="F359" s="8">
        <v>176.98413167584627</v>
      </c>
      <c r="G359" s="80">
        <v>21553</v>
      </c>
      <c r="H359" s="80">
        <v>15583</v>
      </c>
      <c r="I359" s="1">
        <v>3814538.9900095146</v>
      </c>
    </row>
    <row r="360" spans="1:9" x14ac:dyDescent="0.2">
      <c r="A360" s="79" t="s">
        <v>375</v>
      </c>
      <c r="B360" s="79" t="s">
        <v>13</v>
      </c>
      <c r="C360" s="79" t="s">
        <v>11</v>
      </c>
      <c r="D360" s="9">
        <v>0.75632200000000005</v>
      </c>
      <c r="E360" s="8">
        <v>247.23297404996256</v>
      </c>
      <c r="F360" s="8">
        <v>186.98764487488702</v>
      </c>
      <c r="G360" s="80">
        <v>21553</v>
      </c>
      <c r="H360" s="80">
        <v>16301</v>
      </c>
      <c r="I360" s="1">
        <v>4030144.7099884399</v>
      </c>
    </row>
    <row r="361" spans="1:9" x14ac:dyDescent="0.2">
      <c r="A361" s="79" t="s">
        <v>376</v>
      </c>
      <c r="B361" s="79" t="s">
        <v>15</v>
      </c>
      <c r="C361" s="79" t="s">
        <v>11</v>
      </c>
      <c r="D361" s="9">
        <v>0.80949300000000002</v>
      </c>
      <c r="E361" s="8">
        <v>257.38888347598044</v>
      </c>
      <c r="F361" s="8">
        <v>208.35446805574307</v>
      </c>
      <c r="G361" s="80">
        <v>21553</v>
      </c>
      <c r="H361" s="80">
        <v>17447</v>
      </c>
      <c r="I361" s="1">
        <v>4490663.8500054302</v>
      </c>
    </row>
    <row r="362" spans="1:9" x14ac:dyDescent="0.2">
      <c r="A362" s="79" t="s">
        <v>377</v>
      </c>
      <c r="B362" s="79" t="s">
        <v>17</v>
      </c>
      <c r="C362" s="79" t="s">
        <v>11</v>
      </c>
      <c r="D362" s="9">
        <v>0.87741800000000003</v>
      </c>
      <c r="E362" s="8">
        <v>282.96198878978697</v>
      </c>
      <c r="F362" s="8">
        <v>248.27607154473446</v>
      </c>
      <c r="G362" s="80">
        <v>21553</v>
      </c>
      <c r="H362" s="80">
        <v>18911</v>
      </c>
      <c r="I362" s="1">
        <v>5351094.1700036619</v>
      </c>
    </row>
    <row r="363" spans="1:9" x14ac:dyDescent="0.2">
      <c r="A363" s="79" t="s">
        <v>378</v>
      </c>
      <c r="B363" s="79" t="s">
        <v>19</v>
      </c>
      <c r="C363" s="79" t="s">
        <v>11</v>
      </c>
      <c r="D363" s="9">
        <v>0.91583499999999995</v>
      </c>
      <c r="E363" s="8">
        <v>291.71743654637658</v>
      </c>
      <c r="F363" s="8">
        <v>267.16515009460062</v>
      </c>
      <c r="G363" s="80">
        <v>21553</v>
      </c>
      <c r="H363" s="80">
        <v>19739</v>
      </c>
      <c r="I363" s="1">
        <v>5758210.479988927</v>
      </c>
    </row>
    <row r="364" spans="1:9" x14ac:dyDescent="0.2">
      <c r="A364" s="79" t="s">
        <v>379</v>
      </c>
      <c r="B364" s="79" t="s">
        <v>21</v>
      </c>
      <c r="C364" s="79" t="s">
        <v>11</v>
      </c>
      <c r="D364" s="9">
        <v>0.90725199999999995</v>
      </c>
      <c r="E364" s="8">
        <v>290.049645084144</v>
      </c>
      <c r="F364" s="8">
        <v>263.14808889599368</v>
      </c>
      <c r="G364" s="80">
        <v>21553</v>
      </c>
      <c r="H364" s="80">
        <v>19554</v>
      </c>
      <c r="I364" s="1">
        <v>5671630.7599753523</v>
      </c>
    </row>
    <row r="365" spans="1:9" x14ac:dyDescent="0.2">
      <c r="A365" s="79" t="s">
        <v>380</v>
      </c>
      <c r="B365" s="79" t="s">
        <v>23</v>
      </c>
      <c r="C365" s="79" t="s">
        <v>11</v>
      </c>
      <c r="D365" s="9">
        <v>0.84183200000000002</v>
      </c>
      <c r="E365" s="8">
        <v>279.23754188831998</v>
      </c>
      <c r="F365" s="8">
        <v>235.0710323398913</v>
      </c>
      <c r="G365" s="80">
        <v>21553</v>
      </c>
      <c r="H365" s="80">
        <v>18144</v>
      </c>
      <c r="I365" s="1">
        <v>5066485.9600216774</v>
      </c>
    </row>
    <row r="366" spans="1:9" x14ac:dyDescent="0.2">
      <c r="A366" s="79" t="s">
        <v>381</v>
      </c>
      <c r="B366" s="79" t="s">
        <v>10</v>
      </c>
      <c r="C366" s="79" t="s">
        <v>11</v>
      </c>
      <c r="D366" s="9">
        <v>0.81909699999999996</v>
      </c>
      <c r="E366" s="8">
        <v>277.42805086658097</v>
      </c>
      <c r="F366" s="8">
        <v>227.24051454547489</v>
      </c>
      <c r="G366" s="80">
        <v>21553</v>
      </c>
      <c r="H366" s="80">
        <v>17654</v>
      </c>
      <c r="I366" s="1">
        <v>4897714.8099986203</v>
      </c>
    </row>
    <row r="367" spans="1:9" x14ac:dyDescent="0.2">
      <c r="A367" s="79" t="s">
        <v>382</v>
      </c>
      <c r="B367" s="79" t="s">
        <v>13</v>
      </c>
      <c r="C367" s="79" t="s">
        <v>11</v>
      </c>
      <c r="D367" s="9">
        <v>0.88252200000000003</v>
      </c>
      <c r="E367" s="8">
        <v>283.0659092582286</v>
      </c>
      <c r="F367" s="8">
        <v>249.811936157415</v>
      </c>
      <c r="G367" s="80">
        <v>21553</v>
      </c>
      <c r="H367" s="80">
        <v>19021</v>
      </c>
      <c r="I367" s="1">
        <v>5384196.6600007657</v>
      </c>
    </row>
    <row r="368" spans="1:9" x14ac:dyDescent="0.2">
      <c r="A368" s="79" t="s">
        <v>383</v>
      </c>
      <c r="B368" s="79" t="s">
        <v>15</v>
      </c>
      <c r="C368" s="79" t="s">
        <v>11</v>
      </c>
      <c r="D368" s="9">
        <v>0.78480499999999997</v>
      </c>
      <c r="E368" s="8">
        <v>251.83565322572889</v>
      </c>
      <c r="F368" s="8">
        <v>197.64199093206926</v>
      </c>
      <c r="G368" s="80">
        <v>21613</v>
      </c>
      <c r="H368" s="80">
        <v>16962</v>
      </c>
      <c r="I368" s="1">
        <v>4271636.3500148132</v>
      </c>
    </row>
    <row r="369" spans="1:9" x14ac:dyDescent="0.2">
      <c r="A369" s="79" t="s">
        <v>384</v>
      </c>
      <c r="B369" s="79" t="s">
        <v>17</v>
      </c>
      <c r="C369" s="79" t="s">
        <v>11</v>
      </c>
      <c r="D369" s="9">
        <v>0.78207599999999999</v>
      </c>
      <c r="E369" s="8">
        <v>252.93908773571647</v>
      </c>
      <c r="F369" s="8">
        <v>197.81748947378037</v>
      </c>
      <c r="G369" s="80">
        <v>21613</v>
      </c>
      <c r="H369" s="80">
        <v>16903</v>
      </c>
      <c r="I369" s="1">
        <v>4275429.3999968152</v>
      </c>
    </row>
    <row r="370" spans="1:9" x14ac:dyDescent="0.2">
      <c r="A370" s="79" t="s">
        <v>385</v>
      </c>
      <c r="B370" s="79" t="s">
        <v>19</v>
      </c>
      <c r="C370" s="79" t="s">
        <v>11</v>
      </c>
      <c r="D370" s="9">
        <v>0.77240500000000001</v>
      </c>
      <c r="E370" s="8">
        <v>245.62129927014016</v>
      </c>
      <c r="F370" s="8">
        <v>189.71924166083932</v>
      </c>
      <c r="G370" s="80">
        <v>21613</v>
      </c>
      <c r="H370" s="80">
        <v>16694</v>
      </c>
      <c r="I370" s="1">
        <v>4100401.97001572</v>
      </c>
    </row>
    <row r="371" spans="1:9" x14ac:dyDescent="0.2">
      <c r="A371" s="79" t="s">
        <v>386</v>
      </c>
      <c r="B371" s="79" t="s">
        <v>21</v>
      </c>
      <c r="C371" s="79" t="s">
        <v>11</v>
      </c>
      <c r="D371" s="9">
        <v>0.69319399999999998</v>
      </c>
      <c r="E371" s="8">
        <v>228.62296021863165</v>
      </c>
      <c r="F371" s="8">
        <v>158.48004395482067</v>
      </c>
      <c r="G371" s="80">
        <v>21613</v>
      </c>
      <c r="H371" s="80">
        <v>14982</v>
      </c>
      <c r="I371" s="1">
        <v>3425229.1899955394</v>
      </c>
    </row>
    <row r="372" spans="1:9" x14ac:dyDescent="0.2">
      <c r="A372" s="79" t="s">
        <v>387</v>
      </c>
      <c r="B372" s="79" t="s">
        <v>23</v>
      </c>
      <c r="C372" s="79" t="s">
        <v>11</v>
      </c>
      <c r="D372" s="9">
        <v>0.51085000000000003</v>
      </c>
      <c r="E372" s="8">
        <v>202.47615705080602</v>
      </c>
      <c r="F372" s="8">
        <v>103.4349349927335</v>
      </c>
      <c r="G372" s="80">
        <v>21613</v>
      </c>
      <c r="H372" s="80">
        <v>11041</v>
      </c>
      <c r="I372" s="1">
        <v>2235539.2499979492</v>
      </c>
    </row>
    <row r="373" spans="1:9" x14ac:dyDescent="0.2">
      <c r="A373" s="79" t="s">
        <v>388</v>
      </c>
      <c r="B373" s="79" t="s">
        <v>10</v>
      </c>
      <c r="C373" s="79" t="s">
        <v>11</v>
      </c>
      <c r="D373" s="9">
        <v>0.50210500000000002</v>
      </c>
      <c r="E373" s="8">
        <v>193.32947475092888</v>
      </c>
      <c r="F373" s="8">
        <v>97.071737380145294</v>
      </c>
      <c r="G373" s="80">
        <v>21613</v>
      </c>
      <c r="H373" s="80">
        <v>10852</v>
      </c>
      <c r="I373" s="1">
        <v>2098011.4599970803</v>
      </c>
    </row>
    <row r="374" spans="1:9" x14ac:dyDescent="0.2">
      <c r="A374" s="79" t="s">
        <v>389</v>
      </c>
      <c r="B374" s="79" t="s">
        <v>13</v>
      </c>
      <c r="C374" s="79" t="s">
        <v>11</v>
      </c>
      <c r="D374" s="9">
        <v>0.542821</v>
      </c>
      <c r="E374" s="8">
        <v>189.30308898708779</v>
      </c>
      <c r="F374" s="8">
        <v>102.7577772635226</v>
      </c>
      <c r="G374" s="80">
        <v>21613</v>
      </c>
      <c r="H374" s="80">
        <v>11732</v>
      </c>
      <c r="I374" s="1">
        <v>2220903.8399965139</v>
      </c>
    </row>
    <row r="375" spans="1:9" x14ac:dyDescent="0.2">
      <c r="A375" s="79" t="s">
        <v>390</v>
      </c>
      <c r="B375" s="79" t="s">
        <v>15</v>
      </c>
      <c r="C375" s="79" t="s">
        <v>11</v>
      </c>
      <c r="D375" s="9">
        <v>0.66547900000000004</v>
      </c>
      <c r="E375" s="8">
        <v>189.66615866004429</v>
      </c>
      <c r="F375" s="8">
        <v>126.21886642332933</v>
      </c>
      <c r="G375" s="80">
        <v>21613</v>
      </c>
      <c r="H375" s="80">
        <v>14383</v>
      </c>
      <c r="I375" s="1">
        <v>2727968.3600074169</v>
      </c>
    </row>
    <row r="376" spans="1:9" x14ac:dyDescent="0.2">
      <c r="A376" s="79" t="s">
        <v>391</v>
      </c>
      <c r="B376" s="79" t="s">
        <v>17</v>
      </c>
      <c r="C376" s="79" t="s">
        <v>11</v>
      </c>
      <c r="D376" s="9">
        <v>0.69337899999999997</v>
      </c>
      <c r="E376" s="8">
        <v>193.37428866950103</v>
      </c>
      <c r="F376" s="8">
        <v>134.08166797765892</v>
      </c>
      <c r="G376" s="80">
        <v>21613</v>
      </c>
      <c r="H376" s="80">
        <v>14986</v>
      </c>
      <c r="I376" s="1">
        <v>2897907.0900011426</v>
      </c>
    </row>
    <row r="377" spans="1:9" x14ac:dyDescent="0.2">
      <c r="A377" s="79" t="s">
        <v>392</v>
      </c>
      <c r="B377" s="79" t="s">
        <v>19</v>
      </c>
      <c r="C377" s="79" t="s">
        <v>11</v>
      </c>
      <c r="D377" s="9">
        <v>0.71531</v>
      </c>
      <c r="E377" s="8">
        <v>195.39640556232283</v>
      </c>
      <c r="F377" s="8">
        <v>139.76904779500813</v>
      </c>
      <c r="G377" s="80">
        <v>21613</v>
      </c>
      <c r="H377" s="80">
        <v>15460</v>
      </c>
      <c r="I377" s="1">
        <v>3020828.4299935107</v>
      </c>
    </row>
    <row r="378" spans="1:9" x14ac:dyDescent="0.2">
      <c r="A378" s="79" t="s">
        <v>393</v>
      </c>
      <c r="B378" s="79" t="s">
        <v>21</v>
      </c>
      <c r="C378" s="79" t="s">
        <v>11</v>
      </c>
      <c r="D378" s="9">
        <v>0.71022099999999999</v>
      </c>
      <c r="E378" s="8">
        <v>190.40777394189587</v>
      </c>
      <c r="F378" s="8">
        <v>135.23154259048266</v>
      </c>
      <c r="G378" s="80">
        <v>21613</v>
      </c>
      <c r="H378" s="80">
        <v>15350</v>
      </c>
      <c r="I378" s="1">
        <v>2922759.3300081016</v>
      </c>
    </row>
    <row r="379" spans="1:9" x14ac:dyDescent="0.2">
      <c r="A379" s="79" t="s">
        <v>394</v>
      </c>
      <c r="B379" s="79" t="s">
        <v>23</v>
      </c>
      <c r="C379" s="79" t="s">
        <v>11</v>
      </c>
      <c r="D379" s="9">
        <v>0.4929</v>
      </c>
      <c r="E379" s="8">
        <v>181.68697271400001</v>
      </c>
      <c r="F379" s="8">
        <v>89.559698277999999</v>
      </c>
      <c r="G379" s="80">
        <v>22007</v>
      </c>
      <c r="H379" s="80">
        <v>10848</v>
      </c>
      <c r="I379" s="1">
        <v>1970940.28</v>
      </c>
    </row>
    <row r="380" spans="1:9" x14ac:dyDescent="0.2">
      <c r="A380" s="79" t="s">
        <v>395</v>
      </c>
      <c r="B380" s="79" t="s">
        <v>10</v>
      </c>
      <c r="C380" s="79" t="s">
        <v>11</v>
      </c>
      <c r="D380" s="9">
        <v>0.46739999999999998</v>
      </c>
      <c r="E380" s="8">
        <v>180.804141552</v>
      </c>
      <c r="F380" s="8">
        <v>84.507265869999998</v>
      </c>
      <c r="G380" s="80">
        <v>22007</v>
      </c>
      <c r="H380" s="80">
        <v>10286</v>
      </c>
      <c r="I380" s="1">
        <v>1859751.4</v>
      </c>
    </row>
    <row r="381" spans="1:9" x14ac:dyDescent="0.2">
      <c r="A381" s="79" t="s">
        <v>396</v>
      </c>
      <c r="B381" s="79" t="s">
        <v>13</v>
      </c>
      <c r="C381" s="79" t="s">
        <v>11</v>
      </c>
      <c r="D381" s="9">
        <v>0.48649999999999999</v>
      </c>
      <c r="E381" s="8">
        <v>186.566510368</v>
      </c>
      <c r="F381" s="8">
        <v>90.761169628000005</v>
      </c>
      <c r="G381" s="80">
        <v>22007</v>
      </c>
      <c r="H381" s="80">
        <v>10706</v>
      </c>
      <c r="I381" s="1">
        <v>1997381.06</v>
      </c>
    </row>
    <row r="382" spans="1:9" x14ac:dyDescent="0.2">
      <c r="A382" s="79" t="s">
        <v>397</v>
      </c>
      <c r="B382" s="79" t="s">
        <v>15</v>
      </c>
      <c r="C382" s="79" t="s">
        <v>11</v>
      </c>
      <c r="D382" s="9">
        <v>0.52229999999999999</v>
      </c>
      <c r="E382" s="8">
        <v>186.521779904</v>
      </c>
      <c r="F382" s="8">
        <v>97.426630618000004</v>
      </c>
      <c r="G382" s="80">
        <v>22007</v>
      </c>
      <c r="H382" s="80">
        <v>11495</v>
      </c>
      <c r="I382" s="1">
        <v>2144067.86</v>
      </c>
    </row>
    <row r="383" spans="1:9" x14ac:dyDescent="0.2">
      <c r="A383" s="79" t="s">
        <v>398</v>
      </c>
      <c r="B383" s="79" t="s">
        <v>17</v>
      </c>
      <c r="C383" s="79" t="s">
        <v>11</v>
      </c>
      <c r="D383" s="9">
        <v>0.55859999999999999</v>
      </c>
      <c r="E383" s="8">
        <v>191.83373708600001</v>
      </c>
      <c r="F383" s="8">
        <v>107.157364929</v>
      </c>
      <c r="G383" s="80">
        <v>22007</v>
      </c>
      <c r="H383" s="80">
        <v>12293</v>
      </c>
      <c r="I383" s="1">
        <v>2358212.13</v>
      </c>
    </row>
    <row r="384" spans="1:9" x14ac:dyDescent="0.2">
      <c r="A384" s="79" t="s">
        <v>399</v>
      </c>
      <c r="B384" s="79" t="s">
        <v>19</v>
      </c>
      <c r="C384" s="79" t="s">
        <v>11</v>
      </c>
      <c r="D384" s="9">
        <v>0.67049999999999998</v>
      </c>
      <c r="E384" s="8">
        <v>205.049392789</v>
      </c>
      <c r="F384" s="8">
        <v>137.48847366699999</v>
      </c>
      <c r="G384" s="80">
        <v>22007</v>
      </c>
      <c r="H384" s="80">
        <v>14756</v>
      </c>
      <c r="I384" s="1">
        <v>3025708.84</v>
      </c>
    </row>
    <row r="385" spans="1:9" x14ac:dyDescent="0.2">
      <c r="A385" s="79" t="s">
        <v>400</v>
      </c>
      <c r="B385" s="79" t="s">
        <v>21</v>
      </c>
      <c r="C385" s="79" t="s">
        <v>11</v>
      </c>
      <c r="D385" s="9">
        <v>0.74329999999999996</v>
      </c>
      <c r="E385" s="8">
        <v>213.10393752300001</v>
      </c>
      <c r="F385" s="8">
        <v>158.40206343400001</v>
      </c>
      <c r="G385" s="80">
        <v>22007</v>
      </c>
      <c r="H385" s="80">
        <v>16358</v>
      </c>
      <c r="I385" s="1">
        <v>3485954.21</v>
      </c>
    </row>
    <row r="386" spans="1:9" x14ac:dyDescent="0.2">
      <c r="A386" s="79" t="s">
        <v>401</v>
      </c>
      <c r="B386" s="79" t="s">
        <v>23</v>
      </c>
      <c r="C386" s="79" t="s">
        <v>11</v>
      </c>
      <c r="D386" s="9">
        <v>0.61729999999999996</v>
      </c>
      <c r="E386" s="8">
        <v>202.89551531199999</v>
      </c>
      <c r="F386" s="8">
        <v>125.23890943799999</v>
      </c>
      <c r="G386" s="80">
        <v>22007</v>
      </c>
      <c r="H386" s="80">
        <v>13584</v>
      </c>
      <c r="I386" s="1">
        <v>2756132.68</v>
      </c>
    </row>
    <row r="387" spans="1:9" x14ac:dyDescent="0.2">
      <c r="A387" s="79" t="s">
        <v>402</v>
      </c>
      <c r="B387" s="79" t="s">
        <v>10</v>
      </c>
      <c r="C387" s="79" t="s">
        <v>11</v>
      </c>
      <c r="D387" s="9">
        <v>0.47860000000000003</v>
      </c>
      <c r="E387" s="8">
        <v>193.22917109799999</v>
      </c>
      <c r="F387" s="8">
        <v>92.474650338999993</v>
      </c>
      <c r="G387" s="80">
        <v>22007</v>
      </c>
      <c r="H387" s="80">
        <v>10532</v>
      </c>
      <c r="I387" s="1">
        <v>2035089.63</v>
      </c>
    </row>
    <row r="388" spans="1:9" x14ac:dyDescent="0.2">
      <c r="A388" s="79" t="s">
        <v>403</v>
      </c>
      <c r="B388" s="79" t="s">
        <v>13</v>
      </c>
      <c r="C388" s="79" t="s">
        <v>11</v>
      </c>
      <c r="D388" s="9">
        <v>0.61970000000000003</v>
      </c>
      <c r="E388" s="8">
        <v>207.84059686200001</v>
      </c>
      <c r="F388" s="8">
        <v>128.80129322499999</v>
      </c>
      <c r="G388" s="80">
        <v>22007</v>
      </c>
      <c r="H388" s="80">
        <v>13638</v>
      </c>
      <c r="I388" s="1">
        <v>2834530.06</v>
      </c>
    </row>
    <row r="389" spans="1:9" x14ac:dyDescent="0.2">
      <c r="A389" s="79" t="s">
        <v>404</v>
      </c>
      <c r="B389" s="79" t="s">
        <v>15</v>
      </c>
      <c r="C389" s="79" t="s">
        <v>11</v>
      </c>
      <c r="D389" s="9">
        <v>0.77410000000000001</v>
      </c>
      <c r="E389" s="8">
        <v>259.41202453599999</v>
      </c>
      <c r="F389" s="8">
        <v>200.815342845</v>
      </c>
      <c r="G389" s="80">
        <v>22007</v>
      </c>
      <c r="H389" s="80">
        <v>17036</v>
      </c>
      <c r="I389" s="1">
        <v>4419343.25</v>
      </c>
    </row>
    <row r="390" spans="1:9" x14ac:dyDescent="0.2">
      <c r="A390" s="79" t="s">
        <v>405</v>
      </c>
      <c r="B390" s="79" t="s">
        <v>17</v>
      </c>
      <c r="C390" s="79" t="s">
        <v>11</v>
      </c>
      <c r="D390" s="9">
        <v>0.86939999999999995</v>
      </c>
      <c r="E390" s="8">
        <v>277.08696911099997</v>
      </c>
      <c r="F390" s="8">
        <v>240.90084882100001</v>
      </c>
      <c r="G390" s="80">
        <v>22007</v>
      </c>
      <c r="H390" s="80">
        <v>19133</v>
      </c>
      <c r="I390" s="1">
        <v>5301504.9800000004</v>
      </c>
    </row>
    <row r="391" spans="1:9" x14ac:dyDescent="0.2">
      <c r="A391" s="79" t="s">
        <v>406</v>
      </c>
      <c r="B391" s="79" t="s">
        <v>19</v>
      </c>
      <c r="C391" s="79" t="s">
        <v>11</v>
      </c>
      <c r="D391" s="9">
        <v>0.86529999999999996</v>
      </c>
      <c r="E391" s="8">
        <v>281.47543640399999</v>
      </c>
      <c r="F391" s="8">
        <v>243.55229063499999</v>
      </c>
      <c r="G391" s="80">
        <v>22007</v>
      </c>
      <c r="H391" s="80">
        <v>19042</v>
      </c>
      <c r="I391" s="1">
        <v>5359855.26</v>
      </c>
    </row>
    <row r="392" spans="1:9" x14ac:dyDescent="0.2">
      <c r="A392" s="79" t="s">
        <v>407</v>
      </c>
      <c r="B392" s="79" t="s">
        <v>21</v>
      </c>
      <c r="C392" s="79" t="s">
        <v>11</v>
      </c>
      <c r="D392" s="9">
        <v>0.77159999999999995</v>
      </c>
      <c r="E392" s="8">
        <v>245.24876266199999</v>
      </c>
      <c r="F392" s="8">
        <v>189.22724542200001</v>
      </c>
      <c r="G392" s="80">
        <v>22007</v>
      </c>
      <c r="H392" s="80">
        <v>16980</v>
      </c>
      <c r="I392" s="1">
        <v>4164323.99</v>
      </c>
    </row>
    <row r="393" spans="1:9" x14ac:dyDescent="0.2">
      <c r="A393" s="79" t="s">
        <v>408</v>
      </c>
      <c r="B393" s="79" t="s">
        <v>23</v>
      </c>
      <c r="C393" s="79" t="s">
        <v>11</v>
      </c>
      <c r="D393" s="9">
        <v>0.50049999999999994</v>
      </c>
      <c r="E393" s="8">
        <v>190.63710304099999</v>
      </c>
      <c r="F393" s="8">
        <v>95.418171036000004</v>
      </c>
      <c r="G393" s="80">
        <v>22007</v>
      </c>
      <c r="H393" s="80">
        <v>11015</v>
      </c>
      <c r="I393" s="1">
        <v>2099867.69</v>
      </c>
    </row>
    <row r="394" spans="1:9" x14ac:dyDescent="0.2">
      <c r="A394" s="79" t="s">
        <v>409</v>
      </c>
      <c r="B394" s="79" t="s">
        <v>10</v>
      </c>
      <c r="C394" s="79" t="s">
        <v>11</v>
      </c>
      <c r="D394" s="9">
        <v>0.52259999999999995</v>
      </c>
      <c r="E394" s="8">
        <v>194.438926087</v>
      </c>
      <c r="F394" s="8">
        <v>101.6062003</v>
      </c>
      <c r="G394" s="80">
        <v>22007</v>
      </c>
      <c r="H394" s="80">
        <v>11500</v>
      </c>
      <c r="I394" s="1">
        <v>2236047.65</v>
      </c>
    </row>
    <row r="395" spans="1:9" x14ac:dyDescent="0.2">
      <c r="A395" s="79" t="s">
        <v>410</v>
      </c>
      <c r="B395" s="79" t="s">
        <v>13</v>
      </c>
      <c r="C395" s="79" t="s">
        <v>11</v>
      </c>
      <c r="D395" s="9">
        <v>0.59850000000000003</v>
      </c>
      <c r="E395" s="8">
        <v>196.21514652299999</v>
      </c>
      <c r="F395" s="8">
        <v>117.44199163899999</v>
      </c>
      <c r="G395" s="80">
        <v>22007</v>
      </c>
      <c r="H395" s="80">
        <v>13172</v>
      </c>
      <c r="I395" s="1">
        <v>2584545.91</v>
      </c>
    </row>
    <row r="396" spans="1:9" x14ac:dyDescent="0.2">
      <c r="A396" s="79" t="s">
        <v>411</v>
      </c>
      <c r="B396" s="79" t="s">
        <v>15</v>
      </c>
      <c r="C396" s="79" t="s">
        <v>11</v>
      </c>
      <c r="D396" s="9">
        <v>0.57140000000000002</v>
      </c>
      <c r="E396" s="8">
        <v>200.64898282199999</v>
      </c>
      <c r="F396" s="8">
        <v>114.643536602</v>
      </c>
      <c r="G396" s="80">
        <v>22007</v>
      </c>
      <c r="H396" s="80">
        <v>12574</v>
      </c>
      <c r="I396" s="1">
        <v>2522960.31</v>
      </c>
    </row>
    <row r="397" spans="1:9" x14ac:dyDescent="0.2">
      <c r="A397" s="79" t="s">
        <v>412</v>
      </c>
      <c r="B397" s="79" t="s">
        <v>17</v>
      </c>
      <c r="C397" s="79" t="s">
        <v>11</v>
      </c>
      <c r="D397" s="9">
        <v>0.64059999999999995</v>
      </c>
      <c r="E397" s="8">
        <v>215.18813377800001</v>
      </c>
      <c r="F397" s="8">
        <v>137.85260644300001</v>
      </c>
      <c r="G397" s="80">
        <v>22007</v>
      </c>
      <c r="H397" s="80">
        <v>14098</v>
      </c>
      <c r="I397" s="1">
        <v>3033722.31</v>
      </c>
    </row>
    <row r="398" spans="1:9" x14ac:dyDescent="0.2">
      <c r="A398" s="79" t="s">
        <v>413</v>
      </c>
      <c r="B398" s="79" t="s">
        <v>19</v>
      </c>
      <c r="C398" s="79" t="s">
        <v>11</v>
      </c>
      <c r="D398" s="9">
        <v>0.75529999999999997</v>
      </c>
      <c r="E398" s="8">
        <v>232.15946456500001</v>
      </c>
      <c r="F398" s="8">
        <v>175.35123460700001</v>
      </c>
      <c r="G398" s="80">
        <v>22007</v>
      </c>
      <c r="H398" s="80">
        <v>16622</v>
      </c>
      <c r="I398" s="1">
        <v>3858954.62</v>
      </c>
    </row>
    <row r="399" spans="1:9" x14ac:dyDescent="0.2">
      <c r="A399" s="79" t="s">
        <v>414</v>
      </c>
      <c r="B399" s="79" t="s">
        <v>21</v>
      </c>
      <c r="C399" s="79" t="s">
        <v>11</v>
      </c>
      <c r="D399" s="9">
        <v>0.80889999999999995</v>
      </c>
      <c r="E399" s="8">
        <v>235.78528846699999</v>
      </c>
      <c r="F399" s="8">
        <v>190.72176671099999</v>
      </c>
      <c r="G399" s="80">
        <v>22007</v>
      </c>
      <c r="H399" s="80">
        <v>17801</v>
      </c>
      <c r="I399" s="1">
        <v>4197213.92</v>
      </c>
    </row>
    <row r="400" spans="1:9" x14ac:dyDescent="0.2">
      <c r="A400" s="79" t="s">
        <v>415</v>
      </c>
      <c r="B400" s="79" t="s">
        <v>23</v>
      </c>
      <c r="C400" s="79" t="s">
        <v>11</v>
      </c>
      <c r="D400" s="9">
        <v>0.66049999999999998</v>
      </c>
      <c r="E400" s="8">
        <v>227.57087656499999</v>
      </c>
      <c r="F400" s="8">
        <v>150.300605289</v>
      </c>
      <c r="G400" s="80">
        <v>22006</v>
      </c>
      <c r="H400" s="80">
        <v>14534</v>
      </c>
      <c r="I400" s="1">
        <v>3307515.12</v>
      </c>
    </row>
    <row r="401" spans="1:9" x14ac:dyDescent="0.2">
      <c r="A401" s="79" t="s">
        <v>416</v>
      </c>
      <c r="B401" s="79" t="s">
        <v>10</v>
      </c>
      <c r="C401" s="79" t="s">
        <v>11</v>
      </c>
      <c r="D401" s="9">
        <v>0.79559999999999997</v>
      </c>
      <c r="E401" s="8">
        <v>261.46727781599998</v>
      </c>
      <c r="F401" s="8">
        <v>208.02367990499999</v>
      </c>
      <c r="G401" s="80">
        <v>22006</v>
      </c>
      <c r="H401" s="80">
        <v>17508</v>
      </c>
      <c r="I401" s="1">
        <v>4577769.0999999996</v>
      </c>
    </row>
    <row r="402" spans="1:9" x14ac:dyDescent="0.2">
      <c r="A402" s="79" t="s">
        <v>417</v>
      </c>
      <c r="B402" s="79" t="s">
        <v>13</v>
      </c>
      <c r="C402" s="79" t="s">
        <v>11</v>
      </c>
      <c r="D402" s="9">
        <v>0.85270000000000001</v>
      </c>
      <c r="E402" s="8">
        <v>271.084114575</v>
      </c>
      <c r="F402" s="8">
        <v>231.15938425900001</v>
      </c>
      <c r="G402" s="80">
        <v>22006</v>
      </c>
      <c r="H402" s="80">
        <v>18765</v>
      </c>
      <c r="I402" s="1">
        <v>5086893.41</v>
      </c>
    </row>
    <row r="403" spans="1:9" x14ac:dyDescent="0.2">
      <c r="A403" s="79" t="s">
        <v>418</v>
      </c>
      <c r="B403" s="79" t="s">
        <v>15</v>
      </c>
      <c r="C403" s="79" t="s">
        <v>11</v>
      </c>
      <c r="D403" s="9">
        <v>0.79910000000000003</v>
      </c>
      <c r="E403" s="8">
        <v>271.18343739300002</v>
      </c>
      <c r="F403" s="8">
        <v>216.71507452500001</v>
      </c>
      <c r="G403" s="80">
        <v>22006</v>
      </c>
      <c r="H403" s="80">
        <v>17586</v>
      </c>
      <c r="I403" s="1">
        <v>4769031.93</v>
      </c>
    </row>
    <row r="404" spans="1:9" x14ac:dyDescent="0.2">
      <c r="A404" s="79" t="s">
        <v>419</v>
      </c>
      <c r="B404" s="79" t="s">
        <v>17</v>
      </c>
      <c r="C404" s="79" t="s">
        <v>11</v>
      </c>
      <c r="D404" s="9">
        <v>0.72040000000000004</v>
      </c>
      <c r="E404" s="8">
        <v>228.990664186</v>
      </c>
      <c r="F404" s="8">
        <v>164.97400663499999</v>
      </c>
      <c r="G404" s="80">
        <v>22006</v>
      </c>
      <c r="H404" s="80">
        <v>15854</v>
      </c>
      <c r="I404" s="1">
        <v>3630417.99</v>
      </c>
    </row>
    <row r="405" spans="1:9" x14ac:dyDescent="0.2">
      <c r="A405" s="79" t="s">
        <v>420</v>
      </c>
      <c r="B405" s="79" t="s">
        <v>19</v>
      </c>
      <c r="C405" s="79" t="s">
        <v>11</v>
      </c>
      <c r="D405" s="9">
        <v>0.68889999999999996</v>
      </c>
      <c r="E405" s="8">
        <v>221.90238670100001</v>
      </c>
      <c r="F405" s="8">
        <v>152.85914205200001</v>
      </c>
      <c r="G405" s="80">
        <v>22006</v>
      </c>
      <c r="H405" s="80">
        <v>15159</v>
      </c>
      <c r="I405" s="1">
        <v>3363818.28</v>
      </c>
    </row>
    <row r="406" spans="1:9" x14ac:dyDescent="0.2">
      <c r="A406" s="79" t="s">
        <v>421</v>
      </c>
      <c r="B406" s="79" t="s">
        <v>21</v>
      </c>
      <c r="C406" s="79" t="s">
        <v>11</v>
      </c>
      <c r="D406" s="9">
        <v>0.71540000000000004</v>
      </c>
      <c r="E406" s="8">
        <v>220.75779598599999</v>
      </c>
      <c r="F406" s="8">
        <v>157.93923202799999</v>
      </c>
      <c r="G406" s="80">
        <v>22006</v>
      </c>
      <c r="H406" s="80">
        <v>15744</v>
      </c>
      <c r="I406" s="1">
        <v>3475610.74</v>
      </c>
    </row>
    <row r="407" spans="1:9" x14ac:dyDescent="0.2">
      <c r="A407" s="79" t="s">
        <v>422</v>
      </c>
      <c r="B407" s="79" t="s">
        <v>23</v>
      </c>
      <c r="C407" s="79" t="s">
        <v>11</v>
      </c>
      <c r="D407" s="9">
        <v>0.63780000000000003</v>
      </c>
      <c r="E407" s="8">
        <v>203.842997293</v>
      </c>
      <c r="F407" s="8">
        <v>130.016373262</v>
      </c>
      <c r="G407" s="80">
        <v>22006</v>
      </c>
      <c r="H407" s="80">
        <v>14036</v>
      </c>
      <c r="I407" s="1">
        <v>2861140.31</v>
      </c>
    </row>
    <row r="408" spans="1:9" x14ac:dyDescent="0.2">
      <c r="A408" s="79" t="s">
        <v>423</v>
      </c>
      <c r="B408" s="79" t="s">
        <v>10</v>
      </c>
      <c r="C408" s="79" t="s">
        <v>11</v>
      </c>
      <c r="D408" s="9">
        <v>0.60909999999999997</v>
      </c>
      <c r="E408" s="8">
        <v>210.633101313</v>
      </c>
      <c r="F408" s="8">
        <v>128.29801372399999</v>
      </c>
      <c r="G408" s="80">
        <v>22006</v>
      </c>
      <c r="H408" s="80">
        <v>13404</v>
      </c>
      <c r="I408" s="1">
        <v>2823326.09</v>
      </c>
    </row>
    <row r="409" spans="1:9" x14ac:dyDescent="0.2">
      <c r="A409" s="79" t="s">
        <v>424</v>
      </c>
      <c r="B409" s="79" t="s">
        <v>13</v>
      </c>
      <c r="C409" s="79" t="s">
        <v>11</v>
      </c>
      <c r="D409" s="9">
        <v>0.64690000000000003</v>
      </c>
      <c r="E409" s="8">
        <v>214.95106631100001</v>
      </c>
      <c r="F409" s="8">
        <v>139.05495683000001</v>
      </c>
      <c r="G409" s="80">
        <v>22006</v>
      </c>
      <c r="H409" s="80">
        <v>14236</v>
      </c>
      <c r="I409" s="1">
        <v>3060043.38</v>
      </c>
    </row>
    <row r="410" spans="1:9" x14ac:dyDescent="0.2">
      <c r="A410" s="79" t="s">
        <v>425</v>
      </c>
      <c r="B410" s="79" t="s">
        <v>15</v>
      </c>
      <c r="C410" s="79" t="s">
        <v>11</v>
      </c>
      <c r="D410" s="9">
        <v>0.60729999999999995</v>
      </c>
      <c r="E410" s="8">
        <v>225.67593385199999</v>
      </c>
      <c r="F410" s="8">
        <v>137.05049441099999</v>
      </c>
      <c r="G410" s="80">
        <v>22006</v>
      </c>
      <c r="H410" s="80">
        <v>13364</v>
      </c>
      <c r="I410" s="1">
        <v>3015933.18</v>
      </c>
    </row>
    <row r="411" spans="1:9" x14ac:dyDescent="0.2">
      <c r="A411" s="79" t="s">
        <v>426</v>
      </c>
      <c r="B411" s="79" t="s">
        <v>17</v>
      </c>
      <c r="C411" s="79" t="s">
        <v>11</v>
      </c>
      <c r="D411" s="9">
        <v>0.72309999999999997</v>
      </c>
      <c r="E411" s="8">
        <v>249.96231900500001</v>
      </c>
      <c r="F411" s="8">
        <v>180.74163500899999</v>
      </c>
      <c r="G411" s="80">
        <v>22006</v>
      </c>
      <c r="H411" s="80">
        <v>15912</v>
      </c>
      <c r="I411" s="1">
        <v>3977400.42</v>
      </c>
    </row>
    <row r="412" spans="1:9" x14ac:dyDescent="0.2">
      <c r="A412" s="79" t="s">
        <v>427</v>
      </c>
      <c r="B412" s="79" t="s">
        <v>19</v>
      </c>
      <c r="C412" s="79" t="s">
        <v>11</v>
      </c>
      <c r="D412" s="9">
        <v>0.89849999999999997</v>
      </c>
      <c r="E412" s="8">
        <v>281.15006423199998</v>
      </c>
      <c r="F412" s="8">
        <v>252.608337272</v>
      </c>
      <c r="G412" s="80">
        <v>22006</v>
      </c>
      <c r="H412" s="80">
        <v>19772</v>
      </c>
      <c r="I412" s="1">
        <v>5558899.0700000003</v>
      </c>
    </row>
    <row r="413" spans="1:9" x14ac:dyDescent="0.2">
      <c r="A413" s="79" t="s">
        <v>428</v>
      </c>
      <c r="B413" s="79" t="s">
        <v>21</v>
      </c>
      <c r="C413" s="79" t="s">
        <v>11</v>
      </c>
      <c r="D413" s="9">
        <v>0.9365</v>
      </c>
      <c r="E413" s="8">
        <v>293.59442525100002</v>
      </c>
      <c r="F413" s="8">
        <v>274.95626238300002</v>
      </c>
      <c r="G413" s="80">
        <v>22006</v>
      </c>
      <c r="H413" s="80">
        <v>20609</v>
      </c>
      <c r="I413" s="1">
        <v>6050687.5099999998</v>
      </c>
    </row>
    <row r="414" spans="1:9" x14ac:dyDescent="0.2">
      <c r="A414" s="79" t="s">
        <v>429</v>
      </c>
      <c r="B414" s="79" t="s">
        <v>23</v>
      </c>
      <c r="C414" s="79" t="s">
        <v>11</v>
      </c>
      <c r="D414" s="9">
        <v>0.8407</v>
      </c>
      <c r="E414" s="8">
        <v>268.12477837799997</v>
      </c>
      <c r="F414" s="8">
        <v>225.40708897600001</v>
      </c>
      <c r="G414" s="80">
        <v>22006</v>
      </c>
      <c r="H414" s="80">
        <v>18500</v>
      </c>
      <c r="I414" s="1">
        <v>4960308.4000000004</v>
      </c>
    </row>
    <row r="415" spans="1:9" x14ac:dyDescent="0.2">
      <c r="A415" s="79" t="s">
        <v>430</v>
      </c>
      <c r="B415" s="79" t="s">
        <v>10</v>
      </c>
      <c r="C415" s="79" t="s">
        <v>11</v>
      </c>
      <c r="D415" s="9">
        <v>0.62380000000000002</v>
      </c>
      <c r="E415" s="8">
        <v>240.459817149</v>
      </c>
      <c r="F415" s="8">
        <v>149.99508815799999</v>
      </c>
      <c r="G415" s="80">
        <v>22006</v>
      </c>
      <c r="H415" s="80">
        <v>13727</v>
      </c>
      <c r="I415" s="1">
        <v>3300791.91</v>
      </c>
    </row>
    <row r="416" spans="1:9" x14ac:dyDescent="0.2">
      <c r="A416" s="79" t="s">
        <v>431</v>
      </c>
      <c r="B416" s="79" t="s">
        <v>13</v>
      </c>
      <c r="C416" s="79" t="s">
        <v>11</v>
      </c>
      <c r="D416" s="9">
        <v>0.66500000000000004</v>
      </c>
      <c r="E416" s="8">
        <v>234.44675823399999</v>
      </c>
      <c r="F416" s="8">
        <v>155.90720076299999</v>
      </c>
      <c r="G416" s="80">
        <v>22006</v>
      </c>
      <c r="H416" s="80">
        <v>14634</v>
      </c>
      <c r="I416" s="1">
        <v>3430893.86</v>
      </c>
    </row>
    <row r="417" spans="1:9" x14ac:dyDescent="0.2">
      <c r="A417" s="79" t="s">
        <v>432</v>
      </c>
      <c r="B417" s="79" t="s">
        <v>15</v>
      </c>
      <c r="C417" s="79" t="s">
        <v>11</v>
      </c>
      <c r="D417" s="9">
        <v>0.7097</v>
      </c>
      <c r="E417" s="8">
        <v>229.317098034</v>
      </c>
      <c r="F417" s="8">
        <v>162.73948559499999</v>
      </c>
      <c r="G417" s="80">
        <v>22006</v>
      </c>
      <c r="H417" s="80">
        <v>15617</v>
      </c>
      <c r="I417" s="1">
        <v>3581245.12</v>
      </c>
    </row>
    <row r="418" spans="1:9" x14ac:dyDescent="0.2">
      <c r="A418" s="79" t="s">
        <v>433</v>
      </c>
      <c r="B418" s="79" t="s">
        <v>17</v>
      </c>
      <c r="C418" s="79" t="s">
        <v>11</v>
      </c>
      <c r="D418" s="9">
        <v>0.74229999999999996</v>
      </c>
      <c r="E418" s="8">
        <v>244.60462659199999</v>
      </c>
      <c r="F418" s="8">
        <v>181.580531673</v>
      </c>
      <c r="G418" s="80">
        <v>22006</v>
      </c>
      <c r="H418" s="80">
        <v>16336</v>
      </c>
      <c r="I418" s="1">
        <v>3995861.18</v>
      </c>
    </row>
    <row r="419" spans="1:9" x14ac:dyDescent="0.2">
      <c r="A419" s="79" t="s">
        <v>434</v>
      </c>
      <c r="B419" s="79" t="s">
        <v>19</v>
      </c>
      <c r="C419" s="79" t="s">
        <v>11</v>
      </c>
      <c r="D419" s="9">
        <v>0.75139999999999996</v>
      </c>
      <c r="E419" s="8">
        <v>244.69404874200001</v>
      </c>
      <c r="F419" s="8">
        <v>183.87079841900001</v>
      </c>
      <c r="G419" s="80">
        <v>22006</v>
      </c>
      <c r="H419" s="80">
        <v>16536</v>
      </c>
      <c r="I419" s="1">
        <v>4046260.79</v>
      </c>
    </row>
    <row r="420" spans="1:9" x14ac:dyDescent="0.2">
      <c r="A420" s="79" t="s">
        <v>435</v>
      </c>
      <c r="B420" s="79" t="s">
        <v>21</v>
      </c>
      <c r="C420" s="79" t="s">
        <v>11</v>
      </c>
      <c r="D420" s="9">
        <v>0.76549999999999996</v>
      </c>
      <c r="E420" s="8">
        <v>232.50583996200001</v>
      </c>
      <c r="F420" s="8">
        <v>177.987520676</v>
      </c>
      <c r="G420" s="80">
        <v>22006</v>
      </c>
      <c r="H420" s="80">
        <v>16846</v>
      </c>
      <c r="I420" s="1">
        <v>3916793.38</v>
      </c>
    </row>
    <row r="421" spans="1:9" x14ac:dyDescent="0.2">
      <c r="A421" s="79" t="s">
        <v>436</v>
      </c>
      <c r="B421" s="79" t="s">
        <v>23</v>
      </c>
      <c r="C421" s="79" t="s">
        <v>11</v>
      </c>
      <c r="D421" s="9">
        <v>0.63149999999999995</v>
      </c>
      <c r="E421" s="8">
        <v>213.73407354099999</v>
      </c>
      <c r="F421" s="8">
        <v>134.975116786</v>
      </c>
      <c r="G421" s="80">
        <v>22006</v>
      </c>
      <c r="H421" s="80">
        <v>13897</v>
      </c>
      <c r="I421" s="1">
        <v>2970262.42</v>
      </c>
    </row>
    <row r="422" spans="1:9" x14ac:dyDescent="0.2">
      <c r="A422" s="79" t="s">
        <v>437</v>
      </c>
      <c r="B422" s="79" t="s">
        <v>10</v>
      </c>
      <c r="C422" s="79" t="s">
        <v>11</v>
      </c>
      <c r="D422" s="9">
        <v>0.69340000000000002</v>
      </c>
      <c r="E422" s="8">
        <v>211.147796855</v>
      </c>
      <c r="F422" s="8">
        <v>146.419857312</v>
      </c>
      <c r="G422" s="80">
        <v>22006</v>
      </c>
      <c r="H422" s="80">
        <v>15260</v>
      </c>
      <c r="I422" s="1">
        <v>3222115.38</v>
      </c>
    </row>
    <row r="423" spans="1:9" x14ac:dyDescent="0.2">
      <c r="A423" s="79" t="s">
        <v>438</v>
      </c>
      <c r="B423" s="79" t="s">
        <v>13</v>
      </c>
      <c r="C423" s="79" t="s">
        <v>11</v>
      </c>
      <c r="D423" s="9">
        <v>0.72199999999999998</v>
      </c>
      <c r="E423" s="8">
        <v>213.360231621</v>
      </c>
      <c r="F423" s="8">
        <v>154.042868309</v>
      </c>
      <c r="G423" s="80">
        <v>22006</v>
      </c>
      <c r="H423" s="80">
        <v>15888</v>
      </c>
      <c r="I423" s="1">
        <v>3389867.36</v>
      </c>
    </row>
    <row r="424" spans="1:9" x14ac:dyDescent="0.2">
      <c r="A424" s="79" t="s">
        <v>439</v>
      </c>
      <c r="B424" s="79" t="s">
        <v>15</v>
      </c>
      <c r="C424" s="79" t="s">
        <v>11</v>
      </c>
      <c r="D424" s="9">
        <v>0.72609999999999997</v>
      </c>
      <c r="E424" s="8">
        <v>203.39870580100001</v>
      </c>
      <c r="F424" s="8">
        <v>147.691898573</v>
      </c>
      <c r="G424" s="80">
        <v>22006</v>
      </c>
      <c r="H424" s="80">
        <v>15979</v>
      </c>
      <c r="I424" s="1">
        <v>3250107.92</v>
      </c>
    </row>
    <row r="425" spans="1:9" x14ac:dyDescent="0.2">
      <c r="A425" s="79" t="s">
        <v>440</v>
      </c>
      <c r="B425" s="79" t="s">
        <v>17</v>
      </c>
      <c r="C425" s="79" t="s">
        <v>11</v>
      </c>
      <c r="D425" s="9">
        <v>0.75939999999999996</v>
      </c>
      <c r="E425" s="8">
        <v>204.94650110699999</v>
      </c>
      <c r="F425" s="8">
        <v>155.63305371300001</v>
      </c>
      <c r="G425" s="80">
        <v>22006</v>
      </c>
      <c r="H425" s="80">
        <v>16711</v>
      </c>
      <c r="I425" s="1">
        <v>3424860.98</v>
      </c>
    </row>
    <row r="426" spans="1:9" x14ac:dyDescent="0.2">
      <c r="A426" s="79" t="s">
        <v>441</v>
      </c>
      <c r="B426" s="79" t="s">
        <v>19</v>
      </c>
      <c r="C426" s="79" t="s">
        <v>11</v>
      </c>
      <c r="D426" s="9">
        <v>0.75349999999999995</v>
      </c>
      <c r="E426" s="8">
        <v>214.99564441199999</v>
      </c>
      <c r="F426" s="8">
        <v>161.99412796499999</v>
      </c>
      <c r="G426" s="80">
        <v>22006</v>
      </c>
      <c r="H426" s="80">
        <v>16581</v>
      </c>
      <c r="I426" s="1">
        <v>3564842.78</v>
      </c>
    </row>
    <row r="427" spans="1:9" x14ac:dyDescent="0.2">
      <c r="A427" s="79" t="s">
        <v>442</v>
      </c>
      <c r="B427" s="79" t="s">
        <v>21</v>
      </c>
      <c r="C427" s="79" t="s">
        <v>11</v>
      </c>
      <c r="D427" s="9">
        <v>0.72619999999999996</v>
      </c>
      <c r="E427" s="8">
        <v>217.89963331499999</v>
      </c>
      <c r="F427" s="8">
        <v>158.24111787699999</v>
      </c>
      <c r="G427" s="80">
        <v>22006</v>
      </c>
      <c r="H427" s="80">
        <v>15981</v>
      </c>
      <c r="I427" s="1">
        <v>3482254.04</v>
      </c>
    </row>
    <row r="428" spans="1:9" x14ac:dyDescent="0.2">
      <c r="A428" s="79" t="s">
        <v>443</v>
      </c>
      <c r="B428" s="79" t="s">
        <v>23</v>
      </c>
      <c r="C428" s="79" t="s">
        <v>11</v>
      </c>
      <c r="D428" s="9">
        <v>0.49959999999999999</v>
      </c>
      <c r="E428" s="8">
        <v>219.60360287399999</v>
      </c>
      <c r="F428" s="8">
        <v>109.71198809400001</v>
      </c>
      <c r="G428" s="80">
        <v>22006</v>
      </c>
      <c r="H428" s="80">
        <v>10994</v>
      </c>
      <c r="I428" s="1">
        <v>2414322.0099999998</v>
      </c>
    </row>
    <row r="429" spans="1:9" x14ac:dyDescent="0.2">
      <c r="A429" s="79" t="s">
        <v>444</v>
      </c>
      <c r="B429" s="79" t="s">
        <v>10</v>
      </c>
      <c r="C429" s="79" t="s">
        <v>11</v>
      </c>
      <c r="D429" s="9">
        <v>0.61739999999999995</v>
      </c>
      <c r="E429" s="8">
        <v>266.20256440499998</v>
      </c>
      <c r="F429" s="8">
        <v>164.34736162900001</v>
      </c>
      <c r="G429" s="80">
        <v>22006</v>
      </c>
      <c r="H429" s="80">
        <v>13586</v>
      </c>
      <c r="I429" s="1">
        <v>3616628.04</v>
      </c>
    </row>
    <row r="430" spans="1:9" x14ac:dyDescent="0.2">
      <c r="A430" s="79" t="s">
        <v>445</v>
      </c>
      <c r="B430" s="79" t="s">
        <v>13</v>
      </c>
      <c r="C430" s="79" t="s">
        <v>11</v>
      </c>
      <c r="D430" s="9">
        <v>0.90190000000000003</v>
      </c>
      <c r="E430" s="8">
        <v>352.90823256800002</v>
      </c>
      <c r="F430" s="8">
        <v>318.30058165999998</v>
      </c>
      <c r="G430" s="80">
        <v>22006</v>
      </c>
      <c r="H430" s="80">
        <v>19848</v>
      </c>
      <c r="I430" s="1">
        <v>7004522.5999999996</v>
      </c>
    </row>
    <row r="431" spans="1:9" x14ac:dyDescent="0.2">
      <c r="A431" s="79" t="s">
        <v>446</v>
      </c>
      <c r="B431" s="79" t="s">
        <v>15</v>
      </c>
      <c r="C431" s="79" t="s">
        <v>11</v>
      </c>
      <c r="D431" s="9">
        <v>0.93600000000000005</v>
      </c>
      <c r="E431" s="8">
        <v>375.79916788000003</v>
      </c>
      <c r="F431" s="8">
        <v>351.754578751</v>
      </c>
      <c r="G431" s="80">
        <v>22006</v>
      </c>
      <c r="H431" s="80">
        <v>20598</v>
      </c>
      <c r="I431" s="1">
        <v>7740711.2599999998</v>
      </c>
    </row>
    <row r="432" spans="1:9" x14ac:dyDescent="0.2">
      <c r="A432" s="79" t="s">
        <v>447</v>
      </c>
      <c r="B432" s="79" t="s">
        <v>17</v>
      </c>
      <c r="C432" s="79" t="s">
        <v>11</v>
      </c>
      <c r="D432" s="9">
        <v>0.9052</v>
      </c>
      <c r="E432" s="8">
        <v>362.57449972400002</v>
      </c>
      <c r="F432" s="8">
        <v>328.18874216099999</v>
      </c>
      <c r="G432" s="80">
        <v>22006</v>
      </c>
      <c r="H432" s="80">
        <v>19919</v>
      </c>
      <c r="I432" s="1">
        <v>7222121.46</v>
      </c>
    </row>
    <row r="433" spans="1:9" x14ac:dyDescent="0.2">
      <c r="A433" s="79" t="s">
        <v>448</v>
      </c>
      <c r="B433" s="79" t="s">
        <v>19</v>
      </c>
      <c r="C433" s="79" t="s">
        <v>11</v>
      </c>
      <c r="D433" s="9">
        <v>0.73670000000000002</v>
      </c>
      <c r="E433" s="8">
        <v>256.06091352099997</v>
      </c>
      <c r="F433" s="8">
        <v>188.64216713600001</v>
      </c>
      <c r="G433" s="80">
        <v>22006</v>
      </c>
      <c r="H433" s="80">
        <v>16212</v>
      </c>
      <c r="I433" s="1">
        <v>4151259.53</v>
      </c>
    </row>
    <row r="434" spans="1:9" x14ac:dyDescent="0.2">
      <c r="A434" s="79" t="s">
        <v>449</v>
      </c>
      <c r="B434" s="79" t="s">
        <v>21</v>
      </c>
      <c r="C434" s="79" t="s">
        <v>11</v>
      </c>
      <c r="D434" s="9">
        <v>0.75119999999999998</v>
      </c>
      <c r="E434" s="8">
        <v>233.49146279499999</v>
      </c>
      <c r="F434" s="8">
        <v>175.38916113799999</v>
      </c>
      <c r="G434" s="80">
        <v>22006</v>
      </c>
      <c r="H434" s="80">
        <v>16530</v>
      </c>
      <c r="I434" s="1">
        <v>3859613.88</v>
      </c>
    </row>
    <row r="435" spans="1:9" x14ac:dyDescent="0.2">
      <c r="A435" s="79" t="s">
        <v>450</v>
      </c>
      <c r="B435" s="79" t="s">
        <v>23</v>
      </c>
      <c r="C435" s="79" t="s">
        <v>11</v>
      </c>
      <c r="D435" s="9">
        <v>0.65980000000000005</v>
      </c>
      <c r="E435" s="8">
        <v>226.425425305</v>
      </c>
      <c r="F435" s="8">
        <v>149.38974597800001</v>
      </c>
      <c r="G435" s="80">
        <v>22006</v>
      </c>
      <c r="H435" s="80">
        <v>14519</v>
      </c>
      <c r="I435" s="1">
        <v>3287470.75</v>
      </c>
    </row>
    <row r="436" spans="1:9" x14ac:dyDescent="0.2">
      <c r="A436" s="79" t="s">
        <v>451</v>
      </c>
      <c r="B436" s="79" t="s">
        <v>10</v>
      </c>
      <c r="C436" s="79" t="s">
        <v>11</v>
      </c>
      <c r="D436" s="9">
        <v>0.7802</v>
      </c>
      <c r="E436" s="8">
        <v>234.617391228</v>
      </c>
      <c r="F436" s="8">
        <v>183.047622921</v>
      </c>
      <c r="G436" s="80">
        <v>22006</v>
      </c>
      <c r="H436" s="80">
        <v>17169</v>
      </c>
      <c r="I436" s="1">
        <v>4028145.99</v>
      </c>
    </row>
    <row r="437" spans="1:9" x14ac:dyDescent="0.2">
      <c r="A437" s="79" t="s">
        <v>452</v>
      </c>
      <c r="B437" s="79" t="s">
        <v>13</v>
      </c>
      <c r="C437" s="79" t="s">
        <v>11</v>
      </c>
      <c r="D437" s="9">
        <v>0.80740000000000001</v>
      </c>
      <c r="E437" s="8">
        <v>231.414830032</v>
      </c>
      <c r="F437" s="8">
        <v>186.848073253</v>
      </c>
      <c r="G437" s="80">
        <v>22006</v>
      </c>
      <c r="H437" s="80">
        <v>17768</v>
      </c>
      <c r="I437" s="1">
        <v>4111778.7</v>
      </c>
    </row>
    <row r="438" spans="1:9" x14ac:dyDescent="0.2">
      <c r="A438" s="79" t="s">
        <v>453</v>
      </c>
      <c r="B438" s="79" t="s">
        <v>15</v>
      </c>
      <c r="C438" s="79" t="s">
        <v>11</v>
      </c>
      <c r="D438" s="9">
        <v>0.77839999999999998</v>
      </c>
      <c r="E438" s="8">
        <v>229.137329247</v>
      </c>
      <c r="F438" s="8">
        <v>178.366011542</v>
      </c>
      <c r="G438" s="80">
        <v>22006</v>
      </c>
      <c r="H438" s="80">
        <v>17130</v>
      </c>
      <c r="I438" s="1">
        <v>3925122.45</v>
      </c>
    </row>
    <row r="439" spans="1:9" x14ac:dyDescent="0.2">
      <c r="A439" s="79" t="s">
        <v>454</v>
      </c>
      <c r="B439" s="79" t="s">
        <v>17</v>
      </c>
      <c r="C439" s="79" t="s">
        <v>11</v>
      </c>
      <c r="D439" s="9">
        <v>0.80859999999999999</v>
      </c>
      <c r="E439" s="8">
        <v>231.92703607999999</v>
      </c>
      <c r="F439" s="8">
        <v>187.53565754799999</v>
      </c>
      <c r="G439" s="80">
        <v>22006</v>
      </c>
      <c r="H439" s="80">
        <v>17794</v>
      </c>
      <c r="I439" s="1">
        <v>4126909.68</v>
      </c>
    </row>
    <row r="440" spans="1:9" x14ac:dyDescent="0.2">
      <c r="A440" s="79" t="s">
        <v>455</v>
      </c>
      <c r="B440" s="79" t="s">
        <v>19</v>
      </c>
      <c r="C440" s="79" t="s">
        <v>11</v>
      </c>
      <c r="D440" s="9">
        <v>0.84489999999999998</v>
      </c>
      <c r="E440" s="8">
        <v>237.42018878100001</v>
      </c>
      <c r="F440" s="8">
        <v>200.597726529</v>
      </c>
      <c r="G440" s="80">
        <v>22006</v>
      </c>
      <c r="H440" s="80">
        <v>18593</v>
      </c>
      <c r="I440" s="1">
        <v>4414353.57</v>
      </c>
    </row>
    <row r="441" spans="1:9" x14ac:dyDescent="0.2">
      <c r="A441" s="79" t="s">
        <v>456</v>
      </c>
      <c r="B441" s="79" t="s">
        <v>21</v>
      </c>
      <c r="C441" s="79" t="s">
        <v>11</v>
      </c>
      <c r="D441" s="9">
        <v>0.92149999999999999</v>
      </c>
      <c r="E441" s="8">
        <v>249.85158982199999</v>
      </c>
      <c r="F441" s="8">
        <v>230.243587658</v>
      </c>
      <c r="G441" s="80">
        <v>22006</v>
      </c>
      <c r="H441" s="80">
        <v>20279</v>
      </c>
      <c r="I441" s="1">
        <v>5066740.3899999997</v>
      </c>
    </row>
    <row r="442" spans="1:9" x14ac:dyDescent="0.2">
      <c r="A442" s="79" t="s">
        <v>457</v>
      </c>
      <c r="B442" s="79" t="s">
        <v>23</v>
      </c>
      <c r="C442" s="79" t="s">
        <v>11</v>
      </c>
      <c r="D442" s="9">
        <v>0.89239999999999997</v>
      </c>
      <c r="E442" s="8">
        <v>259.95880083700001</v>
      </c>
      <c r="F442" s="8">
        <v>231.975439188</v>
      </c>
      <c r="G442" s="80">
        <v>21961</v>
      </c>
      <c r="H442" s="80">
        <v>19597</v>
      </c>
      <c r="I442" s="1">
        <v>5094412.62</v>
      </c>
    </row>
    <row r="443" spans="1:9" x14ac:dyDescent="0.2">
      <c r="A443" s="79" t="s">
        <v>458</v>
      </c>
      <c r="B443" s="79" t="s">
        <v>10</v>
      </c>
      <c r="C443" s="79" t="s">
        <v>11</v>
      </c>
      <c r="D443" s="9">
        <v>0.9325</v>
      </c>
      <c r="E443" s="8">
        <v>277.91124468999999</v>
      </c>
      <c r="F443" s="8">
        <v>259.15688629800002</v>
      </c>
      <c r="G443" s="80">
        <v>21961</v>
      </c>
      <c r="H443" s="80">
        <v>20479</v>
      </c>
      <c r="I443" s="1">
        <v>5691344.3799999999</v>
      </c>
    </row>
    <row r="444" spans="1:9" x14ac:dyDescent="0.2">
      <c r="A444" s="79" t="s">
        <v>459</v>
      </c>
      <c r="B444" s="79" t="s">
        <v>13</v>
      </c>
      <c r="C444" s="79" t="s">
        <v>11</v>
      </c>
      <c r="D444" s="9">
        <v>0.9456</v>
      </c>
      <c r="E444" s="8">
        <v>274.76221034399998</v>
      </c>
      <c r="F444" s="8">
        <v>259.81112244399998</v>
      </c>
      <c r="G444" s="80">
        <v>21961</v>
      </c>
      <c r="H444" s="80">
        <v>20766</v>
      </c>
      <c r="I444" s="1">
        <v>5705712.0599999996</v>
      </c>
    </row>
    <row r="445" spans="1:9" x14ac:dyDescent="0.2">
      <c r="A445" s="79" t="s">
        <v>460</v>
      </c>
      <c r="B445" s="79" t="s">
        <v>15</v>
      </c>
      <c r="C445" s="79" t="s">
        <v>11</v>
      </c>
      <c r="D445" s="9">
        <v>0.92579999999999996</v>
      </c>
      <c r="E445" s="8">
        <v>272.61115833000002</v>
      </c>
      <c r="F445" s="8">
        <v>252.37728063399999</v>
      </c>
      <c r="G445" s="80">
        <v>21961</v>
      </c>
      <c r="H445" s="80">
        <v>20331</v>
      </c>
      <c r="I445" s="1">
        <v>5542457.46</v>
      </c>
    </row>
    <row r="446" spans="1:9" x14ac:dyDescent="0.2">
      <c r="A446" s="79" t="s">
        <v>461</v>
      </c>
      <c r="B446" s="79" t="s">
        <v>17</v>
      </c>
      <c r="C446" s="79" t="s">
        <v>11</v>
      </c>
      <c r="D446" s="9">
        <v>0.87470000000000003</v>
      </c>
      <c r="E446" s="8">
        <v>257.21601457600002</v>
      </c>
      <c r="F446" s="8">
        <v>224.995202404</v>
      </c>
      <c r="G446" s="80">
        <v>21961</v>
      </c>
      <c r="H446" s="80">
        <v>19210</v>
      </c>
      <c r="I446" s="1">
        <v>4941119.6399999997</v>
      </c>
    </row>
    <row r="447" spans="1:9" x14ac:dyDescent="0.2">
      <c r="A447" s="79" t="s">
        <v>462</v>
      </c>
      <c r="B447" s="79" t="s">
        <v>19</v>
      </c>
      <c r="C447" s="79" t="s">
        <v>11</v>
      </c>
      <c r="D447" s="9">
        <v>0.80649999999999999</v>
      </c>
      <c r="E447" s="8">
        <v>249.24226695300001</v>
      </c>
      <c r="F447" s="8">
        <v>201.00768589800001</v>
      </c>
      <c r="G447" s="80">
        <v>21961</v>
      </c>
      <c r="H447" s="80">
        <v>17711</v>
      </c>
      <c r="I447" s="1">
        <v>4414329.79</v>
      </c>
    </row>
    <row r="448" spans="1:9" x14ac:dyDescent="0.2">
      <c r="A448" s="79" t="s">
        <v>463</v>
      </c>
      <c r="B448" s="79" t="s">
        <v>21</v>
      </c>
      <c r="C448" s="79" t="s">
        <v>11</v>
      </c>
      <c r="D448" s="9">
        <v>0.75880000000000003</v>
      </c>
      <c r="E448" s="8">
        <v>235.47752145499999</v>
      </c>
      <c r="F448" s="8">
        <v>178.669547835</v>
      </c>
      <c r="G448" s="80">
        <v>21961</v>
      </c>
      <c r="H448" s="80">
        <v>16663</v>
      </c>
      <c r="I448" s="1">
        <v>3923761.94</v>
      </c>
    </row>
    <row r="449" spans="1:9" x14ac:dyDescent="0.2">
      <c r="A449" s="79" t="s">
        <v>464</v>
      </c>
      <c r="B449" s="79" t="s">
        <v>23</v>
      </c>
      <c r="C449" s="79" t="s">
        <v>11</v>
      </c>
      <c r="D449" s="9">
        <v>0.6452</v>
      </c>
      <c r="E449" s="8">
        <v>230.39690472800001</v>
      </c>
      <c r="F449" s="8">
        <v>148.660085606</v>
      </c>
      <c r="G449" s="80">
        <v>21961</v>
      </c>
      <c r="H449" s="80">
        <v>14170</v>
      </c>
      <c r="I449" s="1">
        <v>3264724.14</v>
      </c>
    </row>
    <row r="450" spans="1:9" x14ac:dyDescent="0.2">
      <c r="A450" s="79" t="s">
        <v>465</v>
      </c>
      <c r="B450" s="79" t="s">
        <v>10</v>
      </c>
      <c r="C450" s="79" t="s">
        <v>11</v>
      </c>
      <c r="D450" s="9">
        <v>0.69799999999999995</v>
      </c>
      <c r="E450" s="8">
        <v>226.293075418</v>
      </c>
      <c r="F450" s="8">
        <v>157.944549884</v>
      </c>
      <c r="G450" s="80">
        <v>21961</v>
      </c>
      <c r="H450" s="80">
        <v>15328</v>
      </c>
      <c r="I450" s="1">
        <v>3468620.26</v>
      </c>
    </row>
    <row r="451" spans="1:9" x14ac:dyDescent="0.2">
      <c r="A451" s="79" t="s">
        <v>466</v>
      </c>
      <c r="B451" s="79" t="s">
        <v>13</v>
      </c>
      <c r="C451" s="79" t="s">
        <v>11</v>
      </c>
      <c r="D451" s="9">
        <v>0.72450000000000003</v>
      </c>
      <c r="E451" s="8">
        <v>228.12378480300001</v>
      </c>
      <c r="F451" s="8">
        <v>165.27833614100001</v>
      </c>
      <c r="G451" s="80">
        <v>21961</v>
      </c>
      <c r="H451" s="80">
        <v>15911</v>
      </c>
      <c r="I451" s="1">
        <v>3629677.54</v>
      </c>
    </row>
    <row r="452" spans="1:9" x14ac:dyDescent="0.2">
      <c r="A452" s="79" t="s">
        <v>467</v>
      </c>
      <c r="B452" s="79" t="s">
        <v>15</v>
      </c>
      <c r="C452" s="79" t="s">
        <v>11</v>
      </c>
      <c r="D452" s="9">
        <v>0.71640000000000004</v>
      </c>
      <c r="E452" s="8">
        <v>231.220990911</v>
      </c>
      <c r="F452" s="8">
        <v>165.64818769600001</v>
      </c>
      <c r="G452" s="80">
        <v>21961</v>
      </c>
      <c r="H452" s="80">
        <v>15733</v>
      </c>
      <c r="I452" s="1">
        <v>3637799.85</v>
      </c>
    </row>
    <row r="453" spans="1:9" x14ac:dyDescent="0.2">
      <c r="A453" s="79" t="s">
        <v>468</v>
      </c>
      <c r="B453" s="79" t="s">
        <v>17</v>
      </c>
      <c r="C453" s="79" t="s">
        <v>11</v>
      </c>
      <c r="D453" s="9">
        <v>0.71440000000000003</v>
      </c>
      <c r="E453" s="8">
        <v>232.14837200400001</v>
      </c>
      <c r="F453" s="8">
        <v>165.83687719100001</v>
      </c>
      <c r="G453" s="80">
        <v>21961</v>
      </c>
      <c r="H453" s="80">
        <v>15688</v>
      </c>
      <c r="I453" s="1">
        <v>3641943.66</v>
      </c>
    </row>
    <row r="454" spans="1:9" x14ac:dyDescent="0.2">
      <c r="A454" s="79" t="s">
        <v>469</v>
      </c>
      <c r="B454" s="79" t="s">
        <v>19</v>
      </c>
      <c r="C454" s="79" t="s">
        <v>11</v>
      </c>
      <c r="D454" s="9">
        <v>0.82150000000000001</v>
      </c>
      <c r="E454" s="8">
        <v>227.886777341</v>
      </c>
      <c r="F454" s="8">
        <v>187.20938709500001</v>
      </c>
      <c r="G454" s="80">
        <v>21961</v>
      </c>
      <c r="H454" s="80">
        <v>18041</v>
      </c>
      <c r="I454" s="1">
        <v>4111305.35</v>
      </c>
    </row>
    <row r="455" spans="1:9" x14ac:dyDescent="0.2">
      <c r="A455" s="79" t="s">
        <v>470</v>
      </c>
      <c r="B455" s="79" t="s">
        <v>21</v>
      </c>
      <c r="C455" s="79" t="s">
        <v>11</v>
      </c>
      <c r="D455" s="9">
        <v>0.8417</v>
      </c>
      <c r="E455" s="8">
        <v>227.558167704</v>
      </c>
      <c r="F455" s="8">
        <v>191.54012704300001</v>
      </c>
      <c r="G455" s="80">
        <v>21961</v>
      </c>
      <c r="H455" s="80">
        <v>18485</v>
      </c>
      <c r="I455" s="1">
        <v>4206412.7300000004</v>
      </c>
    </row>
    <row r="456" spans="1:9" x14ac:dyDescent="0.2">
      <c r="A456" s="79" t="s">
        <v>471</v>
      </c>
      <c r="B456" s="79" t="s">
        <v>23</v>
      </c>
      <c r="C456" s="79" t="s">
        <v>11</v>
      </c>
      <c r="D456" s="9">
        <v>0.60229999999999995</v>
      </c>
      <c r="E456" s="8">
        <v>209.76146129399999</v>
      </c>
      <c r="F456" s="8">
        <v>126.342073126</v>
      </c>
      <c r="G456" s="80">
        <v>21962</v>
      </c>
      <c r="H456" s="80">
        <v>13228</v>
      </c>
      <c r="I456" s="1">
        <v>2774724.61</v>
      </c>
    </row>
    <row r="457" spans="1:9" x14ac:dyDescent="0.2">
      <c r="A457" s="79" t="s">
        <v>472</v>
      </c>
      <c r="B457" s="79" t="s">
        <v>10</v>
      </c>
      <c r="C457" s="79" t="s">
        <v>11</v>
      </c>
      <c r="D457" s="9">
        <v>0.56759999999999999</v>
      </c>
      <c r="E457" s="8">
        <v>229.183944645</v>
      </c>
      <c r="F457" s="8">
        <v>130.07822010699999</v>
      </c>
      <c r="G457" s="80">
        <v>21962</v>
      </c>
      <c r="H457" s="80">
        <v>12465</v>
      </c>
      <c r="I457" s="1">
        <v>2856777.87</v>
      </c>
    </row>
    <row r="458" spans="1:9" x14ac:dyDescent="0.2">
      <c r="A458" s="79" t="s">
        <v>473</v>
      </c>
      <c r="B458" s="79" t="s">
        <v>13</v>
      </c>
      <c r="C458" s="79" t="s">
        <v>11</v>
      </c>
      <c r="D458" s="9">
        <v>0.62290000000000001</v>
      </c>
      <c r="E458" s="8">
        <v>221.766600146</v>
      </c>
      <c r="F458" s="8">
        <v>138.13710454400001</v>
      </c>
      <c r="G458" s="80">
        <v>21962</v>
      </c>
      <c r="H458" s="80">
        <v>13680</v>
      </c>
      <c r="I458" s="1">
        <v>3033767.09</v>
      </c>
    </row>
    <row r="459" spans="1:9" x14ac:dyDescent="0.2">
      <c r="A459" s="79" t="s">
        <v>474</v>
      </c>
      <c r="B459" s="79" t="s">
        <v>15</v>
      </c>
      <c r="C459" s="79" t="s">
        <v>11</v>
      </c>
      <c r="D459" s="9">
        <v>0.64290000000000003</v>
      </c>
      <c r="E459" s="8">
        <v>221.05345325799999</v>
      </c>
      <c r="F459" s="8">
        <v>142.121608232</v>
      </c>
      <c r="G459" s="80">
        <v>21962</v>
      </c>
      <c r="H459" s="80">
        <v>14120</v>
      </c>
      <c r="I459" s="1">
        <v>3121274.76</v>
      </c>
    </row>
    <row r="460" spans="1:9" x14ac:dyDescent="0.2">
      <c r="A460" s="79" t="s">
        <v>475</v>
      </c>
      <c r="B460" s="79" t="s">
        <v>17</v>
      </c>
      <c r="C460" s="79" t="s">
        <v>11</v>
      </c>
      <c r="D460" s="9">
        <v>0.68440000000000001</v>
      </c>
      <c r="E460" s="8">
        <v>227.31370700599999</v>
      </c>
      <c r="F460" s="8">
        <v>155.57564566100001</v>
      </c>
      <c r="G460" s="80">
        <v>21962</v>
      </c>
      <c r="H460" s="80">
        <v>15031</v>
      </c>
      <c r="I460" s="1">
        <v>3416752.33</v>
      </c>
    </row>
    <row r="461" spans="1:9" x14ac:dyDescent="0.2">
      <c r="A461" s="79" t="s">
        <v>476</v>
      </c>
      <c r="B461" s="79" t="s">
        <v>19</v>
      </c>
      <c r="C461" s="79" t="s">
        <v>11</v>
      </c>
      <c r="D461" s="9">
        <v>0.74119999999999997</v>
      </c>
      <c r="E461" s="8">
        <v>228.98047487400001</v>
      </c>
      <c r="F461" s="8">
        <v>169.717884072</v>
      </c>
      <c r="G461" s="80">
        <v>21962</v>
      </c>
      <c r="H461" s="80">
        <v>16278</v>
      </c>
      <c r="I461" s="1">
        <v>3727344.17</v>
      </c>
    </row>
    <row r="462" spans="1:9" x14ac:dyDescent="0.2">
      <c r="A462" s="79" t="s">
        <v>477</v>
      </c>
      <c r="B462" s="79" t="s">
        <v>21</v>
      </c>
      <c r="C462" s="79" t="s">
        <v>11</v>
      </c>
      <c r="D462" s="9">
        <v>0.7712</v>
      </c>
      <c r="E462" s="8">
        <v>227.56724760899999</v>
      </c>
      <c r="F462" s="8">
        <v>175.50924506000001</v>
      </c>
      <c r="G462" s="80">
        <v>21962</v>
      </c>
      <c r="H462" s="80">
        <v>16938</v>
      </c>
      <c r="I462" s="1">
        <v>3854534.04</v>
      </c>
    </row>
    <row r="463" spans="1:9" x14ac:dyDescent="0.2">
      <c r="A463" s="79" t="s">
        <v>478</v>
      </c>
      <c r="B463" s="79" t="s">
        <v>23</v>
      </c>
      <c r="C463" s="79" t="s">
        <v>11</v>
      </c>
      <c r="D463" s="9">
        <v>0.6512</v>
      </c>
      <c r="E463" s="8">
        <v>228.81634475499999</v>
      </c>
      <c r="F463" s="8">
        <v>148.99475115000001</v>
      </c>
      <c r="G463" s="80">
        <v>21961</v>
      </c>
      <c r="H463" s="80">
        <v>14300</v>
      </c>
      <c r="I463" s="1">
        <v>3272073.73</v>
      </c>
    </row>
    <row r="464" spans="1:9" x14ac:dyDescent="0.2">
      <c r="A464" s="79" t="s">
        <v>479</v>
      </c>
      <c r="B464" s="79" t="s">
        <v>10</v>
      </c>
      <c r="C464" s="79" t="s">
        <v>11</v>
      </c>
      <c r="D464" s="9">
        <v>0.76</v>
      </c>
      <c r="E464" s="8">
        <v>245.13271164099999</v>
      </c>
      <c r="F464" s="8">
        <v>186.30800464500001</v>
      </c>
      <c r="G464" s="80">
        <v>21961</v>
      </c>
      <c r="H464" s="80">
        <v>16691</v>
      </c>
      <c r="I464" s="1">
        <v>4091510.09</v>
      </c>
    </row>
    <row r="465" spans="1:9" x14ac:dyDescent="0.2">
      <c r="A465" s="79" t="s">
        <v>480</v>
      </c>
      <c r="B465" s="79" t="s">
        <v>13</v>
      </c>
      <c r="C465" s="79" t="s">
        <v>11</v>
      </c>
      <c r="D465" s="9">
        <v>0.80159999999999998</v>
      </c>
      <c r="E465" s="8">
        <v>247.20435582799999</v>
      </c>
      <c r="F465" s="8">
        <v>198.15971403899999</v>
      </c>
      <c r="G465" s="80">
        <v>21961</v>
      </c>
      <c r="H465" s="80">
        <v>17604</v>
      </c>
      <c r="I465" s="1">
        <v>4351785.4800000004</v>
      </c>
    </row>
    <row r="466" spans="1:9" x14ac:dyDescent="0.2">
      <c r="A466" s="79" t="s">
        <v>481</v>
      </c>
      <c r="B466" s="79" t="s">
        <v>15</v>
      </c>
      <c r="C466" s="79" t="s">
        <v>11</v>
      </c>
      <c r="D466" s="9">
        <v>0.80469999999999997</v>
      </c>
      <c r="E466" s="8">
        <v>244.59066889299999</v>
      </c>
      <c r="F466" s="8">
        <v>196.81078776000001</v>
      </c>
      <c r="G466" s="80">
        <v>21961</v>
      </c>
      <c r="H466" s="80">
        <v>17671</v>
      </c>
      <c r="I466" s="1">
        <v>4322161.71</v>
      </c>
    </row>
    <row r="467" spans="1:9" x14ac:dyDescent="0.2">
      <c r="A467" s="79" t="s">
        <v>482</v>
      </c>
      <c r="B467" s="79" t="s">
        <v>17</v>
      </c>
      <c r="C467" s="79" t="s">
        <v>11</v>
      </c>
      <c r="D467" s="9">
        <v>0.78790000000000004</v>
      </c>
      <c r="E467" s="8">
        <v>242.00691423000001</v>
      </c>
      <c r="F467" s="8">
        <v>190.66543554500001</v>
      </c>
      <c r="G467" s="80">
        <v>21961</v>
      </c>
      <c r="H467" s="80">
        <v>17302</v>
      </c>
      <c r="I467" s="1">
        <v>4187203.63</v>
      </c>
    </row>
    <row r="468" spans="1:9" x14ac:dyDescent="0.2">
      <c r="A468" s="79" t="s">
        <v>483</v>
      </c>
      <c r="B468" s="79" t="s">
        <v>19</v>
      </c>
      <c r="C468" s="79" t="s">
        <v>11</v>
      </c>
      <c r="D468" s="9">
        <v>0.79190000000000005</v>
      </c>
      <c r="E468" s="8">
        <v>226.85052156399999</v>
      </c>
      <c r="F468" s="8">
        <v>179.63346705500001</v>
      </c>
      <c r="G468" s="80">
        <v>21961</v>
      </c>
      <c r="H468" s="80">
        <v>17390</v>
      </c>
      <c r="I468" s="1">
        <v>3944930.57</v>
      </c>
    </row>
    <row r="469" spans="1:9" x14ac:dyDescent="0.2">
      <c r="A469" s="79" t="s">
        <v>484</v>
      </c>
      <c r="B469" s="79" t="s">
        <v>21</v>
      </c>
      <c r="C469" s="79" t="s">
        <v>11</v>
      </c>
      <c r="D469" s="9">
        <v>0.81910000000000005</v>
      </c>
      <c r="E469" s="8">
        <v>223.010107844</v>
      </c>
      <c r="F469" s="8">
        <v>182.67514366399999</v>
      </c>
      <c r="G469" s="80">
        <v>21961</v>
      </c>
      <c r="H469" s="80">
        <v>17989</v>
      </c>
      <c r="I469" s="1">
        <v>4011728.83</v>
      </c>
    </row>
    <row r="470" spans="1:9" x14ac:dyDescent="0.2">
      <c r="A470" s="79" t="s">
        <v>485</v>
      </c>
      <c r="B470" s="79" t="s">
        <v>23</v>
      </c>
      <c r="C470" s="79" t="s">
        <v>11</v>
      </c>
      <c r="D470" s="9">
        <v>0.62970000000000004</v>
      </c>
      <c r="E470" s="8">
        <v>218.87993347299999</v>
      </c>
      <c r="F470" s="8">
        <v>137.83027184599999</v>
      </c>
      <c r="G470" s="80">
        <v>21961</v>
      </c>
      <c r="H470" s="80">
        <v>13829</v>
      </c>
      <c r="I470" s="1">
        <v>3026890.6</v>
      </c>
    </row>
    <row r="471" spans="1:9" x14ac:dyDescent="0.2">
      <c r="A471" s="79" t="s">
        <v>486</v>
      </c>
      <c r="B471" s="79" t="s">
        <v>10</v>
      </c>
      <c r="C471" s="79" t="s">
        <v>11</v>
      </c>
      <c r="D471" s="9">
        <v>0.6462</v>
      </c>
      <c r="E471" s="8">
        <v>225.912476043</v>
      </c>
      <c r="F471" s="8">
        <v>145.992890123</v>
      </c>
      <c r="G471" s="80">
        <v>21961</v>
      </c>
      <c r="H471" s="80">
        <v>14192</v>
      </c>
      <c r="I471" s="1">
        <v>3206149.86</v>
      </c>
    </row>
    <row r="472" spans="1:9" x14ac:dyDescent="0.2">
      <c r="A472" s="79" t="s">
        <v>487</v>
      </c>
      <c r="B472" s="79" t="s">
        <v>13</v>
      </c>
      <c r="C472" s="79" t="s">
        <v>11</v>
      </c>
      <c r="D472" s="9">
        <v>0.67290000000000005</v>
      </c>
      <c r="E472" s="8">
        <v>223.08833728100001</v>
      </c>
      <c r="F472" s="8">
        <v>150.11048495099999</v>
      </c>
      <c r="G472" s="80">
        <v>21961</v>
      </c>
      <c r="H472" s="80">
        <v>14777</v>
      </c>
      <c r="I472" s="1">
        <v>3296576.36</v>
      </c>
    </row>
    <row r="473" spans="1:9" x14ac:dyDescent="0.2">
      <c r="A473" s="79" t="s">
        <v>488</v>
      </c>
      <c r="B473" s="79" t="s">
        <v>15</v>
      </c>
      <c r="C473" s="79" t="s">
        <v>11</v>
      </c>
      <c r="D473" s="9">
        <v>0.6623</v>
      </c>
      <c r="E473" s="8">
        <v>220.39270008299999</v>
      </c>
      <c r="F473" s="8">
        <v>145.95835481099999</v>
      </c>
      <c r="G473" s="80">
        <v>21961</v>
      </c>
      <c r="H473" s="80">
        <v>14544</v>
      </c>
      <c r="I473" s="1">
        <v>3205391.43</v>
      </c>
    </row>
    <row r="474" spans="1:9" x14ac:dyDescent="0.2">
      <c r="A474" s="79" t="s">
        <v>489</v>
      </c>
      <c r="B474" s="79" t="s">
        <v>17</v>
      </c>
      <c r="C474" s="79" t="s">
        <v>11</v>
      </c>
      <c r="D474" s="9">
        <v>0.70109999999999995</v>
      </c>
      <c r="E474" s="8">
        <v>223.04589335599999</v>
      </c>
      <c r="F474" s="8">
        <v>156.378927189</v>
      </c>
      <c r="G474" s="80">
        <v>21961</v>
      </c>
      <c r="H474" s="80">
        <v>15397</v>
      </c>
      <c r="I474" s="1">
        <v>3434237.62</v>
      </c>
    </row>
    <row r="475" spans="1:9" x14ac:dyDescent="0.2">
      <c r="A475" s="79" t="s">
        <v>490</v>
      </c>
      <c r="B475" s="79" t="s">
        <v>19</v>
      </c>
      <c r="C475" s="79" t="s">
        <v>11</v>
      </c>
      <c r="D475" s="9">
        <v>0.78979999999999995</v>
      </c>
      <c r="E475" s="8">
        <v>217.20972785999999</v>
      </c>
      <c r="F475" s="8">
        <v>171.544352261</v>
      </c>
      <c r="G475" s="80">
        <v>21961</v>
      </c>
      <c r="H475" s="80">
        <v>17344</v>
      </c>
      <c r="I475" s="1">
        <v>3767285.52</v>
      </c>
    </row>
    <row r="476" spans="1:9" x14ac:dyDescent="0.2">
      <c r="A476" s="79" t="s">
        <v>491</v>
      </c>
      <c r="B476" s="79" t="s">
        <v>21</v>
      </c>
      <c r="C476" s="79" t="s">
        <v>11</v>
      </c>
      <c r="D476" s="9">
        <v>0.75260000000000005</v>
      </c>
      <c r="E476" s="8">
        <v>212.73788298599999</v>
      </c>
      <c r="F476" s="8">
        <v>160.107997359</v>
      </c>
      <c r="G476" s="80">
        <v>21961</v>
      </c>
      <c r="H476" s="80">
        <v>16528</v>
      </c>
      <c r="I476" s="1">
        <v>3516131.73</v>
      </c>
    </row>
    <row r="477" spans="1:9" x14ac:dyDescent="0.2">
      <c r="A477" s="79" t="s">
        <v>492</v>
      </c>
      <c r="B477" s="79" t="s">
        <v>23</v>
      </c>
      <c r="C477" s="79" t="s">
        <v>11</v>
      </c>
      <c r="D477" s="9">
        <v>0.56440000000000001</v>
      </c>
      <c r="E477" s="8">
        <v>207.582028401</v>
      </c>
      <c r="F477" s="8">
        <v>117.15717941699999</v>
      </c>
      <c r="G477" s="80">
        <v>21960</v>
      </c>
      <c r="H477" s="80">
        <v>12394</v>
      </c>
      <c r="I477" s="1">
        <v>2572771.66</v>
      </c>
    </row>
    <row r="478" spans="1:9" x14ac:dyDescent="0.2">
      <c r="A478" s="79" t="s">
        <v>493</v>
      </c>
      <c r="B478" s="79" t="s">
        <v>10</v>
      </c>
      <c r="C478" s="79" t="s">
        <v>11</v>
      </c>
      <c r="D478" s="9">
        <v>0.66120000000000001</v>
      </c>
      <c r="E478" s="8">
        <v>211.228832036</v>
      </c>
      <c r="F478" s="8">
        <v>139.67458424399999</v>
      </c>
      <c r="G478" s="80">
        <v>21960</v>
      </c>
      <c r="H478" s="80">
        <v>14521</v>
      </c>
      <c r="I478" s="1">
        <v>3067253.87</v>
      </c>
    </row>
    <row r="479" spans="1:9" x14ac:dyDescent="0.2">
      <c r="A479" s="79" t="s">
        <v>494</v>
      </c>
      <c r="B479" s="79" t="s">
        <v>13</v>
      </c>
      <c r="C479" s="79" t="s">
        <v>11</v>
      </c>
      <c r="D479" s="9">
        <v>0.70789999999999997</v>
      </c>
      <c r="E479" s="8">
        <v>219.49400231600001</v>
      </c>
      <c r="F479" s="8">
        <v>155.38496174900001</v>
      </c>
      <c r="G479" s="80">
        <v>21960</v>
      </c>
      <c r="H479" s="80">
        <v>15546</v>
      </c>
      <c r="I479" s="1">
        <v>3412253.76</v>
      </c>
    </row>
    <row r="480" spans="1:9" x14ac:dyDescent="0.2">
      <c r="A480" s="79" t="s">
        <v>495</v>
      </c>
      <c r="B480" s="79" t="s">
        <v>15</v>
      </c>
      <c r="C480" s="79" t="s">
        <v>11</v>
      </c>
      <c r="D480" s="9">
        <v>0.71530000000000005</v>
      </c>
      <c r="E480" s="8">
        <v>215.70016361099999</v>
      </c>
      <c r="F480" s="8">
        <v>154.29044490000001</v>
      </c>
      <c r="G480" s="80">
        <v>21960</v>
      </c>
      <c r="H480" s="80">
        <v>15708</v>
      </c>
      <c r="I480" s="1">
        <v>3388218.17</v>
      </c>
    </row>
    <row r="481" spans="1:9" x14ac:dyDescent="0.2">
      <c r="A481" s="79" t="s">
        <v>496</v>
      </c>
      <c r="B481" s="79" t="s">
        <v>17</v>
      </c>
      <c r="C481" s="79" t="s">
        <v>11</v>
      </c>
      <c r="D481" s="9">
        <v>0.78939999999999999</v>
      </c>
      <c r="E481" s="8">
        <v>211.859937121</v>
      </c>
      <c r="F481" s="8">
        <v>167.24007331499999</v>
      </c>
      <c r="G481" s="80">
        <v>21960</v>
      </c>
      <c r="H481" s="80">
        <v>17335</v>
      </c>
      <c r="I481" s="1">
        <v>3672592.01</v>
      </c>
    </row>
    <row r="482" spans="1:9" x14ac:dyDescent="0.2">
      <c r="A482" s="79" t="s">
        <v>497</v>
      </c>
      <c r="B482" s="79" t="s">
        <v>19</v>
      </c>
      <c r="C482" s="79" t="s">
        <v>11</v>
      </c>
      <c r="D482" s="9">
        <v>0.80649999999999999</v>
      </c>
      <c r="E482" s="8">
        <v>211.02595313399999</v>
      </c>
      <c r="F482" s="8">
        <v>170.185320128</v>
      </c>
      <c r="G482" s="80">
        <v>21960</v>
      </c>
      <c r="H482" s="80">
        <v>17710</v>
      </c>
      <c r="I482" s="1">
        <v>3737269.63</v>
      </c>
    </row>
    <row r="483" spans="1:9" x14ac:dyDescent="0.2">
      <c r="A483" s="79" t="s">
        <v>498</v>
      </c>
      <c r="B483" s="79" t="s">
        <v>21</v>
      </c>
      <c r="C483" s="79" t="s">
        <v>11</v>
      </c>
      <c r="D483" s="9">
        <v>0.79859999999999998</v>
      </c>
      <c r="E483" s="8">
        <v>207.532279751</v>
      </c>
      <c r="F483" s="8">
        <v>165.73285928999999</v>
      </c>
      <c r="G483" s="80">
        <v>21960</v>
      </c>
      <c r="H483" s="80">
        <v>17537</v>
      </c>
      <c r="I483" s="1">
        <v>3639493.59</v>
      </c>
    </row>
    <row r="484" spans="1:9" x14ac:dyDescent="0.2">
      <c r="A484" s="79" t="s">
        <v>499</v>
      </c>
      <c r="B484" s="79" t="s">
        <v>23</v>
      </c>
      <c r="C484" s="79" t="s">
        <v>11</v>
      </c>
      <c r="D484" s="9">
        <v>0.65510000000000002</v>
      </c>
      <c r="E484" s="8">
        <v>218.845678437</v>
      </c>
      <c r="F484" s="8">
        <v>143.365843807</v>
      </c>
      <c r="G484" s="80">
        <v>21960</v>
      </c>
      <c r="H484" s="80">
        <v>14386</v>
      </c>
      <c r="I484" s="1">
        <v>3148313.93</v>
      </c>
    </row>
    <row r="485" spans="1:9" x14ac:dyDescent="0.2">
      <c r="A485" s="79" t="s">
        <v>500</v>
      </c>
      <c r="B485" s="79" t="s">
        <v>10</v>
      </c>
      <c r="C485" s="79" t="s">
        <v>11</v>
      </c>
      <c r="D485" s="9">
        <v>0.75890000000000002</v>
      </c>
      <c r="E485" s="8">
        <v>247.98672326900001</v>
      </c>
      <c r="F485" s="8">
        <v>188.20340300500001</v>
      </c>
      <c r="G485" s="80">
        <v>21960</v>
      </c>
      <c r="H485" s="80">
        <v>16666</v>
      </c>
      <c r="I485" s="1">
        <v>4132946.73</v>
      </c>
    </row>
    <row r="486" spans="1:9" x14ac:dyDescent="0.2">
      <c r="A486" s="79" t="s">
        <v>501</v>
      </c>
      <c r="B486" s="79" t="s">
        <v>13</v>
      </c>
      <c r="C486" s="79" t="s">
        <v>11</v>
      </c>
      <c r="D486" s="9">
        <v>0.79620000000000002</v>
      </c>
      <c r="E486" s="8">
        <v>250.00548673099999</v>
      </c>
      <c r="F486" s="8">
        <v>199.04808424399999</v>
      </c>
      <c r="G486" s="80">
        <v>21960</v>
      </c>
      <c r="H486" s="80">
        <v>17484</v>
      </c>
      <c r="I486" s="1">
        <v>4371095.93</v>
      </c>
    </row>
    <row r="487" spans="1:9" x14ac:dyDescent="0.2">
      <c r="A487" s="79" t="s">
        <v>502</v>
      </c>
      <c r="B487" s="79" t="s">
        <v>15</v>
      </c>
      <c r="C487" s="79" t="s">
        <v>11</v>
      </c>
      <c r="D487" s="9">
        <v>0.75449999999999995</v>
      </c>
      <c r="E487" s="8">
        <v>234.370073631</v>
      </c>
      <c r="F487" s="8">
        <v>176.83414162099999</v>
      </c>
      <c r="G487" s="80">
        <v>21960</v>
      </c>
      <c r="H487" s="80">
        <v>16569</v>
      </c>
      <c r="I487" s="1">
        <v>3883277.75</v>
      </c>
    </row>
    <row r="488" spans="1:9" x14ac:dyDescent="0.2">
      <c r="A488" s="79" t="s">
        <v>503</v>
      </c>
      <c r="B488" s="79" t="s">
        <v>17</v>
      </c>
      <c r="C488" s="79" t="s">
        <v>11</v>
      </c>
      <c r="D488" s="9">
        <v>0.73970000000000002</v>
      </c>
      <c r="E488" s="8">
        <v>224.82986887499999</v>
      </c>
      <c r="F488" s="8">
        <v>166.30857878</v>
      </c>
      <c r="G488" s="80">
        <v>21960</v>
      </c>
      <c r="H488" s="80">
        <v>16244</v>
      </c>
      <c r="I488" s="1">
        <v>3652136.39</v>
      </c>
    </row>
    <row r="489" spans="1:9" x14ac:dyDescent="0.2">
      <c r="A489" s="79" t="s">
        <v>504</v>
      </c>
      <c r="B489" s="79" t="s">
        <v>19</v>
      </c>
      <c r="C489" s="79" t="s">
        <v>11</v>
      </c>
      <c r="D489" s="9">
        <v>0.79979999999999996</v>
      </c>
      <c r="E489" s="8">
        <v>227.82517906999999</v>
      </c>
      <c r="F489" s="8">
        <v>182.208270492</v>
      </c>
      <c r="G489" s="80">
        <v>21960</v>
      </c>
      <c r="H489" s="80">
        <v>17563</v>
      </c>
      <c r="I489" s="1">
        <v>4001293.62</v>
      </c>
    </row>
    <row r="490" spans="1:9" x14ac:dyDescent="0.2">
      <c r="A490" s="79" t="s">
        <v>505</v>
      </c>
      <c r="B490" s="79" t="s">
        <v>21</v>
      </c>
      <c r="C490" s="79" t="s">
        <v>11</v>
      </c>
      <c r="D490" s="9">
        <v>0.81120000000000003</v>
      </c>
      <c r="E490" s="8">
        <v>224.788972718</v>
      </c>
      <c r="F490" s="8">
        <v>182.34930601100001</v>
      </c>
      <c r="G490" s="80">
        <v>21960</v>
      </c>
      <c r="H490" s="80">
        <v>17814</v>
      </c>
      <c r="I490" s="1">
        <v>4004390.76</v>
      </c>
    </row>
    <row r="491" spans="1:9" x14ac:dyDescent="0.2">
      <c r="A491" s="79" t="s">
        <v>506</v>
      </c>
      <c r="B491" s="79" t="s">
        <v>23</v>
      </c>
      <c r="C491" s="79" t="s">
        <v>11</v>
      </c>
      <c r="D491" s="9">
        <v>0.66138399999999997</v>
      </c>
      <c r="E491" s="8">
        <v>167.6099876067199</v>
      </c>
      <c r="F491" s="8">
        <v>110.85462021857923</v>
      </c>
      <c r="G491" s="80">
        <v>21960</v>
      </c>
      <c r="H491" s="80">
        <v>14524</v>
      </c>
      <c r="I491" s="1">
        <v>2434367.46</v>
      </c>
    </row>
    <row r="492" spans="1:9" x14ac:dyDescent="0.2">
      <c r="A492" s="79" t="s">
        <v>507</v>
      </c>
      <c r="B492" s="79" t="s">
        <v>10</v>
      </c>
      <c r="C492" s="79" t="s">
        <v>11</v>
      </c>
      <c r="D492" s="9">
        <v>0.63720399999999999</v>
      </c>
      <c r="E492" s="8">
        <v>171.5865968698628</v>
      </c>
      <c r="F492" s="8">
        <v>109.33566712203962</v>
      </c>
      <c r="G492" s="80">
        <v>21960</v>
      </c>
      <c r="H492" s="80">
        <v>13993</v>
      </c>
      <c r="I492" s="1">
        <v>2401011.2499999902</v>
      </c>
    </row>
    <row r="493" spans="1:9" x14ac:dyDescent="0.2">
      <c r="A493" s="79" t="s">
        <v>508</v>
      </c>
      <c r="B493" s="79" t="s">
        <v>13</v>
      </c>
      <c r="C493" s="79" t="s">
        <v>11</v>
      </c>
      <c r="D493" s="9">
        <v>0.65382499999999999</v>
      </c>
      <c r="E493" s="8">
        <v>173.08003900264663</v>
      </c>
      <c r="F493" s="8">
        <v>113.1640801457195</v>
      </c>
      <c r="G493" s="80">
        <v>21960</v>
      </c>
      <c r="H493" s="80">
        <v>14358</v>
      </c>
      <c r="I493" s="1">
        <v>2485083.2000000002</v>
      </c>
    </row>
    <row r="494" spans="1:9" x14ac:dyDescent="0.2">
      <c r="A494" s="79" t="s">
        <v>509</v>
      </c>
      <c r="B494" s="79" t="s">
        <v>15</v>
      </c>
      <c r="C494" s="79" t="s">
        <v>11</v>
      </c>
      <c r="D494" s="9">
        <v>0.65947199999999995</v>
      </c>
      <c r="E494" s="8">
        <v>168.62621323021682</v>
      </c>
      <c r="F494" s="8">
        <v>111.20422677595627</v>
      </c>
      <c r="G494" s="80">
        <v>21960</v>
      </c>
      <c r="H494" s="80">
        <v>14482</v>
      </c>
      <c r="I494" s="1">
        <v>2442044.8199999998</v>
      </c>
    </row>
    <row r="495" spans="1:9" x14ac:dyDescent="0.2">
      <c r="A495" s="79" t="s">
        <v>510</v>
      </c>
      <c r="B495" s="79" t="s">
        <v>17</v>
      </c>
      <c r="C495" s="79" t="s">
        <v>11</v>
      </c>
      <c r="D495" s="9">
        <v>0.66329700000000003</v>
      </c>
      <c r="E495" s="8">
        <v>165.08615749004534</v>
      </c>
      <c r="F495" s="8">
        <v>109.50113706739528</v>
      </c>
      <c r="G495" s="80">
        <v>21960</v>
      </c>
      <c r="H495" s="80">
        <v>14566</v>
      </c>
      <c r="I495" s="1">
        <v>2404644.9700000002</v>
      </c>
    </row>
    <row r="496" spans="1:9" x14ac:dyDescent="0.2">
      <c r="A496" s="79" t="s">
        <v>511</v>
      </c>
      <c r="B496" s="79" t="s">
        <v>19</v>
      </c>
      <c r="C496" s="79" t="s">
        <v>11</v>
      </c>
      <c r="D496" s="9">
        <v>0.73825099999999999</v>
      </c>
      <c r="E496" s="8">
        <v>162.54728164322722</v>
      </c>
      <c r="F496" s="8">
        <v>120.00075273224043</v>
      </c>
      <c r="G496" s="80">
        <v>21960</v>
      </c>
      <c r="H496" s="80">
        <v>16212</v>
      </c>
      <c r="I496" s="1">
        <v>2635216.5299999998</v>
      </c>
    </row>
    <row r="497" spans="1:9" x14ac:dyDescent="0.2">
      <c r="A497" s="79" t="s">
        <v>512</v>
      </c>
      <c r="B497" s="79" t="s">
        <v>21</v>
      </c>
      <c r="C497" s="79" t="s">
        <v>11</v>
      </c>
      <c r="D497" s="9">
        <v>0.69380699999999995</v>
      </c>
      <c r="E497" s="8">
        <v>157.66540824363352</v>
      </c>
      <c r="F497" s="8">
        <v>109.38935154826959</v>
      </c>
      <c r="G497" s="80">
        <v>21960</v>
      </c>
      <c r="H497" s="80">
        <v>15236</v>
      </c>
      <c r="I497" s="1">
        <v>2402190.16</v>
      </c>
    </row>
    <row r="498" spans="1:9" x14ac:dyDescent="0.2">
      <c r="A498" s="79" t="s">
        <v>513</v>
      </c>
      <c r="B498" s="79" t="s">
        <v>23</v>
      </c>
      <c r="C498" s="79" t="s">
        <v>11</v>
      </c>
      <c r="D498" s="9">
        <v>0.51634800000000003</v>
      </c>
      <c r="E498" s="8">
        <v>192.04136872740102</v>
      </c>
      <c r="F498" s="8">
        <v>99.160158469945358</v>
      </c>
      <c r="G498" s="80">
        <v>21960</v>
      </c>
      <c r="H498" s="80">
        <v>11339</v>
      </c>
      <c r="I498" s="1">
        <v>2177557.08</v>
      </c>
    </row>
    <row r="499" spans="1:9" x14ac:dyDescent="0.2">
      <c r="A499" s="79" t="s">
        <v>514</v>
      </c>
      <c r="B499" s="79" t="s">
        <v>10</v>
      </c>
      <c r="C499" s="79" t="s">
        <v>11</v>
      </c>
      <c r="D499" s="9">
        <v>0.55018199999999995</v>
      </c>
      <c r="E499" s="8">
        <v>198.80975004138307</v>
      </c>
      <c r="F499" s="8">
        <v>109.38157559198498</v>
      </c>
      <c r="G499" s="80">
        <v>21960</v>
      </c>
      <c r="H499" s="80">
        <v>12082</v>
      </c>
      <c r="I499" s="1">
        <v>2402019.3999999901</v>
      </c>
    </row>
    <row r="500" spans="1:9" x14ac:dyDescent="0.2">
      <c r="A500" s="79" t="s">
        <v>515</v>
      </c>
      <c r="B500" s="79" t="s">
        <v>13</v>
      </c>
      <c r="C500" s="79" t="s">
        <v>11</v>
      </c>
      <c r="D500" s="9">
        <v>0.610792</v>
      </c>
      <c r="E500" s="8">
        <v>195.78863937970627</v>
      </c>
      <c r="F500" s="8">
        <v>119.58620309653917</v>
      </c>
      <c r="G500" s="80">
        <v>21960</v>
      </c>
      <c r="H500" s="80">
        <v>13413</v>
      </c>
      <c r="I500" s="1">
        <v>2626113.02</v>
      </c>
    </row>
    <row r="501" spans="1:9" x14ac:dyDescent="0.2">
      <c r="A501" s="79" t="s">
        <v>516</v>
      </c>
      <c r="B501" s="79" t="s">
        <v>15</v>
      </c>
      <c r="C501" s="79" t="s">
        <v>11</v>
      </c>
      <c r="D501" s="9">
        <v>0.70496400000000004</v>
      </c>
      <c r="E501" s="8">
        <v>217.71435953749759</v>
      </c>
      <c r="F501" s="8">
        <v>153.48069216757742</v>
      </c>
      <c r="G501" s="80">
        <v>21960</v>
      </c>
      <c r="H501" s="80">
        <v>15481</v>
      </c>
      <c r="I501" s="1">
        <v>3370436</v>
      </c>
    </row>
    <row r="502" spans="1:9" x14ac:dyDescent="0.2">
      <c r="A502" s="79" t="s">
        <v>517</v>
      </c>
      <c r="B502" s="79" t="s">
        <v>17</v>
      </c>
      <c r="C502" s="79" t="s">
        <v>11</v>
      </c>
      <c r="D502" s="9">
        <v>0.75519099999999995</v>
      </c>
      <c r="E502" s="8">
        <v>224.206047395079</v>
      </c>
      <c r="F502" s="8">
        <v>169.31844672131103</v>
      </c>
      <c r="G502" s="80">
        <v>21960</v>
      </c>
      <c r="H502" s="80">
        <v>16584</v>
      </c>
      <c r="I502" s="1">
        <v>3718233.0899999901</v>
      </c>
    </row>
    <row r="503" spans="1:9" x14ac:dyDescent="0.2">
      <c r="A503" s="79" t="s">
        <v>518</v>
      </c>
      <c r="B503" s="79" t="s">
        <v>19</v>
      </c>
      <c r="C503" s="79" t="s">
        <v>11</v>
      </c>
      <c r="D503" s="9">
        <v>0.83984499999999995</v>
      </c>
      <c r="E503" s="8">
        <v>227.80566285311443</v>
      </c>
      <c r="F503" s="8">
        <v>191.32148633879734</v>
      </c>
      <c r="G503" s="80">
        <v>21960</v>
      </c>
      <c r="H503" s="80">
        <v>18443</v>
      </c>
      <c r="I503" s="1">
        <v>4201419.8399999896</v>
      </c>
    </row>
    <row r="504" spans="1:9" x14ac:dyDescent="0.2">
      <c r="A504" s="79" t="s">
        <v>519</v>
      </c>
      <c r="B504" s="79" t="s">
        <v>21</v>
      </c>
      <c r="C504" s="79" t="s">
        <v>11</v>
      </c>
      <c r="D504" s="9">
        <v>0.80496400000000001</v>
      </c>
      <c r="E504" s="8">
        <v>215.79412343723484</v>
      </c>
      <c r="F504" s="8">
        <v>173.70640801457196</v>
      </c>
      <c r="G504" s="80">
        <v>21960</v>
      </c>
      <c r="H504" s="80">
        <v>17677</v>
      </c>
      <c r="I504" s="1">
        <v>3814592.72</v>
      </c>
    </row>
    <row r="505" spans="1:9" x14ac:dyDescent="0.2">
      <c r="A505" s="79" t="s">
        <v>520</v>
      </c>
      <c r="B505" s="79" t="s">
        <v>23</v>
      </c>
      <c r="C505" s="79" t="s">
        <v>11</v>
      </c>
      <c r="D505" s="9">
        <v>0.62923499999999999</v>
      </c>
      <c r="E505" s="8">
        <v>204.99376827326677</v>
      </c>
      <c r="F505" s="8">
        <v>128.98924817850639</v>
      </c>
      <c r="G505" s="80">
        <v>21960</v>
      </c>
      <c r="H505" s="80">
        <v>13818</v>
      </c>
      <c r="I505" s="1">
        <v>2832603.89</v>
      </c>
    </row>
    <row r="506" spans="1:9" x14ac:dyDescent="0.2">
      <c r="A506" s="79" t="s">
        <v>521</v>
      </c>
      <c r="B506" s="79" t="s">
        <v>10</v>
      </c>
      <c r="C506" s="79" t="s">
        <v>11</v>
      </c>
      <c r="D506" s="9">
        <v>0.68383400000000005</v>
      </c>
      <c r="E506" s="8">
        <v>214.32019111673438</v>
      </c>
      <c r="F506" s="8">
        <v>146.5594858834244</v>
      </c>
      <c r="G506" s="80">
        <v>21960</v>
      </c>
      <c r="H506" s="80">
        <v>15017</v>
      </c>
      <c r="I506" s="1">
        <v>3218446.31</v>
      </c>
    </row>
    <row r="507" spans="1:9" x14ac:dyDescent="0.2">
      <c r="A507" s="79" t="s">
        <v>522</v>
      </c>
      <c r="B507" s="79" t="s">
        <v>13</v>
      </c>
      <c r="C507" s="79" t="s">
        <v>11</v>
      </c>
      <c r="D507" s="9">
        <v>0.67581999999999998</v>
      </c>
      <c r="E507" s="8">
        <v>214.01078903038811</v>
      </c>
      <c r="F507" s="8">
        <v>144.63270127504506</v>
      </c>
      <c r="G507" s="80">
        <v>21960</v>
      </c>
      <c r="H507" s="80">
        <v>14841</v>
      </c>
      <c r="I507" s="1">
        <v>3176134.1199999899</v>
      </c>
    </row>
    <row r="508" spans="1:9" x14ac:dyDescent="0.2">
      <c r="A508" s="79" t="s">
        <v>523</v>
      </c>
      <c r="B508" s="79" t="s">
        <v>15</v>
      </c>
      <c r="C508" s="79" t="s">
        <v>11</v>
      </c>
      <c r="D508" s="9">
        <v>0.634745</v>
      </c>
      <c r="E508" s="8">
        <v>202.58156037018364</v>
      </c>
      <c r="F508" s="8">
        <v>128.58763069216712</v>
      </c>
      <c r="G508" s="80">
        <v>21960</v>
      </c>
      <c r="H508" s="80">
        <v>13939</v>
      </c>
      <c r="I508" s="1">
        <v>2823784.3699999899</v>
      </c>
    </row>
    <row r="509" spans="1:9" x14ac:dyDescent="0.2">
      <c r="A509" s="79" t="s">
        <v>524</v>
      </c>
      <c r="B509" s="79" t="s">
        <v>17</v>
      </c>
      <c r="C509" s="79" t="s">
        <v>11</v>
      </c>
      <c r="D509" s="9">
        <v>0.65642100000000003</v>
      </c>
      <c r="E509" s="8">
        <v>207.00811793270898</v>
      </c>
      <c r="F509" s="8">
        <v>135.88442714025501</v>
      </c>
      <c r="G509" s="80">
        <v>21960</v>
      </c>
      <c r="H509" s="80">
        <v>14415</v>
      </c>
      <c r="I509" s="1">
        <v>2984022.02</v>
      </c>
    </row>
    <row r="510" spans="1:9" x14ac:dyDescent="0.2">
      <c r="A510" s="79" t="s">
        <v>525</v>
      </c>
      <c r="B510" s="79" t="s">
        <v>19</v>
      </c>
      <c r="C510" s="79" t="s">
        <v>11</v>
      </c>
      <c r="D510" s="9">
        <v>0.83392500000000003</v>
      </c>
      <c r="E510" s="8">
        <v>226.65864413258342</v>
      </c>
      <c r="F510" s="8">
        <v>189.0163820582878</v>
      </c>
      <c r="G510" s="80">
        <v>21960</v>
      </c>
      <c r="H510" s="80">
        <v>18313</v>
      </c>
      <c r="I510" s="1">
        <v>4150799.75</v>
      </c>
    </row>
    <row r="511" spans="1:9" x14ac:dyDescent="0.2">
      <c r="A511" s="79" t="s">
        <v>526</v>
      </c>
      <c r="B511" s="79" t="s">
        <v>21</v>
      </c>
      <c r="C511" s="79" t="s">
        <v>11</v>
      </c>
      <c r="D511" s="9">
        <v>0.943716</v>
      </c>
      <c r="E511" s="8">
        <v>233.1841603937464</v>
      </c>
      <c r="F511" s="8">
        <v>220.05958743169398</v>
      </c>
      <c r="G511" s="80">
        <v>21960</v>
      </c>
      <c r="H511" s="80">
        <v>20724</v>
      </c>
      <c r="I511" s="1">
        <v>4832508.54</v>
      </c>
    </row>
    <row r="512" spans="1:9" x14ac:dyDescent="0.2">
      <c r="A512" s="79" t="s">
        <v>527</v>
      </c>
      <c r="B512" s="79" t="s">
        <v>23</v>
      </c>
      <c r="C512" s="79" t="s">
        <v>11</v>
      </c>
      <c r="D512" s="9">
        <v>0.86807800000000002</v>
      </c>
      <c r="E512" s="8">
        <v>213.81105649687876</v>
      </c>
      <c r="F512" s="8">
        <v>185.60474362477231</v>
      </c>
      <c r="G512" s="80">
        <v>21960</v>
      </c>
      <c r="H512" s="80">
        <v>19063</v>
      </c>
      <c r="I512" s="1">
        <v>4075880.17</v>
      </c>
    </row>
    <row r="513" spans="1:9" x14ac:dyDescent="0.2">
      <c r="A513" s="79" t="s">
        <v>528</v>
      </c>
      <c r="B513" s="79" t="s">
        <v>10</v>
      </c>
      <c r="C513" s="79" t="s">
        <v>11</v>
      </c>
      <c r="D513" s="9">
        <v>0.60696700000000003</v>
      </c>
      <c r="E513" s="8">
        <v>202.03232500562609</v>
      </c>
      <c r="F513" s="8">
        <v>122.62699726775911</v>
      </c>
      <c r="G513" s="80">
        <v>21960</v>
      </c>
      <c r="H513" s="80">
        <v>13329</v>
      </c>
      <c r="I513" s="1">
        <v>2692888.8599999901</v>
      </c>
    </row>
    <row r="514" spans="1:9" x14ac:dyDescent="0.2">
      <c r="A514" s="79" t="s">
        <v>529</v>
      </c>
      <c r="B514" s="79" t="s">
        <v>13</v>
      </c>
      <c r="C514" s="79" t="s">
        <v>11</v>
      </c>
      <c r="D514" s="9">
        <v>0.675956</v>
      </c>
      <c r="E514" s="8">
        <v>204.12190312584141</v>
      </c>
      <c r="F514" s="8">
        <v>137.97748315118352</v>
      </c>
      <c r="G514" s="80">
        <v>21960</v>
      </c>
      <c r="H514" s="80">
        <v>14844</v>
      </c>
      <c r="I514" s="1">
        <v>3029985.52999999</v>
      </c>
    </row>
    <row r="515" spans="1:9" x14ac:dyDescent="0.2">
      <c r="A515" s="79" t="s">
        <v>530</v>
      </c>
      <c r="B515" s="79" t="s">
        <v>15</v>
      </c>
      <c r="C515" s="79" t="s">
        <v>11</v>
      </c>
      <c r="D515" s="9">
        <v>0.67258700000000005</v>
      </c>
      <c r="E515" s="8">
        <v>203.37023832092012</v>
      </c>
      <c r="F515" s="8">
        <v>136.78408105646585</v>
      </c>
      <c r="G515" s="80">
        <v>21960</v>
      </c>
      <c r="H515" s="80">
        <v>14770</v>
      </c>
      <c r="I515" s="1">
        <v>3003778.4199999901</v>
      </c>
    </row>
    <row r="516" spans="1:9" x14ac:dyDescent="0.2">
      <c r="A516" s="79" t="s">
        <v>531</v>
      </c>
      <c r="B516" s="79" t="s">
        <v>17</v>
      </c>
      <c r="C516" s="79" t="s">
        <v>11</v>
      </c>
      <c r="D516" s="9">
        <v>0.70050100000000004</v>
      </c>
      <c r="E516" s="8">
        <v>209.75535786257558</v>
      </c>
      <c r="F516" s="8">
        <v>146.93381921675774</v>
      </c>
      <c r="G516" s="80">
        <v>21960</v>
      </c>
      <c r="H516" s="80">
        <v>15383</v>
      </c>
      <c r="I516" s="1">
        <v>3226666.67</v>
      </c>
    </row>
    <row r="517" spans="1:9" x14ac:dyDescent="0.2">
      <c r="A517" s="79" t="s">
        <v>532</v>
      </c>
      <c r="B517" s="79" t="s">
        <v>19</v>
      </c>
      <c r="C517" s="79" t="s">
        <v>11</v>
      </c>
      <c r="D517" s="9">
        <v>0.81643900000000003</v>
      </c>
      <c r="E517" s="8">
        <v>215.77518210720064</v>
      </c>
      <c r="F517" s="8">
        <v>176.16726958105647</v>
      </c>
      <c r="G517" s="80">
        <v>21960</v>
      </c>
      <c r="H517" s="80">
        <v>17929</v>
      </c>
      <c r="I517" s="1">
        <v>3868633.24</v>
      </c>
    </row>
    <row r="518" spans="1:9" x14ac:dyDescent="0.2">
      <c r="A518" s="79" t="s">
        <v>533</v>
      </c>
      <c r="B518" s="79" t="s">
        <v>21</v>
      </c>
      <c r="C518" s="79" t="s">
        <v>11</v>
      </c>
      <c r="D518" s="9">
        <v>0.81170299999999995</v>
      </c>
      <c r="E518" s="8">
        <v>215.86362805049089</v>
      </c>
      <c r="F518" s="8">
        <v>175.21717531876138</v>
      </c>
      <c r="G518" s="80">
        <v>21960</v>
      </c>
      <c r="H518" s="80">
        <v>17825</v>
      </c>
      <c r="I518" s="1">
        <v>3847769.17</v>
      </c>
    </row>
    <row r="519" spans="1:9" x14ac:dyDescent="0.2">
      <c r="A519" s="79" t="s">
        <v>534</v>
      </c>
      <c r="B519" s="79" t="s">
        <v>23</v>
      </c>
      <c r="C519" s="79" t="s">
        <v>11</v>
      </c>
      <c r="D519" s="9">
        <v>0.59326000000000001</v>
      </c>
      <c r="E519" s="8">
        <v>209.0652064783543</v>
      </c>
      <c r="F519" s="8">
        <v>124.03012340619307</v>
      </c>
      <c r="G519" s="80">
        <v>21960</v>
      </c>
      <c r="H519" s="80">
        <v>13028</v>
      </c>
      <c r="I519" s="1">
        <v>2723701.51</v>
      </c>
    </row>
    <row r="520" spans="1:9" x14ac:dyDescent="0.2">
      <c r="A520" s="79" t="s">
        <v>535</v>
      </c>
      <c r="B520" s="79" t="s">
        <v>10</v>
      </c>
      <c r="C520" s="79" t="s">
        <v>11</v>
      </c>
      <c r="D520" s="9">
        <v>0.63902599999999998</v>
      </c>
      <c r="E520" s="8">
        <v>216.41455355234092</v>
      </c>
      <c r="F520" s="8">
        <v>138.29441848816029</v>
      </c>
      <c r="G520" s="80">
        <v>21960</v>
      </c>
      <c r="H520" s="80">
        <v>14033</v>
      </c>
      <c r="I520" s="1">
        <v>3036945.43</v>
      </c>
    </row>
    <row r="521" spans="1:9" x14ac:dyDescent="0.2">
      <c r="A521" s="79" t="s">
        <v>536</v>
      </c>
      <c r="B521" s="79" t="s">
        <v>13</v>
      </c>
      <c r="C521" s="79" t="s">
        <v>11</v>
      </c>
      <c r="D521" s="9">
        <v>0.66334199999999999</v>
      </c>
      <c r="E521" s="8">
        <v>217.03055055948374</v>
      </c>
      <c r="F521" s="8">
        <v>143.96557513661202</v>
      </c>
      <c r="G521" s="80">
        <v>21960</v>
      </c>
      <c r="H521" s="80">
        <v>14567</v>
      </c>
      <c r="I521" s="1">
        <v>3161484.03</v>
      </c>
    </row>
    <row r="522" spans="1:9" x14ac:dyDescent="0.2">
      <c r="A522" s="79" t="s">
        <v>537</v>
      </c>
      <c r="B522" s="79" t="s">
        <v>15</v>
      </c>
      <c r="C522" s="79" t="s">
        <v>11</v>
      </c>
      <c r="D522" s="9">
        <v>0.65610199999999996</v>
      </c>
      <c r="E522" s="8">
        <v>217.27728484175458</v>
      </c>
      <c r="F522" s="8">
        <v>142.55606193078324</v>
      </c>
      <c r="G522" s="80">
        <v>21960</v>
      </c>
      <c r="H522" s="80">
        <v>14408</v>
      </c>
      <c r="I522" s="1">
        <v>3130531.12</v>
      </c>
    </row>
    <row r="523" spans="1:9" x14ac:dyDescent="0.2">
      <c r="A523" s="79" t="s">
        <v>538</v>
      </c>
      <c r="B523" s="79" t="s">
        <v>17</v>
      </c>
      <c r="C523" s="79" t="s">
        <v>11</v>
      </c>
      <c r="D523" s="9">
        <v>0.68073799999999995</v>
      </c>
      <c r="E523" s="8">
        <v>223.39052980132382</v>
      </c>
      <c r="F523" s="8">
        <v>152.07035655737658</v>
      </c>
      <c r="G523" s="80">
        <v>21960</v>
      </c>
      <c r="H523" s="80">
        <v>14949</v>
      </c>
      <c r="I523" s="1">
        <v>3339465.02999999</v>
      </c>
    </row>
    <row r="524" spans="1:9" x14ac:dyDescent="0.2">
      <c r="A524" s="79" t="s">
        <v>539</v>
      </c>
      <c r="B524" s="79" t="s">
        <v>19</v>
      </c>
      <c r="C524" s="79" t="s">
        <v>11</v>
      </c>
      <c r="D524" s="9">
        <v>0.77153899999999997</v>
      </c>
      <c r="E524" s="8">
        <v>227.27023431505577</v>
      </c>
      <c r="F524" s="8">
        <v>175.347886156648</v>
      </c>
      <c r="G524" s="80">
        <v>21960</v>
      </c>
      <c r="H524" s="80">
        <v>16943</v>
      </c>
      <c r="I524" s="1">
        <v>3850639.5799999898</v>
      </c>
    </row>
    <row r="525" spans="1:9" x14ac:dyDescent="0.2">
      <c r="A525" s="79" t="s">
        <v>540</v>
      </c>
      <c r="B525" s="79" t="s">
        <v>21</v>
      </c>
      <c r="C525" s="79" t="s">
        <v>11</v>
      </c>
      <c r="D525" s="9">
        <v>0.82427099999999998</v>
      </c>
      <c r="E525" s="8">
        <v>222.82891055742721</v>
      </c>
      <c r="F525" s="8">
        <v>183.67149863387934</v>
      </c>
      <c r="G525" s="80">
        <v>21960</v>
      </c>
      <c r="H525" s="80">
        <v>18101</v>
      </c>
      <c r="I525" s="1">
        <v>4033426.1099999901</v>
      </c>
    </row>
    <row r="526" spans="1:9" x14ac:dyDescent="0.2">
      <c r="A526" s="79" t="s">
        <v>541</v>
      </c>
      <c r="B526" s="79" t="s">
        <v>23</v>
      </c>
      <c r="C526" s="79" t="s">
        <v>11</v>
      </c>
      <c r="D526" s="9">
        <v>0.70778700000000005</v>
      </c>
      <c r="E526" s="8">
        <v>216.6843640223895</v>
      </c>
      <c r="F526" s="8">
        <v>153.36635109289617</v>
      </c>
      <c r="G526" s="80">
        <v>21960</v>
      </c>
      <c r="H526" s="80">
        <v>15543</v>
      </c>
      <c r="I526" s="1">
        <v>3367925.07</v>
      </c>
    </row>
    <row r="527" spans="1:9" x14ac:dyDescent="0.2">
      <c r="A527" s="79" t="s">
        <v>542</v>
      </c>
      <c r="B527" s="79" t="s">
        <v>10</v>
      </c>
      <c r="C527" s="79" t="s">
        <v>11</v>
      </c>
      <c r="D527" s="9">
        <v>0.74376100000000001</v>
      </c>
      <c r="E527" s="8">
        <v>221.54438376293393</v>
      </c>
      <c r="F527" s="8">
        <v>164.77615755919854</v>
      </c>
      <c r="G527" s="80">
        <v>21960</v>
      </c>
      <c r="H527" s="80">
        <v>16333</v>
      </c>
      <c r="I527" s="1">
        <v>3618484.42</v>
      </c>
    </row>
    <row r="528" spans="1:9" x14ac:dyDescent="0.2">
      <c r="A528" s="79" t="s">
        <v>543</v>
      </c>
      <c r="B528" s="79" t="s">
        <v>13</v>
      </c>
      <c r="C528" s="79" t="s">
        <v>11</v>
      </c>
      <c r="D528" s="9">
        <v>0.79089299999999996</v>
      </c>
      <c r="E528" s="8">
        <v>232.56405631045601</v>
      </c>
      <c r="F528" s="8">
        <v>183.93317531876139</v>
      </c>
      <c r="G528" s="80">
        <v>21960</v>
      </c>
      <c r="H528" s="80">
        <v>17368</v>
      </c>
      <c r="I528" s="1">
        <v>4039172.53</v>
      </c>
    </row>
    <row r="529" spans="1:9" x14ac:dyDescent="0.2">
      <c r="A529" s="79" t="s">
        <v>544</v>
      </c>
      <c r="B529" s="79" t="s">
        <v>15</v>
      </c>
      <c r="C529" s="79" t="s">
        <v>11</v>
      </c>
      <c r="D529" s="9">
        <v>0.78574699999999997</v>
      </c>
      <c r="E529" s="8">
        <v>228.29757983193278</v>
      </c>
      <c r="F529" s="8">
        <v>179.38409562841531</v>
      </c>
      <c r="G529" s="80">
        <v>21960</v>
      </c>
      <c r="H529" s="80">
        <v>17255</v>
      </c>
      <c r="I529" s="1">
        <v>3939274.74</v>
      </c>
    </row>
    <row r="530" spans="1:9" x14ac:dyDescent="0.2">
      <c r="A530" s="79" t="s">
        <v>545</v>
      </c>
      <c r="B530" s="79" t="s">
        <v>17</v>
      </c>
      <c r="C530" s="79" t="s">
        <v>11</v>
      </c>
      <c r="D530" s="9">
        <v>0.67764100000000005</v>
      </c>
      <c r="E530" s="8">
        <v>217.37480344062831</v>
      </c>
      <c r="F530" s="8">
        <v>147.30211520947131</v>
      </c>
      <c r="G530" s="80">
        <v>21960</v>
      </c>
      <c r="H530" s="80">
        <v>14881</v>
      </c>
      <c r="I530" s="1">
        <v>3234754.4499999899</v>
      </c>
    </row>
    <row r="531" spans="1:9" x14ac:dyDescent="0.2">
      <c r="A531" s="79" t="s">
        <v>546</v>
      </c>
      <c r="B531" s="79" t="s">
        <v>19</v>
      </c>
      <c r="C531" s="79" t="s">
        <v>11</v>
      </c>
      <c r="D531" s="9">
        <v>0.71616599999999997</v>
      </c>
      <c r="E531" s="8">
        <v>219.15438799516755</v>
      </c>
      <c r="F531" s="8">
        <v>156.9508679417122</v>
      </c>
      <c r="G531" s="80">
        <v>21960</v>
      </c>
      <c r="H531" s="80">
        <v>15727</v>
      </c>
      <c r="I531" s="1">
        <v>3446641.06</v>
      </c>
    </row>
    <row r="532" spans="1:9" x14ac:dyDescent="0.2">
      <c r="A532" s="79" t="s">
        <v>547</v>
      </c>
      <c r="B532" s="79" t="s">
        <v>21</v>
      </c>
      <c r="C532" s="79" t="s">
        <v>11</v>
      </c>
      <c r="D532" s="9">
        <v>0.75127500000000003</v>
      </c>
      <c r="E532" s="8">
        <v>218.924282337253</v>
      </c>
      <c r="F532" s="8">
        <v>164.47235018214937</v>
      </c>
      <c r="G532" s="80">
        <v>21960</v>
      </c>
      <c r="H532" s="80">
        <v>16498</v>
      </c>
      <c r="I532" s="1">
        <v>3611812.81</v>
      </c>
    </row>
    <row r="533" spans="1:9" x14ac:dyDescent="0.2">
      <c r="A533" s="79" t="s">
        <v>548</v>
      </c>
      <c r="B533" s="79" t="s">
        <v>23</v>
      </c>
      <c r="C533" s="79" t="s">
        <v>11</v>
      </c>
      <c r="D533" s="9">
        <v>0.632969</v>
      </c>
      <c r="E533" s="8">
        <v>220.15070359712229</v>
      </c>
      <c r="F533" s="8">
        <v>139.34857832422585</v>
      </c>
      <c r="G533" s="80">
        <v>21960</v>
      </c>
      <c r="H533" s="80">
        <v>13900</v>
      </c>
      <c r="I533" s="1">
        <v>3060094.78</v>
      </c>
    </row>
    <row r="534" spans="1:9" x14ac:dyDescent="0.2">
      <c r="A534" s="79" t="s">
        <v>549</v>
      </c>
      <c r="B534" s="79" t="s">
        <v>10</v>
      </c>
      <c r="C534" s="79" t="s">
        <v>11</v>
      </c>
      <c r="D534" s="9">
        <v>0.71602900000000003</v>
      </c>
      <c r="E534" s="8">
        <v>229.68929152887304</v>
      </c>
      <c r="F534" s="8">
        <v>164.46422677595629</v>
      </c>
      <c r="G534" s="80">
        <v>21960</v>
      </c>
      <c r="H534" s="80">
        <v>15724</v>
      </c>
      <c r="I534" s="1">
        <v>3611634.42</v>
      </c>
    </row>
    <row r="535" spans="1:9" x14ac:dyDescent="0.2">
      <c r="A535" s="79" t="s">
        <v>550</v>
      </c>
      <c r="B535" s="79" t="s">
        <v>13</v>
      </c>
      <c r="C535" s="79" t="s">
        <v>11</v>
      </c>
      <c r="D535" s="9">
        <v>0.74266799999999999</v>
      </c>
      <c r="E535" s="8">
        <v>233.50032190814827</v>
      </c>
      <c r="F535" s="8">
        <v>173.41333105646586</v>
      </c>
      <c r="G535" s="80">
        <v>21960</v>
      </c>
      <c r="H535" s="80">
        <v>16309</v>
      </c>
      <c r="I535" s="1">
        <v>3808156.7499999902</v>
      </c>
    </row>
    <row r="536" spans="1:9" x14ac:dyDescent="0.2">
      <c r="A536" s="79" t="s">
        <v>551</v>
      </c>
      <c r="B536" s="79" t="s">
        <v>15</v>
      </c>
      <c r="C536" s="79" t="s">
        <v>11</v>
      </c>
      <c r="D536" s="9">
        <v>0.87076500000000001</v>
      </c>
      <c r="E536" s="8">
        <v>244.54098054596798</v>
      </c>
      <c r="F536" s="8">
        <v>212.93773360655737</v>
      </c>
      <c r="G536" s="80">
        <v>21960</v>
      </c>
      <c r="H536" s="80">
        <v>19122</v>
      </c>
      <c r="I536" s="1">
        <v>4676112.63</v>
      </c>
    </row>
    <row r="537" spans="1:9" x14ac:dyDescent="0.2">
      <c r="A537" s="79" t="s">
        <v>552</v>
      </c>
      <c r="B537" s="79" t="s">
        <v>17</v>
      </c>
      <c r="C537" s="79" t="s">
        <v>11</v>
      </c>
      <c r="D537" s="9">
        <v>0.91703100000000004</v>
      </c>
      <c r="E537" s="8">
        <v>251.6910934551594</v>
      </c>
      <c r="F537" s="8">
        <v>230.80852641165757</v>
      </c>
      <c r="G537" s="80">
        <v>21960</v>
      </c>
      <c r="H537" s="80">
        <v>20138</v>
      </c>
      <c r="I537" s="1">
        <v>5068555.24</v>
      </c>
    </row>
    <row r="538" spans="1:9" x14ac:dyDescent="0.2">
      <c r="A538" s="79" t="s">
        <v>553</v>
      </c>
      <c r="B538" s="79" t="s">
        <v>19</v>
      </c>
      <c r="C538" s="79" t="s">
        <v>11</v>
      </c>
      <c r="D538" s="9">
        <v>0.92500000000000004</v>
      </c>
      <c r="E538" s="8">
        <v>252.60369270910206</v>
      </c>
      <c r="F538" s="8">
        <v>233.65841575591941</v>
      </c>
      <c r="G538" s="80">
        <v>21960</v>
      </c>
      <c r="H538" s="80">
        <v>20313</v>
      </c>
      <c r="I538" s="1">
        <v>5131138.8099999903</v>
      </c>
    </row>
    <row r="539" spans="1:9" x14ac:dyDescent="0.2">
      <c r="A539" s="79" t="s">
        <v>554</v>
      </c>
      <c r="B539" s="79" t="s">
        <v>21</v>
      </c>
      <c r="C539" s="79" t="s">
        <v>11</v>
      </c>
      <c r="D539" s="9">
        <v>0.88069200000000003</v>
      </c>
      <c r="E539" s="8">
        <v>248.14832885211993</v>
      </c>
      <c r="F539" s="8">
        <v>218.54228961748632</v>
      </c>
      <c r="G539" s="80">
        <v>21960</v>
      </c>
      <c r="H539" s="80">
        <v>19340</v>
      </c>
      <c r="I539" s="1">
        <v>4799188.68</v>
      </c>
    </row>
    <row r="540" spans="1:9" x14ac:dyDescent="0.2">
      <c r="A540" s="79" t="s">
        <v>555</v>
      </c>
      <c r="B540" s="79" t="s">
        <v>23</v>
      </c>
      <c r="C540" s="79" t="s">
        <v>11</v>
      </c>
      <c r="D540" s="9">
        <v>0.64558800000000005</v>
      </c>
      <c r="E540" s="8">
        <v>229.700822614841</v>
      </c>
      <c r="F540" s="8">
        <v>148.29211789396842</v>
      </c>
      <c r="G540" s="80">
        <v>21918</v>
      </c>
      <c r="H540" s="80">
        <v>14150</v>
      </c>
      <c r="I540" s="1">
        <v>3250266.64</v>
      </c>
    </row>
    <row r="541" spans="1:9" x14ac:dyDescent="0.2">
      <c r="A541" s="79" t="s">
        <v>556</v>
      </c>
      <c r="B541" s="79" t="s">
        <v>10</v>
      </c>
      <c r="C541" s="79" t="s">
        <v>11</v>
      </c>
      <c r="D541" s="9">
        <v>0.75563499999999995</v>
      </c>
      <c r="E541" s="8">
        <v>237.82208006279373</v>
      </c>
      <c r="F541" s="8">
        <v>179.70660142348709</v>
      </c>
      <c r="G541" s="80">
        <v>21918</v>
      </c>
      <c r="H541" s="80">
        <v>16562</v>
      </c>
      <c r="I541" s="1">
        <v>3938809.2899999898</v>
      </c>
    </row>
    <row r="542" spans="1:9" x14ac:dyDescent="0.2">
      <c r="A542" s="79" t="s">
        <v>557</v>
      </c>
      <c r="B542" s="79" t="s">
        <v>13</v>
      </c>
      <c r="C542" s="79" t="s">
        <v>11</v>
      </c>
      <c r="D542" s="9">
        <v>0.81348699999999996</v>
      </c>
      <c r="E542" s="8">
        <v>244.61500224341</v>
      </c>
      <c r="F542" s="8">
        <v>198.99103430969981</v>
      </c>
      <c r="G542" s="80">
        <v>21918</v>
      </c>
      <c r="H542" s="80">
        <v>17830</v>
      </c>
      <c r="I542" s="1">
        <v>4361485.49</v>
      </c>
    </row>
    <row r="543" spans="1:9" x14ac:dyDescent="0.2">
      <c r="A543" s="79" t="s">
        <v>558</v>
      </c>
      <c r="B543" s="79" t="s">
        <v>15</v>
      </c>
      <c r="C543" s="79" t="s">
        <v>11</v>
      </c>
      <c r="D543" s="9">
        <v>0.78871199999999997</v>
      </c>
      <c r="E543" s="8">
        <v>242.14384566437209</v>
      </c>
      <c r="F543" s="8">
        <v>190.98187152112419</v>
      </c>
      <c r="G543" s="80">
        <v>21918</v>
      </c>
      <c r="H543" s="80">
        <v>17287</v>
      </c>
      <c r="I543" s="1">
        <v>4185940.66</v>
      </c>
    </row>
    <row r="544" spans="1:9" x14ac:dyDescent="0.2">
      <c r="A544" s="79" t="s">
        <v>559</v>
      </c>
      <c r="B544" s="79" t="s">
        <v>17</v>
      </c>
      <c r="C544" s="79" t="s">
        <v>11</v>
      </c>
      <c r="D544" s="9">
        <v>0.79122199999999998</v>
      </c>
      <c r="E544" s="8">
        <v>229.6851095606043</v>
      </c>
      <c r="F544" s="8">
        <v>181.73187197737019</v>
      </c>
      <c r="G544" s="80">
        <v>21918</v>
      </c>
      <c r="H544" s="80">
        <v>17342</v>
      </c>
      <c r="I544" s="1">
        <v>3983199.17</v>
      </c>
    </row>
    <row r="545" spans="1:9" x14ac:dyDescent="0.2">
      <c r="A545" s="79" t="s">
        <v>560</v>
      </c>
      <c r="B545" s="79" t="s">
        <v>19</v>
      </c>
      <c r="C545" s="79" t="s">
        <v>11</v>
      </c>
      <c r="D545" s="9">
        <v>0.79528200000000004</v>
      </c>
      <c r="E545" s="8">
        <v>237.70771900636797</v>
      </c>
      <c r="F545" s="8">
        <v>189.04476913952004</v>
      </c>
      <c r="G545" s="80">
        <v>21918</v>
      </c>
      <c r="H545" s="80">
        <v>17431</v>
      </c>
      <c r="I545" s="1">
        <v>4143483.25</v>
      </c>
    </row>
    <row r="546" spans="1:9" x14ac:dyDescent="0.2">
      <c r="A546" s="79" t="s">
        <v>561</v>
      </c>
      <c r="B546" s="79" t="s">
        <v>21</v>
      </c>
      <c r="C546" s="79" t="s">
        <v>11</v>
      </c>
      <c r="D546" s="9">
        <v>0.89903299999999997</v>
      </c>
      <c r="E546" s="8">
        <v>249.11076731793909</v>
      </c>
      <c r="F546" s="8">
        <v>223.95874030477185</v>
      </c>
      <c r="G546" s="80">
        <v>21918</v>
      </c>
      <c r="H546" s="80">
        <v>19705</v>
      </c>
      <c r="I546" s="1">
        <v>4908727.6699999897</v>
      </c>
    </row>
    <row r="547" spans="1:9" x14ac:dyDescent="0.2">
      <c r="A547" s="79" t="s">
        <v>562</v>
      </c>
      <c r="B547" s="79" t="s">
        <v>23</v>
      </c>
      <c r="C547" s="79" t="s">
        <v>11</v>
      </c>
      <c r="D547" s="9">
        <v>0.774204</v>
      </c>
      <c r="E547" s="8">
        <v>244.80874005539511</v>
      </c>
      <c r="F547" s="8">
        <v>189.53186923989415</v>
      </c>
      <c r="G547" s="80">
        <v>21918</v>
      </c>
      <c r="H547" s="80">
        <v>16969</v>
      </c>
      <c r="I547" s="1">
        <v>4154159.51</v>
      </c>
    </row>
    <row r="548" spans="1:9" x14ac:dyDescent="0.2">
      <c r="A548" s="79" t="s">
        <v>563</v>
      </c>
      <c r="B548" s="79" t="s">
        <v>10</v>
      </c>
      <c r="C548" s="79" t="s">
        <v>11</v>
      </c>
      <c r="D548" s="9">
        <v>0.75207599999999997</v>
      </c>
      <c r="E548" s="8">
        <v>256.96803749090026</v>
      </c>
      <c r="F548" s="8">
        <v>193.25947303586094</v>
      </c>
      <c r="G548" s="80">
        <v>21918</v>
      </c>
      <c r="H548" s="80">
        <v>16484</v>
      </c>
      <c r="I548" s="1">
        <v>4235861.13</v>
      </c>
    </row>
    <row r="549" spans="1:9" x14ac:dyDescent="0.2">
      <c r="A549" s="79" t="s">
        <v>564</v>
      </c>
      <c r="B549" s="79" t="s">
        <v>13</v>
      </c>
      <c r="C549" s="79" t="s">
        <v>11</v>
      </c>
      <c r="D549" s="9">
        <v>0.76626499999999997</v>
      </c>
      <c r="E549" s="8">
        <v>256.56656207204526</v>
      </c>
      <c r="F549" s="8">
        <v>196.59802034857196</v>
      </c>
      <c r="G549" s="80">
        <v>21918</v>
      </c>
      <c r="H549" s="80">
        <v>16795</v>
      </c>
      <c r="I549" s="1">
        <v>4309035.41</v>
      </c>
    </row>
    <row r="550" spans="1:9" x14ac:dyDescent="0.2">
      <c r="A550" s="79" t="s">
        <v>565</v>
      </c>
      <c r="B550" s="79" t="s">
        <v>15</v>
      </c>
      <c r="C550" s="79" t="s">
        <v>11</v>
      </c>
      <c r="D550" s="9">
        <v>0.75435700000000006</v>
      </c>
      <c r="E550" s="8">
        <v>250.71078625861861</v>
      </c>
      <c r="F550" s="8">
        <v>189.12547403960215</v>
      </c>
      <c r="G550" s="80">
        <v>21918</v>
      </c>
      <c r="H550" s="80">
        <v>16534</v>
      </c>
      <c r="I550" s="1">
        <v>4145252.14</v>
      </c>
    </row>
    <row r="551" spans="1:9" x14ac:dyDescent="0.2">
      <c r="A551" s="79" t="s">
        <v>566</v>
      </c>
      <c r="B551" s="79" t="s">
        <v>17</v>
      </c>
      <c r="C551" s="79" t="s">
        <v>11</v>
      </c>
      <c r="D551" s="9">
        <v>0.71443599999999996</v>
      </c>
      <c r="E551" s="8">
        <v>236.65662622134235</v>
      </c>
      <c r="F551" s="8">
        <v>169.07592435441188</v>
      </c>
      <c r="G551" s="80">
        <v>21918</v>
      </c>
      <c r="H551" s="80">
        <v>15659</v>
      </c>
      <c r="I551" s="1">
        <v>3705806.11</v>
      </c>
    </row>
    <row r="552" spans="1:9" x14ac:dyDescent="0.2">
      <c r="A552" s="79" t="s">
        <v>567</v>
      </c>
      <c r="B552" s="79" t="s">
        <v>19</v>
      </c>
      <c r="C552" s="79" t="s">
        <v>11</v>
      </c>
      <c r="D552" s="9">
        <v>0.83620799999999995</v>
      </c>
      <c r="E552" s="8">
        <v>236.60088989524226</v>
      </c>
      <c r="F552" s="8">
        <v>197.8474819782827</v>
      </c>
      <c r="G552" s="80">
        <v>21918</v>
      </c>
      <c r="H552" s="80">
        <v>18328</v>
      </c>
      <c r="I552" s="1">
        <v>4336421.1100000003</v>
      </c>
    </row>
    <row r="553" spans="1:9" x14ac:dyDescent="0.2">
      <c r="A553" s="79" t="s">
        <v>568</v>
      </c>
      <c r="B553" s="79" t="s">
        <v>21</v>
      </c>
      <c r="C553" s="79" t="s">
        <v>11</v>
      </c>
      <c r="D553" s="9">
        <v>0.77616600000000002</v>
      </c>
      <c r="E553" s="8">
        <v>221.85115271573008</v>
      </c>
      <c r="F553" s="8">
        <v>172.19325714025001</v>
      </c>
      <c r="G553" s="80">
        <v>21918</v>
      </c>
      <c r="H553" s="80">
        <v>17012</v>
      </c>
      <c r="I553" s="1">
        <v>3774131.81</v>
      </c>
    </row>
    <row r="554" spans="1:9" x14ac:dyDescent="0.2">
      <c r="A554" s="79" t="s">
        <v>569</v>
      </c>
      <c r="B554" s="79" t="s">
        <v>23</v>
      </c>
      <c r="C554" s="79" t="s">
        <v>11</v>
      </c>
      <c r="D554" s="9">
        <v>0.613514</v>
      </c>
      <c r="E554" s="8">
        <v>217.01583624600207</v>
      </c>
      <c r="F554" s="8">
        <v>133.14225522401634</v>
      </c>
      <c r="G554" s="80">
        <v>21918</v>
      </c>
      <c r="H554" s="80">
        <v>13447</v>
      </c>
      <c r="I554" s="1">
        <v>2918211.9499999899</v>
      </c>
    </row>
    <row r="555" spans="1:9" x14ac:dyDescent="0.2">
      <c r="A555" s="79" t="s">
        <v>570</v>
      </c>
      <c r="B555" s="79" t="s">
        <v>10</v>
      </c>
      <c r="C555" s="79" t="s">
        <v>11</v>
      </c>
      <c r="D555" s="9">
        <v>0.66817199999999999</v>
      </c>
      <c r="E555" s="8">
        <v>225.05599453738478</v>
      </c>
      <c r="F555" s="8">
        <v>150.37617665845423</v>
      </c>
      <c r="G555" s="80">
        <v>21918</v>
      </c>
      <c r="H555" s="80">
        <v>14645</v>
      </c>
      <c r="I555" s="1">
        <v>3295945.04</v>
      </c>
    </row>
    <row r="556" spans="1:9" x14ac:dyDescent="0.2">
      <c r="A556" s="79" t="s">
        <v>571</v>
      </c>
      <c r="B556" s="79" t="s">
        <v>13</v>
      </c>
      <c r="C556" s="79" t="s">
        <v>11</v>
      </c>
      <c r="D556" s="9">
        <v>0.72178100000000001</v>
      </c>
      <c r="E556" s="8">
        <v>228.95998356510745</v>
      </c>
      <c r="F556" s="8">
        <v>165.25900812117894</v>
      </c>
      <c r="G556" s="80">
        <v>21918</v>
      </c>
      <c r="H556" s="80">
        <v>15820</v>
      </c>
      <c r="I556" s="1">
        <v>3622146.94</v>
      </c>
    </row>
    <row r="557" spans="1:9" x14ac:dyDescent="0.2">
      <c r="A557" s="79" t="s">
        <v>572</v>
      </c>
      <c r="B557" s="79" t="s">
        <v>15</v>
      </c>
      <c r="C557" s="79" t="s">
        <v>11</v>
      </c>
      <c r="D557" s="9">
        <v>0.83693799999999996</v>
      </c>
      <c r="E557" s="8">
        <v>246.43875926733534</v>
      </c>
      <c r="F557" s="8">
        <v>206.25388265352677</v>
      </c>
      <c r="G557" s="80">
        <v>21918</v>
      </c>
      <c r="H557" s="80">
        <v>18344</v>
      </c>
      <c r="I557" s="1">
        <v>4520672.5999999996</v>
      </c>
    </row>
    <row r="558" spans="1:9" x14ac:dyDescent="0.2">
      <c r="A558" s="79" t="s">
        <v>573</v>
      </c>
      <c r="B558" s="79" t="s">
        <v>17</v>
      </c>
      <c r="C558" s="79" t="s">
        <v>11</v>
      </c>
      <c r="D558" s="9">
        <v>0.87243400000000004</v>
      </c>
      <c r="E558" s="8">
        <v>253.42120541784331</v>
      </c>
      <c r="F558" s="8">
        <v>221.09317866593668</v>
      </c>
      <c r="G558" s="80">
        <v>21918</v>
      </c>
      <c r="H558" s="80">
        <v>19122</v>
      </c>
      <c r="I558" s="1">
        <v>4845920.29</v>
      </c>
    </row>
    <row r="559" spans="1:9" x14ac:dyDescent="0.2">
      <c r="A559" s="79" t="s">
        <v>574</v>
      </c>
      <c r="B559" s="79" t="s">
        <v>19</v>
      </c>
      <c r="C559" s="79" t="s">
        <v>11</v>
      </c>
      <c r="D559" s="9">
        <v>0.87845600000000001</v>
      </c>
      <c r="E559" s="8">
        <v>258.65727277448843</v>
      </c>
      <c r="F559" s="8">
        <v>227.21904963956564</v>
      </c>
      <c r="G559" s="80">
        <v>21918</v>
      </c>
      <c r="H559" s="80">
        <v>19254</v>
      </c>
      <c r="I559" s="1">
        <v>4980187.13</v>
      </c>
    </row>
    <row r="560" spans="1:9" x14ac:dyDescent="0.2">
      <c r="A560" s="79" t="s">
        <v>575</v>
      </c>
      <c r="B560" s="79" t="s">
        <v>21</v>
      </c>
      <c r="C560" s="79" t="s">
        <v>11</v>
      </c>
      <c r="D560" s="9">
        <v>0.89889600000000003</v>
      </c>
      <c r="E560" s="8">
        <v>255.62542330727845</v>
      </c>
      <c r="F560" s="8">
        <v>229.78064102564102</v>
      </c>
      <c r="G560" s="80">
        <v>21918</v>
      </c>
      <c r="H560" s="80">
        <v>19702</v>
      </c>
      <c r="I560" s="1">
        <v>5036332.09</v>
      </c>
    </row>
    <row r="561" spans="1:9" x14ac:dyDescent="0.2">
      <c r="A561" s="79" t="s">
        <v>576</v>
      </c>
      <c r="B561" s="79" t="s">
        <v>23</v>
      </c>
      <c r="C561" s="79" t="s">
        <v>11</v>
      </c>
      <c r="D561" s="9">
        <v>0.69372199999999995</v>
      </c>
      <c r="E561" s="8">
        <v>229.86476290693852</v>
      </c>
      <c r="F561" s="8">
        <v>159.46225568026281</v>
      </c>
      <c r="G561" s="80">
        <v>21918</v>
      </c>
      <c r="H561" s="80">
        <v>15205</v>
      </c>
      <c r="I561" s="1">
        <v>3495093.72</v>
      </c>
    </row>
    <row r="562" spans="1:9" x14ac:dyDescent="0.2">
      <c r="A562" s="79" t="s">
        <v>577</v>
      </c>
      <c r="B562" s="79" t="s">
        <v>10</v>
      </c>
      <c r="C562" s="79" t="s">
        <v>11</v>
      </c>
      <c r="D562" s="9">
        <v>0.74623600000000001</v>
      </c>
      <c r="E562" s="8">
        <v>234.8090798483737</v>
      </c>
      <c r="F562" s="8">
        <v>175.22298156766129</v>
      </c>
      <c r="G562" s="80">
        <v>21918</v>
      </c>
      <c r="H562" s="80">
        <v>16356</v>
      </c>
      <c r="I562" s="1">
        <v>3840537.31</v>
      </c>
    </row>
    <row r="563" spans="1:9" x14ac:dyDescent="0.2">
      <c r="A563" s="79" t="s">
        <v>578</v>
      </c>
      <c r="B563" s="79" t="s">
        <v>13</v>
      </c>
      <c r="C563" s="79" t="s">
        <v>11</v>
      </c>
      <c r="D563" s="9">
        <v>0.82927300000000004</v>
      </c>
      <c r="E563" s="8">
        <v>245.61887599031692</v>
      </c>
      <c r="F563" s="8">
        <v>203.6850392371567</v>
      </c>
      <c r="G563" s="80">
        <v>21918</v>
      </c>
      <c r="H563" s="80">
        <v>18176</v>
      </c>
      <c r="I563" s="1">
        <v>4464368.6900000004</v>
      </c>
    </row>
    <row r="564" spans="1:9" x14ac:dyDescent="0.2">
      <c r="A564" s="79" t="s">
        <v>579</v>
      </c>
      <c r="B564" s="79" t="s">
        <v>15</v>
      </c>
      <c r="C564" s="79" t="s">
        <v>11</v>
      </c>
      <c r="D564" s="9">
        <v>0.88461500000000004</v>
      </c>
      <c r="E564" s="8">
        <v>259.06235803806231</v>
      </c>
      <c r="F564" s="8">
        <v>229.17054749520898</v>
      </c>
      <c r="G564" s="80">
        <v>21918</v>
      </c>
      <c r="H564" s="80">
        <v>19389</v>
      </c>
      <c r="I564" s="1">
        <v>5022960.0599999903</v>
      </c>
    </row>
    <row r="565" spans="1:9" x14ac:dyDescent="0.2">
      <c r="A565" s="79" t="s">
        <v>580</v>
      </c>
      <c r="B565" s="79" t="s">
        <v>17</v>
      </c>
      <c r="C565" s="79" t="s">
        <v>11</v>
      </c>
      <c r="D565" s="9">
        <v>0.91687200000000002</v>
      </c>
      <c r="E565" s="8">
        <v>258.01779209792994</v>
      </c>
      <c r="F565" s="8">
        <v>236.56928323752166</v>
      </c>
      <c r="G565" s="80">
        <v>21918</v>
      </c>
      <c r="H565" s="80">
        <v>20096</v>
      </c>
      <c r="I565" s="1">
        <v>5185125.55</v>
      </c>
    </row>
    <row r="566" spans="1:9" x14ac:dyDescent="0.2">
      <c r="A566" s="79" t="s">
        <v>581</v>
      </c>
      <c r="B566" s="79" t="s">
        <v>19</v>
      </c>
      <c r="C566" s="79" t="s">
        <v>11</v>
      </c>
      <c r="D566" s="9">
        <v>0.92394399999999999</v>
      </c>
      <c r="E566" s="8">
        <v>255.46492321366847</v>
      </c>
      <c r="F566" s="8">
        <v>236.03522949174194</v>
      </c>
      <c r="G566" s="80">
        <v>21918</v>
      </c>
      <c r="H566" s="80">
        <v>20251</v>
      </c>
      <c r="I566" s="1">
        <v>5173420.16</v>
      </c>
    </row>
    <row r="567" spans="1:9" x14ac:dyDescent="0.2">
      <c r="A567" s="79" t="s">
        <v>582</v>
      </c>
      <c r="B567" s="79" t="s">
        <v>21</v>
      </c>
      <c r="C567" s="79" t="s">
        <v>11</v>
      </c>
      <c r="D567" s="9">
        <v>0.91363300000000003</v>
      </c>
      <c r="E567" s="8">
        <v>246.74463220973783</v>
      </c>
      <c r="F567" s="8">
        <v>225.43394744045989</v>
      </c>
      <c r="G567" s="80">
        <v>21918</v>
      </c>
      <c r="H567" s="80">
        <v>20025</v>
      </c>
      <c r="I567" s="1">
        <v>4941061.26</v>
      </c>
    </row>
    <row r="568" spans="1:9" x14ac:dyDescent="0.2">
      <c r="A568" s="79" t="s">
        <v>583</v>
      </c>
      <c r="B568" s="79" t="s">
        <v>23</v>
      </c>
      <c r="C568" s="79" t="s">
        <v>11</v>
      </c>
      <c r="D568" s="9">
        <v>0.75367300000000004</v>
      </c>
      <c r="E568" s="8">
        <v>232.59677341243355</v>
      </c>
      <c r="F568" s="8">
        <v>175.30185692125147</v>
      </c>
      <c r="G568" s="80">
        <v>21918</v>
      </c>
      <c r="H568" s="80">
        <v>16519</v>
      </c>
      <c r="I568" s="1">
        <v>3842266.0999999898</v>
      </c>
    </row>
    <row r="569" spans="1:9" x14ac:dyDescent="0.2">
      <c r="A569" s="79" t="s">
        <v>584</v>
      </c>
      <c r="B569" s="79" t="s">
        <v>10</v>
      </c>
      <c r="C569" s="79" t="s">
        <v>11</v>
      </c>
      <c r="D569" s="9">
        <v>0.858016</v>
      </c>
      <c r="E569" s="8">
        <v>237.11479580984789</v>
      </c>
      <c r="F569" s="8">
        <v>203.44834610822153</v>
      </c>
      <c r="G569" s="80">
        <v>21918</v>
      </c>
      <c r="H569" s="80">
        <v>18806</v>
      </c>
      <c r="I569" s="1">
        <v>4459180.8499999996</v>
      </c>
    </row>
    <row r="570" spans="1:9" x14ac:dyDescent="0.2">
      <c r="A570" s="79" t="s">
        <v>585</v>
      </c>
      <c r="B570" s="79" t="s">
        <v>13</v>
      </c>
      <c r="C570" s="79" t="s">
        <v>11</v>
      </c>
      <c r="D570" s="9">
        <v>0.87622</v>
      </c>
      <c r="E570" s="8">
        <v>238.38386201510025</v>
      </c>
      <c r="F570" s="8">
        <v>208.87681677160327</v>
      </c>
      <c r="G570" s="80">
        <v>21918</v>
      </c>
      <c r="H570" s="80">
        <v>19205</v>
      </c>
      <c r="I570" s="1">
        <v>4578162.07</v>
      </c>
    </row>
    <row r="571" spans="1:9" x14ac:dyDescent="0.2">
      <c r="A571" s="79" t="s">
        <v>586</v>
      </c>
      <c r="B571" s="79" t="s">
        <v>15</v>
      </c>
      <c r="C571" s="79" t="s">
        <v>11</v>
      </c>
      <c r="D571" s="9">
        <v>0.88424999999999998</v>
      </c>
      <c r="E571" s="8">
        <v>241.28822661369384</v>
      </c>
      <c r="F571" s="8">
        <v>213.35920795693039</v>
      </c>
      <c r="G571" s="80">
        <v>21918</v>
      </c>
      <c r="H571" s="80">
        <v>19381</v>
      </c>
      <c r="I571" s="1">
        <v>4676407.12</v>
      </c>
    </row>
    <row r="572" spans="1:9" x14ac:dyDescent="0.2">
      <c r="A572" s="79" t="s">
        <v>587</v>
      </c>
      <c r="B572" s="79" t="s">
        <v>17</v>
      </c>
      <c r="C572" s="79" t="s">
        <v>11</v>
      </c>
      <c r="D572" s="9">
        <v>0.86444900000000002</v>
      </c>
      <c r="E572" s="8">
        <v>237.95429936137648</v>
      </c>
      <c r="F572" s="8">
        <v>205.69943014873621</v>
      </c>
      <c r="G572" s="80">
        <v>21918</v>
      </c>
      <c r="H572" s="80">
        <v>18947</v>
      </c>
      <c r="I572" s="1">
        <v>4508520.1100000003</v>
      </c>
    </row>
    <row r="573" spans="1:9" x14ac:dyDescent="0.2">
      <c r="A573" s="79" t="s">
        <v>588</v>
      </c>
      <c r="B573" s="79" t="s">
        <v>19</v>
      </c>
      <c r="C573" s="79" t="s">
        <v>11</v>
      </c>
      <c r="D573" s="9">
        <v>0.91919899999999999</v>
      </c>
      <c r="E573" s="8">
        <v>242.47199930510746</v>
      </c>
      <c r="F573" s="8">
        <v>222.87997855643764</v>
      </c>
      <c r="G573" s="80">
        <v>21918</v>
      </c>
      <c r="H573" s="80">
        <v>20147</v>
      </c>
      <c r="I573" s="1">
        <v>4885083.37</v>
      </c>
    </row>
    <row r="574" spans="1:9" x14ac:dyDescent="0.2">
      <c r="A574" s="79" t="s">
        <v>589</v>
      </c>
      <c r="B574" s="79" t="s">
        <v>21</v>
      </c>
      <c r="C574" s="79" t="s">
        <v>11</v>
      </c>
      <c r="D574" s="9">
        <v>0.94999500000000003</v>
      </c>
      <c r="E574" s="8">
        <v>242.42633464604742</v>
      </c>
      <c r="F574" s="8">
        <v>230.30391185327127</v>
      </c>
      <c r="G574" s="80">
        <v>21918</v>
      </c>
      <c r="H574" s="80">
        <v>20822</v>
      </c>
      <c r="I574" s="1">
        <v>5047801.1399999997</v>
      </c>
    </row>
    <row r="575" spans="1:9" x14ac:dyDescent="0.2">
      <c r="A575" s="79" t="s">
        <v>590</v>
      </c>
      <c r="B575" s="79" t="s">
        <v>23</v>
      </c>
      <c r="C575" s="79" t="s">
        <v>11</v>
      </c>
      <c r="D575" s="9">
        <v>0.77055399999999996</v>
      </c>
      <c r="E575" s="8">
        <v>220.97320089999408</v>
      </c>
      <c r="F575" s="8">
        <v>170.27175791586825</v>
      </c>
      <c r="G575" s="80">
        <v>21918</v>
      </c>
      <c r="H575" s="80">
        <v>16889</v>
      </c>
      <c r="I575" s="1">
        <v>3732016.39</v>
      </c>
    </row>
    <row r="576" spans="1:9" x14ac:dyDescent="0.2">
      <c r="A576" s="79" t="s">
        <v>591</v>
      </c>
      <c r="B576" s="79" t="s">
        <v>10</v>
      </c>
      <c r="C576" s="79" t="s">
        <v>11</v>
      </c>
      <c r="D576" s="9">
        <v>0.77753399999999995</v>
      </c>
      <c r="E576" s="8">
        <v>229.82954230724033</v>
      </c>
      <c r="F576" s="8">
        <v>178.70038598412216</v>
      </c>
      <c r="G576" s="80">
        <v>21918</v>
      </c>
      <c r="H576" s="80">
        <v>17042</v>
      </c>
      <c r="I576" s="1">
        <v>3916755.0599999898</v>
      </c>
    </row>
    <row r="577" spans="1:9" x14ac:dyDescent="0.2">
      <c r="A577" s="79" t="s">
        <v>592</v>
      </c>
      <c r="B577" s="79" t="s">
        <v>13</v>
      </c>
      <c r="C577" s="79" t="s">
        <v>11</v>
      </c>
      <c r="D577" s="9">
        <v>0.798431</v>
      </c>
      <c r="E577" s="8">
        <v>229.06856171428572</v>
      </c>
      <c r="F577" s="8">
        <v>182.89532940961766</v>
      </c>
      <c r="G577" s="80">
        <v>21918</v>
      </c>
      <c r="H577" s="80">
        <v>17500</v>
      </c>
      <c r="I577" s="1">
        <v>4008699.83</v>
      </c>
    </row>
    <row r="578" spans="1:9" x14ac:dyDescent="0.2">
      <c r="A578" s="79" t="s">
        <v>593</v>
      </c>
      <c r="B578" s="79" t="s">
        <v>15</v>
      </c>
      <c r="C578" s="79" t="s">
        <v>11</v>
      </c>
      <c r="D578" s="9">
        <v>0.77543600000000001</v>
      </c>
      <c r="E578" s="8">
        <v>225.68129677571193</v>
      </c>
      <c r="F578" s="8">
        <v>175.00133771329499</v>
      </c>
      <c r="G578" s="80">
        <v>21918</v>
      </c>
      <c r="H578" s="80">
        <v>16996</v>
      </c>
      <c r="I578" s="1">
        <v>3835679.32</v>
      </c>
    </row>
    <row r="579" spans="1:9" x14ac:dyDescent="0.2">
      <c r="A579" s="79" t="s">
        <v>594</v>
      </c>
      <c r="B579" s="79" t="s">
        <v>17</v>
      </c>
      <c r="C579" s="79" t="s">
        <v>11</v>
      </c>
      <c r="D579" s="9">
        <v>0.75230399999999997</v>
      </c>
      <c r="E579" s="8">
        <v>224.47463703074777</v>
      </c>
      <c r="F579" s="8">
        <v>168.87317684095265</v>
      </c>
      <c r="G579" s="80">
        <v>21918</v>
      </c>
      <c r="H579" s="80">
        <v>16489</v>
      </c>
      <c r="I579" s="1">
        <v>3701362.29</v>
      </c>
    </row>
    <row r="580" spans="1:9" x14ac:dyDescent="0.2">
      <c r="A580" s="79" t="s">
        <v>595</v>
      </c>
      <c r="B580" s="79" t="s">
        <v>19</v>
      </c>
      <c r="C580" s="79" t="s">
        <v>11</v>
      </c>
      <c r="D580" s="9">
        <v>0.82799500000000004</v>
      </c>
      <c r="E580" s="8">
        <v>231.67119682609652</v>
      </c>
      <c r="F580" s="8">
        <v>191.82265170179761</v>
      </c>
      <c r="G580" s="80">
        <v>21918</v>
      </c>
      <c r="H580" s="80">
        <v>18148</v>
      </c>
      <c r="I580" s="1">
        <v>4204368.88</v>
      </c>
    </row>
    <row r="581" spans="1:9" x14ac:dyDescent="0.2">
      <c r="A581" s="79" t="s">
        <v>596</v>
      </c>
      <c r="B581" s="79" t="s">
        <v>21</v>
      </c>
      <c r="C581" s="79" t="s">
        <v>11</v>
      </c>
      <c r="D581" s="9">
        <v>0.887992</v>
      </c>
      <c r="E581" s="8">
        <v>228.82328880439809</v>
      </c>
      <c r="F581" s="8">
        <v>203.19315950360433</v>
      </c>
      <c r="G581" s="80">
        <v>21918</v>
      </c>
      <c r="H581" s="80">
        <v>19463</v>
      </c>
      <c r="I581" s="1">
        <v>4453587.67</v>
      </c>
    </row>
    <row r="582" spans="1:9" x14ac:dyDescent="0.2">
      <c r="A582" s="79" t="s">
        <v>597</v>
      </c>
      <c r="B582" s="79" t="s">
        <v>23</v>
      </c>
      <c r="C582" s="79" t="s">
        <v>11</v>
      </c>
      <c r="D582" s="9">
        <v>0.74473</v>
      </c>
      <c r="E582" s="8">
        <v>225.80098878882558</v>
      </c>
      <c r="F582" s="8">
        <v>168.16085135505065</v>
      </c>
      <c r="G582" s="80">
        <v>21918</v>
      </c>
      <c r="H582" s="80">
        <v>16323</v>
      </c>
      <c r="I582" s="1">
        <v>3685749.54</v>
      </c>
    </row>
    <row r="583" spans="1:9" x14ac:dyDescent="0.2">
      <c r="A583" s="79" t="s">
        <v>598</v>
      </c>
      <c r="B583" s="79" t="s">
        <v>10</v>
      </c>
      <c r="C583" s="79" t="s">
        <v>11</v>
      </c>
      <c r="D583" s="9">
        <v>0.78113900000000003</v>
      </c>
      <c r="E583" s="8">
        <v>231.01744816307402</v>
      </c>
      <c r="F583" s="8">
        <v>180.45668993521261</v>
      </c>
      <c r="G583" s="80">
        <v>21918</v>
      </c>
      <c r="H583" s="80">
        <v>17121</v>
      </c>
      <c r="I583" s="1">
        <v>3955249.7299999902</v>
      </c>
    </row>
    <row r="584" spans="1:9" x14ac:dyDescent="0.2">
      <c r="A584" s="79" t="s">
        <v>599</v>
      </c>
      <c r="B584" s="79" t="s">
        <v>13</v>
      </c>
      <c r="C584" s="79" t="s">
        <v>11</v>
      </c>
      <c r="D584" s="9">
        <v>0.77625699999999997</v>
      </c>
      <c r="E584" s="8">
        <v>225.23657517338603</v>
      </c>
      <c r="F584" s="8">
        <v>174.84145861848663</v>
      </c>
      <c r="G584" s="80">
        <v>21918</v>
      </c>
      <c r="H584" s="80">
        <v>17014</v>
      </c>
      <c r="I584" s="1">
        <v>3832175.0899999901</v>
      </c>
    </row>
    <row r="585" spans="1:9" x14ac:dyDescent="0.2">
      <c r="A585" s="79" t="s">
        <v>600</v>
      </c>
      <c r="B585" s="79" t="s">
        <v>15</v>
      </c>
      <c r="C585" s="79" t="s">
        <v>11</v>
      </c>
      <c r="D585" s="9">
        <v>0.74559699999999995</v>
      </c>
      <c r="E585" s="8">
        <v>223.59825786317464</v>
      </c>
      <c r="F585" s="8">
        <v>166.71424080664295</v>
      </c>
      <c r="G585" s="80">
        <v>21918</v>
      </c>
      <c r="H585" s="80">
        <v>16342</v>
      </c>
      <c r="I585" s="1">
        <v>3654042.73</v>
      </c>
    </row>
    <row r="586" spans="1:9" x14ac:dyDescent="0.2">
      <c r="A586" s="79" t="s">
        <v>601</v>
      </c>
      <c r="B586" s="79" t="s">
        <v>17</v>
      </c>
      <c r="C586" s="79" t="s">
        <v>11</v>
      </c>
      <c r="D586" s="9">
        <v>0.739985</v>
      </c>
      <c r="E586" s="8">
        <v>223.10651149885936</v>
      </c>
      <c r="F586" s="8">
        <v>165.09556118258965</v>
      </c>
      <c r="G586" s="80">
        <v>21918</v>
      </c>
      <c r="H586" s="80">
        <v>16219</v>
      </c>
      <c r="I586" s="1">
        <v>3618564.51</v>
      </c>
    </row>
    <row r="587" spans="1:9" x14ac:dyDescent="0.2">
      <c r="A587" s="79" t="s">
        <v>602</v>
      </c>
      <c r="B587" s="79" t="s">
        <v>19</v>
      </c>
      <c r="C587" s="79" t="s">
        <v>11</v>
      </c>
      <c r="D587" s="9">
        <v>0.78001799999999999</v>
      </c>
      <c r="E587" s="8">
        <v>228.77313486957539</v>
      </c>
      <c r="F587" s="8">
        <v>178.44721989051095</v>
      </c>
      <c r="G587" s="80">
        <v>21920</v>
      </c>
      <c r="H587" s="80">
        <v>17098</v>
      </c>
      <c r="I587" s="1">
        <v>3911563.06</v>
      </c>
    </row>
    <row r="588" spans="1:9" x14ac:dyDescent="0.2">
      <c r="A588" s="79" t="s">
        <v>603</v>
      </c>
      <c r="B588" s="79" t="s">
        <v>21</v>
      </c>
      <c r="C588" s="79" t="s">
        <v>11</v>
      </c>
      <c r="D588" s="9">
        <v>0.82144200000000001</v>
      </c>
      <c r="E588" s="8">
        <v>227.42447406420084</v>
      </c>
      <c r="F588" s="8">
        <v>186.81592518248175</v>
      </c>
      <c r="G588" s="80">
        <v>21920</v>
      </c>
      <c r="H588" s="80">
        <v>18006</v>
      </c>
      <c r="I588" s="1">
        <v>4095005.08</v>
      </c>
    </row>
    <row r="589" spans="1:9" x14ac:dyDescent="0.2">
      <c r="A589" s="79" t="s">
        <v>604</v>
      </c>
      <c r="B589" s="79" t="s">
        <v>23</v>
      </c>
      <c r="C589" s="79" t="s">
        <v>11</v>
      </c>
      <c r="D589" s="9">
        <v>0.74376200000000003</v>
      </c>
      <c r="E589" s="8">
        <v>224.25411923454368</v>
      </c>
      <c r="F589" s="8">
        <v>166.79162264495233</v>
      </c>
      <c r="G589" s="80">
        <v>21921</v>
      </c>
      <c r="H589" s="80">
        <v>16304</v>
      </c>
      <c r="I589" s="1">
        <v>3656239.16</v>
      </c>
    </row>
    <row r="590" spans="1:9" x14ac:dyDescent="0.2">
      <c r="A590" s="79" t="s">
        <v>605</v>
      </c>
      <c r="B590" s="79" t="s">
        <v>10</v>
      </c>
      <c r="C590" s="79" t="s">
        <v>11</v>
      </c>
      <c r="D590" s="9">
        <v>0.80397799999999997</v>
      </c>
      <c r="E590" s="8">
        <v>226.5696050839764</v>
      </c>
      <c r="F590" s="8">
        <v>182.15695999270108</v>
      </c>
      <c r="G590" s="80">
        <v>21921</v>
      </c>
      <c r="H590" s="80">
        <v>17624</v>
      </c>
      <c r="I590" s="1">
        <v>3993062.72</v>
      </c>
    </row>
    <row r="591" spans="1:9" x14ac:dyDescent="0.2">
      <c r="A591" s="79" t="s">
        <v>606</v>
      </c>
      <c r="B591" s="79" t="s">
        <v>13</v>
      </c>
      <c r="C591" s="79" t="s">
        <v>11</v>
      </c>
      <c r="D591" s="9">
        <v>0.82327399999999995</v>
      </c>
      <c r="E591" s="8">
        <v>228.11385881309857</v>
      </c>
      <c r="F591" s="8">
        <v>187.80031978468088</v>
      </c>
      <c r="G591" s="80">
        <v>21921</v>
      </c>
      <c r="H591" s="80">
        <v>18047</v>
      </c>
      <c r="I591" s="1">
        <v>4116770.8099999898</v>
      </c>
    </row>
    <row r="592" spans="1:9" x14ac:dyDescent="0.2">
      <c r="A592" s="79" t="s">
        <v>607</v>
      </c>
      <c r="B592" s="79" t="s">
        <v>15</v>
      </c>
      <c r="C592" s="79" t="s">
        <v>11</v>
      </c>
      <c r="D592" s="9">
        <v>0.82058299999999995</v>
      </c>
      <c r="E592" s="8">
        <v>232.89078830331331</v>
      </c>
      <c r="F592" s="8">
        <v>191.10622234387117</v>
      </c>
      <c r="G592" s="80">
        <v>21921</v>
      </c>
      <c r="H592" s="80">
        <v>17988</v>
      </c>
      <c r="I592" s="1">
        <v>4189239.5</v>
      </c>
    </row>
    <row r="593" spans="1:9" x14ac:dyDescent="0.2">
      <c r="A593" s="79" t="s">
        <v>608</v>
      </c>
      <c r="B593" s="79" t="s">
        <v>17</v>
      </c>
      <c r="C593" s="79" t="s">
        <v>11</v>
      </c>
      <c r="D593" s="9">
        <v>0.785138</v>
      </c>
      <c r="E593" s="8">
        <v>231.32594387310439</v>
      </c>
      <c r="F593" s="8">
        <v>181.6226823593814</v>
      </c>
      <c r="G593" s="80">
        <v>21921</v>
      </c>
      <c r="H593" s="80">
        <v>17211</v>
      </c>
      <c r="I593" s="1">
        <v>3981350.82</v>
      </c>
    </row>
    <row r="594" spans="1:9" x14ac:dyDescent="0.2">
      <c r="A594" s="79" t="s">
        <v>609</v>
      </c>
      <c r="B594" s="79" t="s">
        <v>19</v>
      </c>
      <c r="C594" s="79" t="s">
        <v>11</v>
      </c>
      <c r="D594" s="9">
        <v>0.82026399999999999</v>
      </c>
      <c r="E594" s="8">
        <v>233.57960235804461</v>
      </c>
      <c r="F594" s="8">
        <v>191.59686282560102</v>
      </c>
      <c r="G594" s="80">
        <v>21921</v>
      </c>
      <c r="H594" s="80">
        <v>17981</v>
      </c>
      <c r="I594" s="1">
        <v>4199994.83</v>
      </c>
    </row>
    <row r="595" spans="1:9" x14ac:dyDescent="0.2">
      <c r="A595" s="79" t="s">
        <v>610</v>
      </c>
      <c r="B595" s="79" t="s">
        <v>21</v>
      </c>
      <c r="C595" s="79" t="s">
        <v>11</v>
      </c>
      <c r="D595" s="9">
        <v>0.86770700000000001</v>
      </c>
      <c r="E595" s="8">
        <v>235.9333289522107</v>
      </c>
      <c r="F595" s="8">
        <v>204.72094566853701</v>
      </c>
      <c r="G595" s="80">
        <v>21921</v>
      </c>
      <c r="H595" s="80">
        <v>19021</v>
      </c>
      <c r="I595" s="1">
        <v>4487687.8499999996</v>
      </c>
    </row>
    <row r="596" spans="1:9" x14ac:dyDescent="0.2">
      <c r="A596" s="79" t="s">
        <v>611</v>
      </c>
      <c r="B596" s="79" t="s">
        <v>23</v>
      </c>
      <c r="C596" s="79" t="s">
        <v>11</v>
      </c>
      <c r="D596" s="9">
        <v>0.71629900000000002</v>
      </c>
      <c r="E596" s="8">
        <v>213.50086676856449</v>
      </c>
      <c r="F596" s="8">
        <v>152.93055106975046</v>
      </c>
      <c r="G596" s="80">
        <v>21921</v>
      </c>
      <c r="H596" s="80">
        <v>15702</v>
      </c>
      <c r="I596" s="1">
        <v>3352390.61</v>
      </c>
    </row>
    <row r="597" spans="1:9" x14ac:dyDescent="0.2">
      <c r="A597" s="79" t="s">
        <v>612</v>
      </c>
      <c r="B597" s="79" t="s">
        <v>10</v>
      </c>
      <c r="C597" s="79" t="s">
        <v>11</v>
      </c>
      <c r="D597" s="9">
        <v>0.66005199999999997</v>
      </c>
      <c r="E597" s="8">
        <v>201.14650908839587</v>
      </c>
      <c r="F597" s="8">
        <v>132.76715660781898</v>
      </c>
      <c r="G597" s="80">
        <v>21921</v>
      </c>
      <c r="H597" s="80">
        <v>14469</v>
      </c>
      <c r="I597" s="1">
        <v>2910388.84</v>
      </c>
    </row>
    <row r="598" spans="1:9" x14ac:dyDescent="0.2">
      <c r="A598" s="79" t="s">
        <v>613</v>
      </c>
      <c r="B598" s="79" t="s">
        <v>13</v>
      </c>
      <c r="C598" s="79" t="s">
        <v>11</v>
      </c>
      <c r="D598" s="9">
        <v>0.68281599999999998</v>
      </c>
      <c r="E598" s="8">
        <v>193.98814804917089</v>
      </c>
      <c r="F598" s="8">
        <v>132.45812691026822</v>
      </c>
      <c r="G598" s="80">
        <v>21921</v>
      </c>
      <c r="H598" s="80">
        <v>14968</v>
      </c>
      <c r="I598" s="1">
        <v>2903614.5999999898</v>
      </c>
    </row>
    <row r="599" spans="1:9" x14ac:dyDescent="0.2">
      <c r="A599" s="79" t="s">
        <v>614</v>
      </c>
      <c r="B599" s="79" t="s">
        <v>15</v>
      </c>
      <c r="C599" s="79" t="s">
        <v>11</v>
      </c>
      <c r="D599" s="9">
        <v>0.68404699999999996</v>
      </c>
      <c r="E599" s="8">
        <v>201.1273604534845</v>
      </c>
      <c r="F599" s="8">
        <v>137.58061995346927</v>
      </c>
      <c r="G599" s="80">
        <v>21921</v>
      </c>
      <c r="H599" s="80">
        <v>14995</v>
      </c>
      <c r="I599" s="1">
        <v>3015904.77</v>
      </c>
    </row>
    <row r="600" spans="1:9" x14ac:dyDescent="0.2">
      <c r="A600" s="79" t="s">
        <v>615</v>
      </c>
      <c r="B600" s="79" t="s">
        <v>17</v>
      </c>
      <c r="C600" s="79" t="s">
        <v>11</v>
      </c>
      <c r="D600" s="9">
        <v>0.71525000000000005</v>
      </c>
      <c r="E600" s="8">
        <v>207.18581287071879</v>
      </c>
      <c r="F600" s="8">
        <v>148.18969755029423</v>
      </c>
      <c r="G600" s="80">
        <v>21921</v>
      </c>
      <c r="H600" s="80">
        <v>15679</v>
      </c>
      <c r="I600" s="1">
        <v>3248466.36</v>
      </c>
    </row>
    <row r="601" spans="1:9" x14ac:dyDescent="0.2">
      <c r="A601" s="79" t="s">
        <v>616</v>
      </c>
      <c r="B601" s="79" t="s">
        <v>19</v>
      </c>
      <c r="C601" s="79" t="s">
        <v>11</v>
      </c>
      <c r="D601" s="9">
        <v>0.78445299999999996</v>
      </c>
      <c r="E601" s="8">
        <v>208.16324145150034</v>
      </c>
      <c r="F601" s="8">
        <v>163.29433420008212</v>
      </c>
      <c r="G601" s="80">
        <v>21921</v>
      </c>
      <c r="H601" s="80">
        <v>17196</v>
      </c>
      <c r="I601" s="1">
        <v>3579575.1</v>
      </c>
    </row>
    <row r="602" spans="1:9" x14ac:dyDescent="0.2">
      <c r="A602" s="79" t="s">
        <v>617</v>
      </c>
      <c r="B602" s="79" t="s">
        <v>21</v>
      </c>
      <c r="C602" s="79" t="s">
        <v>11</v>
      </c>
      <c r="D602" s="9">
        <v>0.81232599999999999</v>
      </c>
      <c r="E602" s="8">
        <v>209.38620935587127</v>
      </c>
      <c r="F602" s="8">
        <v>170.08987865517085</v>
      </c>
      <c r="G602" s="80">
        <v>21921</v>
      </c>
      <c r="H602" s="80">
        <v>17807</v>
      </c>
      <c r="I602" s="1">
        <v>3728540.23</v>
      </c>
    </row>
    <row r="603" spans="1:9" x14ac:dyDescent="0.2">
      <c r="A603" s="79" t="s">
        <v>618</v>
      </c>
      <c r="B603" s="79" t="s">
        <v>23</v>
      </c>
      <c r="C603" s="79" t="s">
        <v>11</v>
      </c>
      <c r="D603" s="9">
        <v>0.62834699999999999</v>
      </c>
      <c r="E603" s="8">
        <v>197.44805793524029</v>
      </c>
      <c r="F603" s="8">
        <v>124.06594361571095</v>
      </c>
      <c r="G603" s="80">
        <v>21921</v>
      </c>
      <c r="H603" s="80">
        <v>13774</v>
      </c>
      <c r="I603" s="1">
        <v>2719649.55</v>
      </c>
    </row>
    <row r="604" spans="1:9" x14ac:dyDescent="0.2">
      <c r="A604" s="79" t="s">
        <v>619</v>
      </c>
      <c r="B604" s="79" t="s">
        <v>10</v>
      </c>
      <c r="C604" s="79" t="s">
        <v>11</v>
      </c>
      <c r="D604" s="9">
        <v>0.661968</v>
      </c>
      <c r="E604" s="8">
        <v>202.88470953070015</v>
      </c>
      <c r="F604" s="8">
        <v>134.3031805118375</v>
      </c>
      <c r="G604" s="80">
        <v>21921</v>
      </c>
      <c r="H604" s="80">
        <v>14511</v>
      </c>
      <c r="I604" s="1">
        <v>2944060.0199999898</v>
      </c>
    </row>
    <row r="605" spans="1:9" x14ac:dyDescent="0.2">
      <c r="A605" s="79" t="s">
        <v>620</v>
      </c>
      <c r="B605" s="79" t="s">
        <v>13</v>
      </c>
      <c r="C605" s="79" t="s">
        <v>11</v>
      </c>
      <c r="D605" s="9">
        <v>0.66479600000000005</v>
      </c>
      <c r="E605" s="8">
        <v>199.63175255609687</v>
      </c>
      <c r="F605" s="8">
        <v>132.71445326399342</v>
      </c>
      <c r="G605" s="80">
        <v>21921</v>
      </c>
      <c r="H605" s="80">
        <v>14573</v>
      </c>
      <c r="I605" s="1">
        <v>2909233.53</v>
      </c>
    </row>
    <row r="606" spans="1:9" x14ac:dyDescent="0.2">
      <c r="A606" s="79" t="s">
        <v>621</v>
      </c>
      <c r="B606" s="79" t="s">
        <v>15</v>
      </c>
      <c r="C606" s="79" t="s">
        <v>11</v>
      </c>
      <c r="D606" s="9">
        <v>0.65932199999999996</v>
      </c>
      <c r="E606" s="8">
        <v>201.59371341589915</v>
      </c>
      <c r="F606" s="8">
        <v>132.91519273755713</v>
      </c>
      <c r="G606" s="80">
        <v>21921</v>
      </c>
      <c r="H606" s="80">
        <v>14453</v>
      </c>
      <c r="I606" s="1">
        <v>2913633.9399999902</v>
      </c>
    </row>
    <row r="607" spans="1:9" x14ac:dyDescent="0.2">
      <c r="A607" s="79" t="s">
        <v>622</v>
      </c>
      <c r="B607" s="79" t="s">
        <v>17</v>
      </c>
      <c r="C607" s="79" t="s">
        <v>11</v>
      </c>
      <c r="D607" s="9">
        <v>0.69052500000000006</v>
      </c>
      <c r="E607" s="8">
        <v>210.62672920657988</v>
      </c>
      <c r="F607" s="8">
        <v>145.44303635783038</v>
      </c>
      <c r="G607" s="80">
        <v>21921</v>
      </c>
      <c r="H607" s="80">
        <v>15137</v>
      </c>
      <c r="I607" s="1">
        <v>3188256.8</v>
      </c>
    </row>
    <row r="608" spans="1:9" x14ac:dyDescent="0.2">
      <c r="A608" s="79" t="s">
        <v>623</v>
      </c>
      <c r="B608" s="79" t="s">
        <v>19</v>
      </c>
      <c r="C608" s="79" t="s">
        <v>11</v>
      </c>
      <c r="D608" s="9">
        <v>0.845947</v>
      </c>
      <c r="E608" s="8">
        <v>218.83463060828302</v>
      </c>
      <c r="F608" s="8">
        <v>185.12245746088226</v>
      </c>
      <c r="G608" s="80">
        <v>21921</v>
      </c>
      <c r="H608" s="80">
        <v>18544</v>
      </c>
      <c r="I608" s="1">
        <v>4058069.39</v>
      </c>
    </row>
    <row r="609" spans="1:9" x14ac:dyDescent="0.2">
      <c r="A609" s="79" t="s">
        <v>624</v>
      </c>
      <c r="B609" s="79" t="s">
        <v>21</v>
      </c>
      <c r="C609" s="79" t="s">
        <v>11</v>
      </c>
      <c r="D609" s="9">
        <v>0.94220199999999998</v>
      </c>
      <c r="E609" s="8">
        <v>233.07655708337367</v>
      </c>
      <c r="F609" s="8">
        <v>219.60509146480544</v>
      </c>
      <c r="G609" s="80">
        <v>21921</v>
      </c>
      <c r="H609" s="80">
        <v>20654</v>
      </c>
      <c r="I609" s="1">
        <v>4813963.21</v>
      </c>
    </row>
    <row r="610" spans="1:9" x14ac:dyDescent="0.2">
      <c r="A610" s="79" t="s">
        <v>625</v>
      </c>
      <c r="B610" s="79" t="s">
        <v>23</v>
      </c>
      <c r="C610" s="79" t="s">
        <v>11</v>
      </c>
      <c r="D610" s="9">
        <v>0.82496199999999997</v>
      </c>
      <c r="E610" s="8">
        <v>227.60039593010396</v>
      </c>
      <c r="F610" s="8">
        <v>187.7617608685735</v>
      </c>
      <c r="G610" s="80">
        <v>21921</v>
      </c>
      <c r="H610" s="80">
        <v>18084</v>
      </c>
      <c r="I610" s="1">
        <v>4115925.56</v>
      </c>
    </row>
    <row r="611" spans="1:9" x14ac:dyDescent="0.2">
      <c r="A611" s="79" t="s">
        <v>626</v>
      </c>
      <c r="B611" s="79" t="s">
        <v>10</v>
      </c>
      <c r="C611" s="79" t="s">
        <v>11</v>
      </c>
      <c r="D611" s="9">
        <v>0.47725899999999999</v>
      </c>
      <c r="E611" s="8">
        <v>198.70466545593575</v>
      </c>
      <c r="F611" s="8">
        <v>94.833639432507638</v>
      </c>
      <c r="G611" s="80">
        <v>21921</v>
      </c>
      <c r="H611" s="80">
        <v>10462</v>
      </c>
      <c r="I611" s="1">
        <v>2078848.21</v>
      </c>
    </row>
    <row r="612" spans="1:9" x14ac:dyDescent="0.2">
      <c r="A612" s="79" t="s">
        <v>627</v>
      </c>
      <c r="B612" s="79" t="s">
        <v>13</v>
      </c>
      <c r="C612" s="79" t="s">
        <v>11</v>
      </c>
      <c r="D612" s="9">
        <v>0.54477399999999998</v>
      </c>
      <c r="E612" s="8">
        <v>205.18478060626279</v>
      </c>
      <c r="F612" s="8">
        <v>111.77941927831715</v>
      </c>
      <c r="G612" s="80">
        <v>21921</v>
      </c>
      <c r="H612" s="80">
        <v>11942</v>
      </c>
      <c r="I612" s="1">
        <v>2450316.6499999901</v>
      </c>
    </row>
    <row r="613" spans="1:9" x14ac:dyDescent="0.2">
      <c r="A613" s="79" t="s">
        <v>628</v>
      </c>
      <c r="B613" s="79" t="s">
        <v>15</v>
      </c>
      <c r="C613" s="79" t="s">
        <v>11</v>
      </c>
      <c r="D613" s="9">
        <v>0.61192500000000005</v>
      </c>
      <c r="E613" s="8">
        <v>210.7191061577449</v>
      </c>
      <c r="F613" s="8">
        <v>128.94421285525249</v>
      </c>
      <c r="G613" s="80">
        <v>21921</v>
      </c>
      <c r="H613" s="80">
        <v>13414</v>
      </c>
      <c r="I613" s="1">
        <v>2826586.0899999901</v>
      </c>
    </row>
    <row r="614" spans="1:9" x14ac:dyDescent="0.2">
      <c r="A614" s="79" t="s">
        <v>629</v>
      </c>
      <c r="B614" s="79" t="s">
        <v>17</v>
      </c>
      <c r="C614" s="79" t="s">
        <v>11</v>
      </c>
      <c r="D614" s="9">
        <v>0.71141799999999999</v>
      </c>
      <c r="E614" s="8">
        <v>223.53335941006668</v>
      </c>
      <c r="F614" s="8">
        <v>159.02571689247708</v>
      </c>
      <c r="G614" s="80">
        <v>21921</v>
      </c>
      <c r="H614" s="80">
        <v>15595</v>
      </c>
      <c r="I614" s="1">
        <v>3486002.73999999</v>
      </c>
    </row>
    <row r="615" spans="1:9" x14ac:dyDescent="0.2">
      <c r="A615" s="79" t="s">
        <v>630</v>
      </c>
      <c r="B615" s="79" t="s">
        <v>19</v>
      </c>
      <c r="C615" s="79" t="s">
        <v>11</v>
      </c>
      <c r="D615" s="9">
        <v>0.83819200000000005</v>
      </c>
      <c r="E615" s="8">
        <v>237.74907096984867</v>
      </c>
      <c r="F615" s="8">
        <v>199.27929519638701</v>
      </c>
      <c r="G615" s="80">
        <v>21921</v>
      </c>
      <c r="H615" s="80">
        <v>18374</v>
      </c>
      <c r="I615" s="1">
        <v>4368401.43</v>
      </c>
    </row>
    <row r="616" spans="1:9" x14ac:dyDescent="0.2">
      <c r="A616" s="79" t="s">
        <v>631</v>
      </c>
      <c r="B616" s="79" t="s">
        <v>21</v>
      </c>
      <c r="C616" s="79" t="s">
        <v>11</v>
      </c>
      <c r="D616" s="9">
        <v>0.88641000000000003</v>
      </c>
      <c r="E616" s="8">
        <v>249.25856415006947</v>
      </c>
      <c r="F616" s="8">
        <v>220.9453565074586</v>
      </c>
      <c r="G616" s="80">
        <v>21921</v>
      </c>
      <c r="H616" s="80">
        <v>19431</v>
      </c>
      <c r="I616" s="1">
        <v>4843343.16</v>
      </c>
    </row>
    <row r="617" spans="1:9" x14ac:dyDescent="0.2">
      <c r="A617" s="79" t="s">
        <v>632</v>
      </c>
      <c r="B617" s="79" t="s">
        <v>23</v>
      </c>
      <c r="C617" s="79" t="s">
        <v>11</v>
      </c>
      <c r="D617" s="9">
        <v>0.66464400000000001</v>
      </c>
      <c r="E617" s="8">
        <v>227.21846914258253</v>
      </c>
      <c r="F617" s="8">
        <v>151.01936578911346</v>
      </c>
      <c r="G617" s="80">
        <v>21917</v>
      </c>
      <c r="H617" s="80">
        <v>14567</v>
      </c>
      <c r="I617" s="1">
        <v>3309891.44</v>
      </c>
    </row>
    <row r="618" spans="1:9" x14ac:dyDescent="0.2">
      <c r="A618" s="79" t="s">
        <v>633</v>
      </c>
      <c r="B618" s="79" t="s">
        <v>10</v>
      </c>
      <c r="C618" s="79" t="s">
        <v>11</v>
      </c>
      <c r="D618" s="9">
        <v>0.62339699999999998</v>
      </c>
      <c r="E618" s="8">
        <v>217.69411769011197</v>
      </c>
      <c r="F618" s="8">
        <v>135.70993886024547</v>
      </c>
      <c r="G618" s="80">
        <v>21917</v>
      </c>
      <c r="H618" s="80">
        <v>13663</v>
      </c>
      <c r="I618" s="1">
        <v>2974354.73</v>
      </c>
    </row>
    <row r="619" spans="1:9" x14ac:dyDescent="0.2">
      <c r="A619" s="79" t="s">
        <v>634</v>
      </c>
      <c r="B619" s="79" t="s">
        <v>13</v>
      </c>
      <c r="C619" s="79" t="s">
        <v>11</v>
      </c>
      <c r="D619" s="9">
        <v>0.64516099999999998</v>
      </c>
      <c r="E619" s="8">
        <v>225.80385219236138</v>
      </c>
      <c r="F619" s="8">
        <v>145.67990464023316</v>
      </c>
      <c r="G619" s="80">
        <v>21917</v>
      </c>
      <c r="H619" s="80">
        <v>14140</v>
      </c>
      <c r="I619" s="1">
        <v>3192866.46999999</v>
      </c>
    </row>
    <row r="620" spans="1:9" x14ac:dyDescent="0.2">
      <c r="A620" s="79" t="s">
        <v>635</v>
      </c>
      <c r="B620" s="79" t="s">
        <v>15</v>
      </c>
      <c r="C620" s="79" t="s">
        <v>11</v>
      </c>
      <c r="D620" s="9">
        <v>0.64507000000000003</v>
      </c>
      <c r="E620" s="8">
        <v>213.69155326071581</v>
      </c>
      <c r="F620" s="8">
        <v>137.84601815941963</v>
      </c>
      <c r="G620" s="80">
        <v>21917</v>
      </c>
      <c r="H620" s="80">
        <v>14138</v>
      </c>
      <c r="I620" s="1">
        <v>3021171.18</v>
      </c>
    </row>
    <row r="621" spans="1:9" x14ac:dyDescent="0.2">
      <c r="A621" s="79" t="s">
        <v>636</v>
      </c>
      <c r="B621" s="79" t="s">
        <v>17</v>
      </c>
      <c r="C621" s="79" t="s">
        <v>11</v>
      </c>
      <c r="D621" s="9">
        <v>0.74695400000000001</v>
      </c>
      <c r="E621" s="8">
        <v>226.98494227597519</v>
      </c>
      <c r="F621" s="8">
        <v>169.5474056668335</v>
      </c>
      <c r="G621" s="80">
        <v>21917</v>
      </c>
      <c r="H621" s="80">
        <v>16371</v>
      </c>
      <c r="I621" s="1">
        <v>3715970.48999999</v>
      </c>
    </row>
    <row r="622" spans="1:9" x14ac:dyDescent="0.2">
      <c r="A622" s="79" t="s">
        <v>637</v>
      </c>
      <c r="B622" s="79" t="s">
        <v>19</v>
      </c>
      <c r="C622" s="79" t="s">
        <v>11</v>
      </c>
      <c r="D622" s="9">
        <v>0.77779799999999999</v>
      </c>
      <c r="E622" s="8">
        <v>234.51025224379657</v>
      </c>
      <c r="F622" s="8">
        <v>182.40161837842771</v>
      </c>
      <c r="G622" s="80">
        <v>21917</v>
      </c>
      <c r="H622" s="80">
        <v>17047</v>
      </c>
      <c r="I622" s="1">
        <v>3997696.27</v>
      </c>
    </row>
    <row r="623" spans="1:9" x14ac:dyDescent="0.2">
      <c r="A623" s="79" t="s">
        <v>638</v>
      </c>
      <c r="B623" s="79" t="s">
        <v>21</v>
      </c>
      <c r="C623" s="79" t="s">
        <v>11</v>
      </c>
      <c r="D623" s="9">
        <v>0.81069500000000005</v>
      </c>
      <c r="E623" s="8">
        <v>230.57666422782529</v>
      </c>
      <c r="F623" s="8">
        <v>186.92732445133913</v>
      </c>
      <c r="G623" s="80">
        <v>21917</v>
      </c>
      <c r="H623" s="80">
        <v>17768</v>
      </c>
      <c r="I623" s="1">
        <v>4096886.17</v>
      </c>
    </row>
    <row r="624" spans="1:9" x14ac:dyDescent="0.2">
      <c r="A624" s="79" t="s">
        <v>639</v>
      </c>
      <c r="B624" s="79" t="s">
        <v>23</v>
      </c>
      <c r="C624" s="79" t="s">
        <v>11</v>
      </c>
      <c r="D624" s="9">
        <v>0.66258399999999995</v>
      </c>
      <c r="E624" s="8">
        <v>219.81407753547941</v>
      </c>
      <c r="F624" s="8">
        <v>145.64535342415485</v>
      </c>
      <c r="G624" s="80">
        <v>21801</v>
      </c>
      <c r="H624" s="80">
        <v>14445</v>
      </c>
      <c r="I624" s="1">
        <v>3175214.35</v>
      </c>
    </row>
    <row r="625" spans="1:9" x14ac:dyDescent="0.2">
      <c r="A625" s="79" t="s">
        <v>640</v>
      </c>
      <c r="B625" s="79" t="s">
        <v>10</v>
      </c>
      <c r="C625" s="79" t="s">
        <v>11</v>
      </c>
      <c r="D625" s="9">
        <v>0.67125400000000002</v>
      </c>
      <c r="E625" s="8">
        <v>219.89854243542365</v>
      </c>
      <c r="F625" s="8">
        <v>147.60769093160818</v>
      </c>
      <c r="G625" s="80">
        <v>21801</v>
      </c>
      <c r="H625" s="80">
        <v>14634</v>
      </c>
      <c r="I625" s="1">
        <v>3217995.2699999898</v>
      </c>
    </row>
    <row r="626" spans="1:9" x14ac:dyDescent="0.2">
      <c r="A626" s="79" t="s">
        <v>641</v>
      </c>
      <c r="B626" s="79" t="s">
        <v>13</v>
      </c>
      <c r="C626" s="79" t="s">
        <v>11</v>
      </c>
      <c r="D626" s="9">
        <v>0.75083699999999998</v>
      </c>
      <c r="E626" s="8">
        <v>233.70096523917161</v>
      </c>
      <c r="F626" s="8">
        <v>175.47135911196733</v>
      </c>
      <c r="G626" s="80">
        <v>21801</v>
      </c>
      <c r="H626" s="80">
        <v>16369</v>
      </c>
      <c r="I626" s="1">
        <v>3825451.1</v>
      </c>
    </row>
    <row r="627" spans="1:9" x14ac:dyDescent="0.2">
      <c r="A627" s="79" t="s">
        <v>642</v>
      </c>
      <c r="B627" s="79" t="s">
        <v>15</v>
      </c>
      <c r="C627" s="79" t="s">
        <v>11</v>
      </c>
      <c r="D627" s="9">
        <v>0.81340299999999999</v>
      </c>
      <c r="E627" s="8">
        <v>239.41746235831502</v>
      </c>
      <c r="F627" s="8">
        <v>194.74289528003305</v>
      </c>
      <c r="G627" s="80">
        <v>21801</v>
      </c>
      <c r="H627" s="80">
        <v>17733</v>
      </c>
      <c r="I627" s="1">
        <v>4245589.8600000003</v>
      </c>
    </row>
    <row r="628" spans="1:9" x14ac:dyDescent="0.2">
      <c r="A628" s="79" t="s">
        <v>643</v>
      </c>
      <c r="B628" s="79" t="s">
        <v>17</v>
      </c>
      <c r="C628" s="79" t="s">
        <v>11</v>
      </c>
      <c r="D628" s="9">
        <v>0.85142899999999999</v>
      </c>
      <c r="E628" s="8">
        <v>245.85197715763334</v>
      </c>
      <c r="F628" s="8">
        <v>209.325462134764</v>
      </c>
      <c r="G628" s="80">
        <v>21801</v>
      </c>
      <c r="H628" s="80">
        <v>18562</v>
      </c>
      <c r="I628" s="1">
        <v>4563504.3999999901</v>
      </c>
    </row>
    <row r="629" spans="1:9" x14ac:dyDescent="0.2">
      <c r="A629" s="79" t="s">
        <v>644</v>
      </c>
      <c r="B629" s="79" t="s">
        <v>19</v>
      </c>
      <c r="C629" s="79" t="s">
        <v>11</v>
      </c>
      <c r="D629" s="9">
        <v>0.83560400000000001</v>
      </c>
      <c r="E629" s="8">
        <v>236.51294395345008</v>
      </c>
      <c r="F629" s="8">
        <v>197.63113159946789</v>
      </c>
      <c r="G629" s="80">
        <v>21801</v>
      </c>
      <c r="H629" s="80">
        <v>18217</v>
      </c>
      <c r="I629" s="1">
        <v>4308556.3</v>
      </c>
    </row>
    <row r="630" spans="1:9" x14ac:dyDescent="0.2">
      <c r="A630" s="79" t="s">
        <v>645</v>
      </c>
      <c r="B630" s="79" t="s">
        <v>21</v>
      </c>
      <c r="C630" s="79" t="s">
        <v>11</v>
      </c>
      <c r="D630" s="9">
        <v>0.833677</v>
      </c>
      <c r="E630" s="8">
        <v>231.6014393397524</v>
      </c>
      <c r="F630" s="8">
        <v>193.0808751892115</v>
      </c>
      <c r="G630" s="80">
        <v>21801</v>
      </c>
      <c r="H630" s="80">
        <v>18175</v>
      </c>
      <c r="I630" s="1">
        <v>4209356.16</v>
      </c>
    </row>
    <row r="631" spans="1:9" x14ac:dyDescent="0.2">
      <c r="A631" s="79" t="s">
        <v>646</v>
      </c>
      <c r="B631" s="79" t="s">
        <v>23</v>
      </c>
      <c r="C631" s="79" t="s">
        <v>11</v>
      </c>
      <c r="D631" s="9">
        <v>0.63822800000000002</v>
      </c>
      <c r="E631" s="8">
        <v>223.73982104355326</v>
      </c>
      <c r="F631" s="8">
        <v>142.7969299573414</v>
      </c>
      <c r="G631" s="80">
        <v>21801</v>
      </c>
      <c r="H631" s="80">
        <v>13914</v>
      </c>
      <c r="I631" s="1">
        <v>3113115.87</v>
      </c>
    </row>
    <row r="632" spans="1:9" x14ac:dyDescent="0.2">
      <c r="A632" s="79" t="s">
        <v>647</v>
      </c>
      <c r="B632" s="79" t="s">
        <v>10</v>
      </c>
      <c r="C632" s="79" t="s">
        <v>11</v>
      </c>
      <c r="D632" s="9">
        <v>0.62148499999999995</v>
      </c>
      <c r="E632" s="8">
        <v>220.45997195364973</v>
      </c>
      <c r="F632" s="8">
        <v>137.01262143938351</v>
      </c>
      <c r="G632" s="80">
        <v>21801</v>
      </c>
      <c r="H632" s="80">
        <v>13549</v>
      </c>
      <c r="I632" s="1">
        <v>2987012.16</v>
      </c>
    </row>
    <row r="633" spans="1:9" x14ac:dyDescent="0.2">
      <c r="A633" s="79" t="s">
        <v>648</v>
      </c>
      <c r="B633" s="79" t="s">
        <v>13</v>
      </c>
      <c r="C633" s="79" t="s">
        <v>11</v>
      </c>
      <c r="D633" s="9">
        <v>0.67873000000000006</v>
      </c>
      <c r="E633" s="8">
        <v>212.05661755761304</v>
      </c>
      <c r="F633" s="8">
        <v>143.92925874959863</v>
      </c>
      <c r="G633" s="80">
        <v>21801</v>
      </c>
      <c r="H633" s="80">
        <v>14797</v>
      </c>
      <c r="I633" s="1">
        <v>3137801.77</v>
      </c>
    </row>
    <row r="634" spans="1:9" x14ac:dyDescent="0.2">
      <c r="A634" s="79" t="s">
        <v>649</v>
      </c>
      <c r="B634" s="79" t="s">
        <v>15</v>
      </c>
      <c r="C634" s="79" t="s">
        <v>11</v>
      </c>
      <c r="D634" s="9">
        <v>0.71111400000000002</v>
      </c>
      <c r="E634" s="8">
        <v>206.09890214797136</v>
      </c>
      <c r="F634" s="8">
        <v>146.55984954818587</v>
      </c>
      <c r="G634" s="80">
        <v>21801</v>
      </c>
      <c r="H634" s="80">
        <v>15503</v>
      </c>
      <c r="I634" s="1">
        <v>3195151.28</v>
      </c>
    </row>
    <row r="635" spans="1:9" x14ac:dyDescent="0.2">
      <c r="A635" s="79" t="s">
        <v>650</v>
      </c>
      <c r="B635" s="79" t="s">
        <v>17</v>
      </c>
      <c r="C635" s="79" t="s">
        <v>11</v>
      </c>
      <c r="D635" s="9">
        <v>0.76308399999999998</v>
      </c>
      <c r="E635" s="8">
        <v>225.07286847799952</v>
      </c>
      <c r="F635" s="8">
        <v>171.74956378147792</v>
      </c>
      <c r="G635" s="80">
        <v>21801</v>
      </c>
      <c r="H635" s="80">
        <v>16636</v>
      </c>
      <c r="I635" s="1">
        <v>3744312.24</v>
      </c>
    </row>
    <row r="636" spans="1:9" x14ac:dyDescent="0.2">
      <c r="A636" s="79" t="s">
        <v>651</v>
      </c>
      <c r="B636" s="79" t="s">
        <v>19</v>
      </c>
      <c r="C636" s="79" t="s">
        <v>11</v>
      </c>
      <c r="D636" s="9">
        <v>0.80583499999999997</v>
      </c>
      <c r="E636" s="8">
        <v>231.02092839253189</v>
      </c>
      <c r="F636" s="8">
        <v>186.16465620843081</v>
      </c>
      <c r="G636" s="80">
        <v>21801</v>
      </c>
      <c r="H636" s="80">
        <v>17568</v>
      </c>
      <c r="I636" s="1">
        <v>4058575.67</v>
      </c>
    </row>
    <row r="637" spans="1:9" x14ac:dyDescent="0.2">
      <c r="A637" s="79" t="s">
        <v>652</v>
      </c>
      <c r="B637" s="79" t="s">
        <v>21</v>
      </c>
      <c r="C637" s="79" t="s">
        <v>11</v>
      </c>
      <c r="D637" s="9">
        <v>0.84867700000000001</v>
      </c>
      <c r="E637" s="8">
        <v>233.69963625553993</v>
      </c>
      <c r="F637" s="8">
        <v>198.33542819136736</v>
      </c>
      <c r="G637" s="80">
        <v>21801</v>
      </c>
      <c r="H637" s="80">
        <v>18502</v>
      </c>
      <c r="I637" s="1">
        <v>4323910.67</v>
      </c>
    </row>
    <row r="638" spans="1:9" x14ac:dyDescent="0.2">
      <c r="A638" s="79" t="s">
        <v>653</v>
      </c>
      <c r="B638" s="79" t="s">
        <v>23</v>
      </c>
      <c r="C638" s="79" t="s">
        <v>11</v>
      </c>
      <c r="D638" s="9">
        <v>0.72661799999999999</v>
      </c>
      <c r="E638" s="8">
        <v>227.32995202323085</v>
      </c>
      <c r="F638" s="8">
        <v>165.18204531902205</v>
      </c>
      <c r="G638" s="80">
        <v>21801</v>
      </c>
      <c r="H638" s="80">
        <v>15841</v>
      </c>
      <c r="I638" s="1">
        <v>3601133.77</v>
      </c>
    </row>
    <row r="639" spans="1:9" x14ac:dyDescent="0.2">
      <c r="A639" s="79" t="s">
        <v>654</v>
      </c>
      <c r="B639" s="79" t="s">
        <v>10</v>
      </c>
      <c r="C639" s="79" t="s">
        <v>11</v>
      </c>
      <c r="D639" s="9">
        <v>0.69519699999999995</v>
      </c>
      <c r="E639" s="8">
        <v>240.90228688308193</v>
      </c>
      <c r="F639" s="8">
        <v>167.47465987798677</v>
      </c>
      <c r="G639" s="80">
        <v>21801</v>
      </c>
      <c r="H639" s="80">
        <v>15156</v>
      </c>
      <c r="I639" s="1">
        <v>3651115.0599999898</v>
      </c>
    </row>
    <row r="640" spans="1:9" x14ac:dyDescent="0.2">
      <c r="A640" s="79" t="s">
        <v>655</v>
      </c>
      <c r="B640" s="79" t="s">
        <v>13</v>
      </c>
      <c r="C640" s="79" t="s">
        <v>11</v>
      </c>
      <c r="D640" s="9">
        <v>0.69579400000000002</v>
      </c>
      <c r="E640" s="8">
        <v>239.59319071791151</v>
      </c>
      <c r="F640" s="8">
        <v>166.70744965827254</v>
      </c>
      <c r="G640" s="80">
        <v>21801</v>
      </c>
      <c r="H640" s="80">
        <v>15169</v>
      </c>
      <c r="I640" s="1">
        <v>3634389.11</v>
      </c>
    </row>
    <row r="641" spans="1:9" x14ac:dyDescent="0.2">
      <c r="A641" s="79" t="s">
        <v>656</v>
      </c>
      <c r="B641" s="79" t="s">
        <v>15</v>
      </c>
      <c r="C641" s="79" t="s">
        <v>11</v>
      </c>
      <c r="D641" s="9">
        <v>0.72960000000000003</v>
      </c>
      <c r="E641" s="8">
        <v>235.95933232742362</v>
      </c>
      <c r="F641" s="8">
        <v>172.15582496215771</v>
      </c>
      <c r="G641" s="80">
        <v>21801</v>
      </c>
      <c r="H641" s="80">
        <v>15906</v>
      </c>
      <c r="I641" s="1">
        <v>3753169.14</v>
      </c>
    </row>
    <row r="642" spans="1:9" x14ac:dyDescent="0.2">
      <c r="A642" s="79" t="s">
        <v>657</v>
      </c>
      <c r="B642" s="79" t="s">
        <v>17</v>
      </c>
      <c r="C642" s="79" t="s">
        <v>11</v>
      </c>
      <c r="D642" s="9">
        <v>0.80739399999999995</v>
      </c>
      <c r="E642" s="8">
        <v>250.24260879445461</v>
      </c>
      <c r="F642" s="8">
        <v>202.04441998073438</v>
      </c>
      <c r="G642" s="80">
        <v>21801</v>
      </c>
      <c r="H642" s="80">
        <v>17602</v>
      </c>
      <c r="I642" s="1">
        <v>4404770.3999999901</v>
      </c>
    </row>
    <row r="643" spans="1:9" x14ac:dyDescent="0.2">
      <c r="A643" s="79" t="s">
        <v>658</v>
      </c>
      <c r="B643" s="79" t="s">
        <v>19</v>
      </c>
      <c r="C643" s="79" t="s">
        <v>11</v>
      </c>
      <c r="D643" s="9">
        <v>0.88532599999999995</v>
      </c>
      <c r="E643" s="8">
        <v>261.38186311590073</v>
      </c>
      <c r="F643" s="8">
        <v>231.40825374982799</v>
      </c>
      <c r="G643" s="80">
        <v>21801</v>
      </c>
      <c r="H643" s="80">
        <v>19301</v>
      </c>
      <c r="I643" s="1">
        <v>5044931.34</v>
      </c>
    </row>
    <row r="644" spans="1:9" x14ac:dyDescent="0.2">
      <c r="A644" s="79" t="s">
        <v>659</v>
      </c>
      <c r="B644" s="79" t="s">
        <v>21</v>
      </c>
      <c r="C644" s="79" t="s">
        <v>11</v>
      </c>
      <c r="D644" s="9">
        <v>0.94018599999999997</v>
      </c>
      <c r="E644" s="8">
        <v>268.56121090891349</v>
      </c>
      <c r="F644" s="8">
        <v>252.49755240585293</v>
      </c>
      <c r="G644" s="80">
        <v>21801</v>
      </c>
      <c r="H644" s="80">
        <v>20497</v>
      </c>
      <c r="I644" s="1">
        <v>5504699.1399999997</v>
      </c>
    </row>
    <row r="645" spans="1:9" x14ac:dyDescent="0.2">
      <c r="A645" s="79" t="s">
        <v>660</v>
      </c>
      <c r="B645" s="79" t="s">
        <v>23</v>
      </c>
      <c r="C645" s="79" t="s">
        <v>11</v>
      </c>
      <c r="D645" s="9">
        <v>0.86413499999999999</v>
      </c>
      <c r="E645" s="8">
        <v>282.37713307500348</v>
      </c>
      <c r="F645" s="8">
        <v>244.01187147378516</v>
      </c>
      <c r="G645" s="80">
        <v>21801</v>
      </c>
      <c r="H645" s="80">
        <v>18839</v>
      </c>
      <c r="I645" s="1">
        <v>5319702.8099999903</v>
      </c>
    </row>
    <row r="646" spans="1:9" x14ac:dyDescent="0.2">
      <c r="A646" s="79" t="s">
        <v>661</v>
      </c>
      <c r="B646" s="79" t="s">
        <v>10</v>
      </c>
      <c r="C646" s="79" t="s">
        <v>11</v>
      </c>
      <c r="D646" s="9">
        <v>0.86973100000000003</v>
      </c>
      <c r="E646" s="8">
        <v>292.14594114234484</v>
      </c>
      <c r="F646" s="8">
        <v>254.08830741709099</v>
      </c>
      <c r="G646" s="80">
        <v>21801</v>
      </c>
      <c r="H646" s="80">
        <v>18961</v>
      </c>
      <c r="I646" s="1">
        <v>5539379.1900000004</v>
      </c>
    </row>
    <row r="647" spans="1:9" x14ac:dyDescent="0.2">
      <c r="A647" s="79" t="s">
        <v>662</v>
      </c>
      <c r="B647" s="79" t="s">
        <v>13</v>
      </c>
      <c r="C647" s="79" t="s">
        <v>11</v>
      </c>
      <c r="D647" s="9">
        <v>0.90280300000000002</v>
      </c>
      <c r="E647" s="8">
        <v>298.09719642312768</v>
      </c>
      <c r="F647" s="8">
        <v>269.12293105820834</v>
      </c>
      <c r="G647" s="80">
        <v>21801</v>
      </c>
      <c r="H647" s="80">
        <v>19682</v>
      </c>
      <c r="I647" s="1">
        <v>5867149.0199999996</v>
      </c>
    </row>
    <row r="648" spans="1:9" x14ac:dyDescent="0.2">
      <c r="A648" s="79" t="s">
        <v>663</v>
      </c>
      <c r="B648" s="79" t="s">
        <v>15</v>
      </c>
      <c r="C648" s="79" t="s">
        <v>11</v>
      </c>
      <c r="D648" s="9">
        <v>0.94009399999999999</v>
      </c>
      <c r="E648" s="8">
        <v>302.16071676018538</v>
      </c>
      <c r="F648" s="8">
        <v>284.05962524654831</v>
      </c>
      <c r="G648" s="80">
        <v>21801</v>
      </c>
      <c r="H648" s="80">
        <v>20495</v>
      </c>
      <c r="I648" s="1">
        <v>6192783.8899999997</v>
      </c>
    </row>
    <row r="649" spans="1:9" x14ac:dyDescent="0.2">
      <c r="A649" s="79" t="s">
        <v>664</v>
      </c>
      <c r="B649" s="79" t="s">
        <v>17</v>
      </c>
      <c r="C649" s="79" t="s">
        <v>11</v>
      </c>
      <c r="D649" s="9">
        <v>0.93110400000000004</v>
      </c>
      <c r="E649" s="8">
        <v>294.07338243263166</v>
      </c>
      <c r="F649" s="8">
        <v>273.81292555387319</v>
      </c>
      <c r="G649" s="80">
        <v>21801</v>
      </c>
      <c r="H649" s="80">
        <v>20299</v>
      </c>
      <c r="I649" s="1">
        <v>5969395.5899999896</v>
      </c>
    </row>
    <row r="650" spans="1:9" x14ac:dyDescent="0.2">
      <c r="A650" s="79" t="s">
        <v>665</v>
      </c>
      <c r="B650" s="79" t="s">
        <v>19</v>
      </c>
      <c r="C650" s="79" t="s">
        <v>11</v>
      </c>
      <c r="D650" s="9">
        <v>0.96390100000000001</v>
      </c>
      <c r="E650" s="8">
        <v>302.83093128390601</v>
      </c>
      <c r="F650" s="8">
        <v>291.89895830466492</v>
      </c>
      <c r="G650" s="80">
        <v>21801</v>
      </c>
      <c r="H650" s="80">
        <v>21014</v>
      </c>
      <c r="I650" s="1">
        <v>6363689.1900000004</v>
      </c>
    </row>
    <row r="651" spans="1:9" x14ac:dyDescent="0.2">
      <c r="A651" s="79" t="s">
        <v>666</v>
      </c>
      <c r="B651" s="79" t="s">
        <v>21</v>
      </c>
      <c r="C651" s="79" t="s">
        <v>11</v>
      </c>
      <c r="D651" s="9">
        <v>0.96348800000000001</v>
      </c>
      <c r="E651" s="8">
        <v>300.46844656034233</v>
      </c>
      <c r="F651" s="8">
        <v>289.49771661850332</v>
      </c>
      <c r="G651" s="80">
        <v>21801</v>
      </c>
      <c r="H651" s="80">
        <v>21005</v>
      </c>
      <c r="I651" s="1">
        <v>6311339.7199999904</v>
      </c>
    </row>
    <row r="652" spans="1:9" x14ac:dyDescent="0.2">
      <c r="A652" s="79" t="s">
        <v>667</v>
      </c>
      <c r="B652" s="79" t="s">
        <v>23</v>
      </c>
      <c r="C652" s="79" t="s">
        <v>11</v>
      </c>
      <c r="D652" s="9">
        <v>0.871614</v>
      </c>
      <c r="E652" s="8">
        <v>277.08550730063649</v>
      </c>
      <c r="F652" s="8">
        <v>241.51171180830733</v>
      </c>
      <c r="G652" s="80">
        <v>21451</v>
      </c>
      <c r="H652" s="80">
        <v>18697</v>
      </c>
      <c r="I652" s="1">
        <v>5180667.7300000004</v>
      </c>
    </row>
    <row r="653" spans="1:9" x14ac:dyDescent="0.2">
      <c r="A653" s="79" t="s">
        <v>668</v>
      </c>
      <c r="B653" s="79" t="s">
        <v>10</v>
      </c>
      <c r="C653" s="79" t="s">
        <v>11</v>
      </c>
      <c r="D653" s="9">
        <v>0.73828700000000003</v>
      </c>
      <c r="E653" s="8">
        <v>255.70221885458105</v>
      </c>
      <c r="F653" s="8">
        <v>188.78169036408559</v>
      </c>
      <c r="G653" s="80">
        <v>21451</v>
      </c>
      <c r="H653" s="80">
        <v>15837</v>
      </c>
      <c r="I653" s="1">
        <v>4049556.04</v>
      </c>
    </row>
    <row r="654" spans="1:9" x14ac:dyDescent="0.2">
      <c r="A654" s="79" t="s">
        <v>669</v>
      </c>
      <c r="B654" s="79" t="s">
        <v>13</v>
      </c>
      <c r="C654" s="79" t="s">
        <v>11</v>
      </c>
      <c r="D654" s="9">
        <v>0.75161999999999995</v>
      </c>
      <c r="E654" s="8">
        <v>261.82553743099862</v>
      </c>
      <c r="F654" s="8">
        <v>196.79330287632234</v>
      </c>
      <c r="G654" s="80">
        <v>21451</v>
      </c>
      <c r="H654" s="80">
        <v>16123</v>
      </c>
      <c r="I654" s="1">
        <v>4221413.1399999904</v>
      </c>
    </row>
    <row r="655" spans="1:9" x14ac:dyDescent="0.2">
      <c r="A655" s="79" t="s">
        <v>670</v>
      </c>
      <c r="B655" s="79" t="s">
        <v>15</v>
      </c>
      <c r="C655" s="79" t="s">
        <v>11</v>
      </c>
      <c r="D655" s="9">
        <v>0.83721000000000001</v>
      </c>
      <c r="E655" s="8">
        <v>300.21771256751492</v>
      </c>
      <c r="F655" s="8">
        <v>251.34538716143771</v>
      </c>
      <c r="G655" s="80">
        <v>21451</v>
      </c>
      <c r="H655" s="80">
        <v>17959</v>
      </c>
      <c r="I655" s="1">
        <v>5391609.9000000004</v>
      </c>
    </row>
    <row r="656" spans="1:9" x14ac:dyDescent="0.2">
      <c r="A656" s="79" t="s">
        <v>671</v>
      </c>
      <c r="B656" s="79" t="s">
        <v>17</v>
      </c>
      <c r="C656" s="79" t="s">
        <v>11</v>
      </c>
      <c r="D656" s="9">
        <v>0.94494400000000001</v>
      </c>
      <c r="E656" s="8">
        <v>354.61523778983673</v>
      </c>
      <c r="F656" s="8">
        <v>335.09164467856931</v>
      </c>
      <c r="G656" s="80">
        <v>21451</v>
      </c>
      <c r="H656" s="80">
        <v>20270</v>
      </c>
      <c r="I656" s="1">
        <v>7188050.8699999899</v>
      </c>
    </row>
    <row r="657" spans="1:9" x14ac:dyDescent="0.2">
      <c r="A657" s="79" t="s">
        <v>672</v>
      </c>
      <c r="B657" s="79" t="s">
        <v>19</v>
      </c>
      <c r="C657" s="79" t="s">
        <v>11</v>
      </c>
      <c r="D657" s="9">
        <v>0.95841699999999996</v>
      </c>
      <c r="E657" s="8">
        <v>358.76954521134297</v>
      </c>
      <c r="F657" s="8">
        <v>343.85077991702019</v>
      </c>
      <c r="G657" s="80">
        <v>21451</v>
      </c>
      <c r="H657" s="80">
        <v>20559</v>
      </c>
      <c r="I657" s="1">
        <v>7375943.0800000001</v>
      </c>
    </row>
    <row r="658" spans="1:9" x14ac:dyDescent="0.2">
      <c r="A658" s="79" t="s">
        <v>673</v>
      </c>
      <c r="B658" s="79" t="s">
        <v>21</v>
      </c>
      <c r="C658" s="79" t="s">
        <v>11</v>
      </c>
      <c r="D658" s="9">
        <v>0.87319899999999995</v>
      </c>
      <c r="E658" s="8">
        <v>299.23507073834821</v>
      </c>
      <c r="F658" s="8">
        <v>261.29187963265116</v>
      </c>
      <c r="G658" s="80">
        <v>21451</v>
      </c>
      <c r="H658" s="80">
        <v>18731</v>
      </c>
      <c r="I658" s="1">
        <v>5604972.1100000003</v>
      </c>
    </row>
    <row r="659" spans="1:9" x14ac:dyDescent="0.2">
      <c r="A659" s="79" t="s">
        <v>674</v>
      </c>
      <c r="B659" s="79" t="s">
        <v>23</v>
      </c>
      <c r="C659" s="79" t="s">
        <v>11</v>
      </c>
      <c r="D659" s="9">
        <v>0.59754799999999997</v>
      </c>
      <c r="E659" s="8">
        <v>167.58725542206273</v>
      </c>
      <c r="F659" s="8">
        <v>100.14141252156077</v>
      </c>
      <c r="G659" s="80">
        <v>21451</v>
      </c>
      <c r="H659" s="80">
        <v>12818</v>
      </c>
      <c r="I659" s="1">
        <v>2148133.44</v>
      </c>
    </row>
    <row r="660" spans="1:9" x14ac:dyDescent="0.2">
      <c r="A660" s="79" t="s">
        <v>675</v>
      </c>
      <c r="B660" s="79" t="s">
        <v>10</v>
      </c>
      <c r="C660" s="79" t="s">
        <v>11</v>
      </c>
      <c r="D660" s="9">
        <v>0.60337499999999999</v>
      </c>
      <c r="E660" s="8">
        <v>166.16551381982075</v>
      </c>
      <c r="F660" s="8">
        <v>100.2601391715976</v>
      </c>
      <c r="G660" s="80">
        <v>21451</v>
      </c>
      <c r="H660" s="80">
        <v>12943</v>
      </c>
      <c r="I660" s="1">
        <v>2150680.2453699401</v>
      </c>
    </row>
    <row r="661" spans="1:9" x14ac:dyDescent="0.2">
      <c r="A661" s="79" t="s">
        <v>676</v>
      </c>
      <c r="B661" s="79" t="s">
        <v>13</v>
      </c>
      <c r="C661" s="79" t="s">
        <v>11</v>
      </c>
      <c r="D661" s="9">
        <v>0.63502899999999995</v>
      </c>
      <c r="E661" s="8">
        <v>174.101383394561</v>
      </c>
      <c r="F661" s="8">
        <v>110.55936994082839</v>
      </c>
      <c r="G661" s="80">
        <v>21451</v>
      </c>
      <c r="H661" s="80">
        <v>13622</v>
      </c>
      <c r="I661" s="1">
        <v>2371609.0446007098</v>
      </c>
    </row>
    <row r="662" spans="1:9" x14ac:dyDescent="0.2">
      <c r="A662" s="79" t="s">
        <v>677</v>
      </c>
      <c r="B662" s="79" t="s">
        <v>15</v>
      </c>
      <c r="C662" s="79" t="s">
        <v>11</v>
      </c>
      <c r="D662" s="9">
        <v>0.699268</v>
      </c>
      <c r="E662" s="8">
        <v>181.12953347364069</v>
      </c>
      <c r="F662" s="8">
        <v>126.65810461538437</v>
      </c>
      <c r="G662" s="80">
        <v>21451</v>
      </c>
      <c r="H662" s="80">
        <v>15000</v>
      </c>
      <c r="I662" s="1">
        <v>2716943.0021046102</v>
      </c>
    </row>
    <row r="663" spans="1:9" x14ac:dyDescent="0.2">
      <c r="A663" s="79" t="s">
        <v>678</v>
      </c>
      <c r="B663" s="79" t="s">
        <v>17</v>
      </c>
      <c r="C663" s="79" t="s">
        <v>11</v>
      </c>
      <c r="D663" s="9">
        <v>0.78220100000000004</v>
      </c>
      <c r="E663" s="8">
        <v>200.05123362236009</v>
      </c>
      <c r="F663" s="8">
        <v>156.48033420118315</v>
      </c>
      <c r="G663" s="80">
        <v>21451</v>
      </c>
      <c r="H663" s="80">
        <v>16779</v>
      </c>
      <c r="I663" s="1">
        <v>3356659.6489495798</v>
      </c>
    </row>
    <row r="664" spans="1:9" x14ac:dyDescent="0.2">
      <c r="A664" s="79" t="s">
        <v>679</v>
      </c>
      <c r="B664" s="79" t="s">
        <v>19</v>
      </c>
      <c r="C664" s="79" t="s">
        <v>11</v>
      </c>
      <c r="D664" s="9">
        <v>0.863456</v>
      </c>
      <c r="E664" s="8">
        <v>214.70251486783337</v>
      </c>
      <c r="F664" s="8">
        <v>185.38622816568039</v>
      </c>
      <c r="G664" s="80">
        <v>21451</v>
      </c>
      <c r="H664" s="80">
        <v>18522</v>
      </c>
      <c r="I664" s="1">
        <v>3976719.9803820099</v>
      </c>
    </row>
    <row r="665" spans="1:9" x14ac:dyDescent="0.2">
      <c r="A665" s="79" t="s">
        <v>680</v>
      </c>
      <c r="B665" s="79" t="s">
        <v>21</v>
      </c>
      <c r="C665" s="79" t="s">
        <v>11</v>
      </c>
      <c r="D665" s="9">
        <v>0.87776799999999999</v>
      </c>
      <c r="E665" s="8">
        <v>212.70265192555473</v>
      </c>
      <c r="F665" s="8">
        <v>186.70356781065078</v>
      </c>
      <c r="G665" s="80">
        <v>21451</v>
      </c>
      <c r="H665" s="80">
        <v>18829</v>
      </c>
      <c r="I665" s="1">
        <v>4004978.23310627</v>
      </c>
    </row>
    <row r="666" spans="1:9" x14ac:dyDescent="0.2">
      <c r="A666" s="79" t="s">
        <v>681</v>
      </c>
      <c r="B666" s="79" t="s">
        <v>23</v>
      </c>
      <c r="C666" s="79" t="s">
        <v>11</v>
      </c>
      <c r="D666" s="9">
        <v>0.72327600000000003</v>
      </c>
      <c r="E666" s="8">
        <v>184.44541411537222</v>
      </c>
      <c r="F666" s="8">
        <v>133.40499743601697</v>
      </c>
      <c r="G666" s="80">
        <v>21451</v>
      </c>
      <c r="H666" s="80">
        <v>15515</v>
      </c>
      <c r="I666" s="1">
        <v>2861670.6</v>
      </c>
    </row>
    <row r="667" spans="1:9" x14ac:dyDescent="0.2">
      <c r="A667" s="79" t="s">
        <v>682</v>
      </c>
      <c r="B667" s="79" t="s">
        <v>10</v>
      </c>
      <c r="C667" s="79" t="s">
        <v>11</v>
      </c>
      <c r="D667" s="9">
        <v>0.71488499999999999</v>
      </c>
      <c r="E667" s="8">
        <v>195.79760482556244</v>
      </c>
      <c r="F667" s="8">
        <v>139.9727877488229</v>
      </c>
      <c r="G667" s="80">
        <v>21451</v>
      </c>
      <c r="H667" s="80">
        <v>15335</v>
      </c>
      <c r="I667" s="1">
        <v>3002556.27</v>
      </c>
    </row>
    <row r="668" spans="1:9" x14ac:dyDescent="0.2">
      <c r="A668" s="79" t="s">
        <v>683</v>
      </c>
      <c r="B668" s="79" t="s">
        <v>13</v>
      </c>
      <c r="C668" s="79" t="s">
        <v>11</v>
      </c>
      <c r="D668" s="9">
        <v>0.73269300000000004</v>
      </c>
      <c r="E668" s="8">
        <v>193.20381561366673</v>
      </c>
      <c r="F668" s="8">
        <v>141.55910540301153</v>
      </c>
      <c r="G668" s="80">
        <v>21451</v>
      </c>
      <c r="H668" s="80">
        <v>15717</v>
      </c>
      <c r="I668" s="1">
        <v>3036584.37</v>
      </c>
    </row>
    <row r="669" spans="1:9" x14ac:dyDescent="0.2">
      <c r="A669" s="79" t="s">
        <v>684</v>
      </c>
      <c r="B669" s="79" t="s">
        <v>15</v>
      </c>
      <c r="C669" s="79" t="s">
        <v>11</v>
      </c>
      <c r="D669" s="9">
        <v>0.63554100000000002</v>
      </c>
      <c r="E669" s="8">
        <v>175.71120883151178</v>
      </c>
      <c r="F669" s="8">
        <v>111.67175935853807</v>
      </c>
      <c r="G669" s="80">
        <v>21451</v>
      </c>
      <c r="H669" s="80">
        <v>13633</v>
      </c>
      <c r="I669" s="1">
        <v>2395470.91</v>
      </c>
    </row>
    <row r="670" spans="1:9" x14ac:dyDescent="0.2">
      <c r="A670" s="79" t="s">
        <v>685</v>
      </c>
      <c r="B670" s="79" t="s">
        <v>17</v>
      </c>
      <c r="C670" s="79" t="s">
        <v>11</v>
      </c>
      <c r="D670" s="9">
        <v>0.64006300000000005</v>
      </c>
      <c r="E670" s="8">
        <v>162.82742097596505</v>
      </c>
      <c r="F670" s="8">
        <v>104.21987273320592</v>
      </c>
      <c r="G670" s="80">
        <v>21451</v>
      </c>
      <c r="H670" s="80">
        <v>13730</v>
      </c>
      <c r="I670" s="1">
        <v>2235620.4900000002</v>
      </c>
    </row>
    <row r="671" spans="1:9" x14ac:dyDescent="0.2">
      <c r="A671" s="79" t="s">
        <v>686</v>
      </c>
      <c r="B671" s="79" t="s">
        <v>19</v>
      </c>
      <c r="C671" s="79" t="s">
        <v>11</v>
      </c>
      <c r="D671" s="9">
        <v>0.69451300000000005</v>
      </c>
      <c r="E671" s="8">
        <v>164.3272828567593</v>
      </c>
      <c r="F671" s="8">
        <v>114.12744673907976</v>
      </c>
      <c r="G671" s="80">
        <v>21451</v>
      </c>
      <c r="H671" s="80">
        <v>14898</v>
      </c>
      <c r="I671" s="1">
        <v>2448147.86</v>
      </c>
    </row>
    <row r="672" spans="1:9" x14ac:dyDescent="0.2">
      <c r="A672" s="79" t="s">
        <v>687</v>
      </c>
      <c r="B672" s="79" t="s">
        <v>21</v>
      </c>
      <c r="C672" s="79" t="s">
        <v>11</v>
      </c>
      <c r="D672" s="9">
        <v>0.72775199999999995</v>
      </c>
      <c r="E672" s="8">
        <v>169.69100826340335</v>
      </c>
      <c r="F672" s="8">
        <v>123.49290615822059</v>
      </c>
      <c r="G672" s="80">
        <v>21451</v>
      </c>
      <c r="H672" s="80">
        <v>15611</v>
      </c>
      <c r="I672" s="1">
        <v>2649046.3299999898</v>
      </c>
    </row>
    <row r="673" spans="1:9" x14ac:dyDescent="0.2">
      <c r="A673" s="79" t="s">
        <v>688</v>
      </c>
      <c r="B673" s="79" t="s">
        <v>23</v>
      </c>
      <c r="C673" s="79" t="s">
        <v>11</v>
      </c>
      <c r="D673" s="9">
        <v>0.64943399999999996</v>
      </c>
      <c r="E673" s="8">
        <v>226.23386189074728</v>
      </c>
      <c r="F673" s="8">
        <v>146.92386974966203</v>
      </c>
      <c r="G673" s="80">
        <v>21451</v>
      </c>
      <c r="H673" s="80">
        <v>13931</v>
      </c>
      <c r="I673" s="1">
        <v>3151663.93</v>
      </c>
    </row>
    <row r="674" spans="1:9" x14ac:dyDescent="0.2">
      <c r="A674" s="79" t="s">
        <v>689</v>
      </c>
      <c r="B674" s="79" t="s">
        <v>10</v>
      </c>
      <c r="C674" s="79" t="s">
        <v>11</v>
      </c>
      <c r="D674" s="9">
        <v>0.71800799999999998</v>
      </c>
      <c r="E674" s="8">
        <v>226.87990455784964</v>
      </c>
      <c r="F674" s="8">
        <v>162.90169642440912</v>
      </c>
      <c r="G674" s="80">
        <v>21451</v>
      </c>
      <c r="H674" s="80">
        <v>15402</v>
      </c>
      <c r="I674" s="1">
        <v>3494404.29</v>
      </c>
    </row>
    <row r="675" spans="1:9" x14ac:dyDescent="0.2">
      <c r="A675" s="79" t="s">
        <v>690</v>
      </c>
      <c r="B675" s="79" t="s">
        <v>13</v>
      </c>
      <c r="C675" s="79" t="s">
        <v>11</v>
      </c>
      <c r="D675" s="9">
        <v>0.73045499999999997</v>
      </c>
      <c r="E675" s="8">
        <v>232.11945242197908</v>
      </c>
      <c r="F675" s="8">
        <v>169.55292060976132</v>
      </c>
      <c r="G675" s="80">
        <v>21451</v>
      </c>
      <c r="H675" s="80">
        <v>15669</v>
      </c>
      <c r="I675" s="1">
        <v>3637079.6999999899</v>
      </c>
    </row>
    <row r="676" spans="1:9" x14ac:dyDescent="0.2">
      <c r="A676" s="79" t="s">
        <v>691</v>
      </c>
      <c r="B676" s="79" t="s">
        <v>15</v>
      </c>
      <c r="C676" s="79" t="s">
        <v>11</v>
      </c>
      <c r="D676" s="9">
        <v>0.71469899999999997</v>
      </c>
      <c r="E676" s="8">
        <v>231.98875024460241</v>
      </c>
      <c r="F676" s="8">
        <v>165.80203859959909</v>
      </c>
      <c r="G676" s="80">
        <v>21451</v>
      </c>
      <c r="H676" s="80">
        <v>15331</v>
      </c>
      <c r="I676" s="1">
        <v>3556619.53</v>
      </c>
    </row>
    <row r="677" spans="1:9" x14ac:dyDescent="0.2">
      <c r="A677" s="79" t="s">
        <v>692</v>
      </c>
      <c r="B677" s="79" t="s">
        <v>17</v>
      </c>
      <c r="C677" s="79" t="s">
        <v>11</v>
      </c>
      <c r="D677" s="9">
        <v>0.68770699999999996</v>
      </c>
      <c r="E677" s="8">
        <v>224.2277887744028</v>
      </c>
      <c r="F677" s="8">
        <v>154.20299007039253</v>
      </c>
      <c r="G677" s="80">
        <v>21451</v>
      </c>
      <c r="H677" s="80">
        <v>14752</v>
      </c>
      <c r="I677" s="1">
        <v>3307808.3399999901</v>
      </c>
    </row>
    <row r="678" spans="1:9" x14ac:dyDescent="0.2">
      <c r="A678" s="79" t="s">
        <v>693</v>
      </c>
      <c r="B678" s="79" t="s">
        <v>19</v>
      </c>
      <c r="C678" s="79" t="s">
        <v>11</v>
      </c>
      <c r="D678" s="9">
        <v>0.71768200000000004</v>
      </c>
      <c r="E678" s="8">
        <v>237.03414745047095</v>
      </c>
      <c r="F678" s="8">
        <v>170.1151787795441</v>
      </c>
      <c r="G678" s="80">
        <v>21451</v>
      </c>
      <c r="H678" s="80">
        <v>15395</v>
      </c>
      <c r="I678" s="1">
        <v>3649140.7</v>
      </c>
    </row>
    <row r="679" spans="1:9" x14ac:dyDescent="0.2">
      <c r="A679" s="79" t="s">
        <v>694</v>
      </c>
      <c r="B679" s="79" t="s">
        <v>21</v>
      </c>
      <c r="C679" s="79" t="s">
        <v>11</v>
      </c>
      <c r="D679" s="9">
        <v>0.82112700000000005</v>
      </c>
      <c r="E679" s="8">
        <v>243.70122402634271</v>
      </c>
      <c r="F679" s="8">
        <v>200.10970863829195</v>
      </c>
      <c r="G679" s="80">
        <v>21451</v>
      </c>
      <c r="H679" s="80">
        <v>17614</v>
      </c>
      <c r="I679" s="1">
        <v>4292553.3600000003</v>
      </c>
    </row>
    <row r="680" spans="1:9" x14ac:dyDescent="0.2">
      <c r="A680" s="79" t="s">
        <v>695</v>
      </c>
      <c r="B680" s="79" t="s">
        <v>23</v>
      </c>
      <c r="C680" s="79" t="s">
        <v>11</v>
      </c>
      <c r="D680" s="9">
        <v>0.85921400000000003</v>
      </c>
      <c r="E680" s="8">
        <v>262.28538277901362</v>
      </c>
      <c r="F680" s="8">
        <v>225.35927882150014</v>
      </c>
      <c r="G680" s="80">
        <v>21451</v>
      </c>
      <c r="H680" s="80">
        <v>18431</v>
      </c>
      <c r="I680" s="1">
        <v>4834181.8899999997</v>
      </c>
    </row>
    <row r="681" spans="1:9" x14ac:dyDescent="0.2">
      <c r="A681" s="79" t="s">
        <v>696</v>
      </c>
      <c r="B681" s="79" t="s">
        <v>10</v>
      </c>
      <c r="C681" s="79" t="s">
        <v>11</v>
      </c>
      <c r="D681" s="9">
        <v>0.860286</v>
      </c>
      <c r="E681" s="8">
        <v>260.38392922943535</v>
      </c>
      <c r="F681" s="8">
        <v>224.00470980373876</v>
      </c>
      <c r="G681" s="80">
        <v>21451</v>
      </c>
      <c r="H681" s="80">
        <v>18454</v>
      </c>
      <c r="I681" s="1">
        <v>4805125.03</v>
      </c>
    </row>
    <row r="682" spans="1:9" x14ac:dyDescent="0.2">
      <c r="A682" s="79" t="s">
        <v>697</v>
      </c>
      <c r="B682" s="79" t="s">
        <v>13</v>
      </c>
      <c r="C682" s="79" t="s">
        <v>11</v>
      </c>
      <c r="D682" s="9">
        <v>0.74234299999999998</v>
      </c>
      <c r="E682" s="8">
        <v>249.65100100477204</v>
      </c>
      <c r="F682" s="8">
        <v>185.3266766118125</v>
      </c>
      <c r="G682" s="80">
        <v>21451</v>
      </c>
      <c r="H682" s="80">
        <v>15924</v>
      </c>
      <c r="I682" s="1">
        <v>3975442.5399999898</v>
      </c>
    </row>
    <row r="683" spans="1:9" x14ac:dyDescent="0.2">
      <c r="A683" s="79" t="s">
        <v>698</v>
      </c>
      <c r="B683" s="79" t="s">
        <v>15</v>
      </c>
      <c r="C683" s="79" t="s">
        <v>11</v>
      </c>
      <c r="D683" s="9">
        <v>0.767563</v>
      </c>
      <c r="E683" s="8">
        <v>243.61488065593682</v>
      </c>
      <c r="F683" s="8">
        <v>186.98983776980094</v>
      </c>
      <c r="G683" s="80">
        <v>21451</v>
      </c>
      <c r="H683" s="80">
        <v>16465</v>
      </c>
      <c r="I683" s="1">
        <v>4011119.01</v>
      </c>
    </row>
    <row r="684" spans="1:9" x14ac:dyDescent="0.2">
      <c r="A684" s="79" t="s">
        <v>699</v>
      </c>
      <c r="B684" s="79" t="s">
        <v>17</v>
      </c>
      <c r="C684" s="79" t="s">
        <v>11</v>
      </c>
      <c r="D684" s="9">
        <v>0.80126799999999998</v>
      </c>
      <c r="E684" s="8">
        <v>257.14901093786364</v>
      </c>
      <c r="F684" s="8">
        <v>206.04527527854179</v>
      </c>
      <c r="G684" s="80">
        <v>21451</v>
      </c>
      <c r="H684" s="80">
        <v>17188</v>
      </c>
      <c r="I684" s="1">
        <v>4419877.2</v>
      </c>
    </row>
    <row r="685" spans="1:9" x14ac:dyDescent="0.2">
      <c r="A685" s="79" t="s">
        <v>700</v>
      </c>
      <c r="B685" s="79" t="s">
        <v>19</v>
      </c>
      <c r="C685" s="79" t="s">
        <v>11</v>
      </c>
      <c r="D685" s="9">
        <v>0.80774800000000002</v>
      </c>
      <c r="E685" s="8">
        <v>248.38171351070585</v>
      </c>
      <c r="F685" s="8">
        <v>200.62980513728965</v>
      </c>
      <c r="G685" s="80">
        <v>21451</v>
      </c>
      <c r="H685" s="80">
        <v>17327</v>
      </c>
      <c r="I685" s="1">
        <v>4303709.95</v>
      </c>
    </row>
    <row r="686" spans="1:9" x14ac:dyDescent="0.2">
      <c r="A686" s="79" t="s">
        <v>701</v>
      </c>
      <c r="B686" s="79" t="s">
        <v>21</v>
      </c>
      <c r="C686" s="79" t="s">
        <v>11</v>
      </c>
      <c r="D686" s="9">
        <v>0.84602100000000002</v>
      </c>
      <c r="E686" s="8">
        <v>240.36884670487106</v>
      </c>
      <c r="F686" s="8">
        <v>203.35713160225632</v>
      </c>
      <c r="G686" s="80">
        <v>21451</v>
      </c>
      <c r="H686" s="80">
        <v>18148</v>
      </c>
      <c r="I686" s="1">
        <v>4362213.83</v>
      </c>
    </row>
    <row r="687" spans="1:9" x14ac:dyDescent="0.2">
      <c r="A687" s="79" t="s">
        <v>702</v>
      </c>
      <c r="B687" s="79" t="s">
        <v>23</v>
      </c>
      <c r="C687" s="79" t="s">
        <v>11</v>
      </c>
      <c r="D687" s="9">
        <v>0.70211199999999996</v>
      </c>
      <c r="E687" s="8">
        <v>232.28146803001064</v>
      </c>
      <c r="F687" s="8">
        <v>163.08755722343901</v>
      </c>
      <c r="G687" s="80">
        <v>21451</v>
      </c>
      <c r="H687" s="80">
        <v>15061</v>
      </c>
      <c r="I687" s="1">
        <v>3498391.1899999902</v>
      </c>
    </row>
    <row r="688" spans="1:9" x14ac:dyDescent="0.2">
      <c r="A688" s="79" t="s">
        <v>703</v>
      </c>
      <c r="B688" s="79" t="s">
        <v>10</v>
      </c>
      <c r="C688" s="79" t="s">
        <v>11</v>
      </c>
      <c r="D688" s="9">
        <v>0.70486199999999999</v>
      </c>
      <c r="E688" s="8">
        <v>237.28620965608468</v>
      </c>
      <c r="F688" s="8">
        <v>167.2540902522027</v>
      </c>
      <c r="G688" s="80">
        <v>21451</v>
      </c>
      <c r="H688" s="80">
        <v>15120</v>
      </c>
      <c r="I688" s="1">
        <v>3587767.49</v>
      </c>
    </row>
    <row r="689" spans="1:9" x14ac:dyDescent="0.2">
      <c r="A689" s="79" t="s">
        <v>704</v>
      </c>
      <c r="B689" s="79" t="s">
        <v>13</v>
      </c>
      <c r="C689" s="79" t="s">
        <v>11</v>
      </c>
      <c r="D689" s="9">
        <v>0.73371900000000001</v>
      </c>
      <c r="E689" s="8">
        <v>233.28481224982528</v>
      </c>
      <c r="F689" s="8">
        <v>171.1654309822386</v>
      </c>
      <c r="G689" s="80">
        <v>21451</v>
      </c>
      <c r="H689" s="80">
        <v>15739</v>
      </c>
      <c r="I689" s="1">
        <v>3671669.66</v>
      </c>
    </row>
    <row r="690" spans="1:9" x14ac:dyDescent="0.2">
      <c r="A690" s="79" t="s">
        <v>705</v>
      </c>
      <c r="B690" s="79" t="s">
        <v>15</v>
      </c>
      <c r="C690" s="79" t="s">
        <v>11</v>
      </c>
      <c r="D690" s="9">
        <v>0.70089999999999997</v>
      </c>
      <c r="E690" s="8">
        <v>228.77693182573992</v>
      </c>
      <c r="F690" s="8">
        <v>160.34968859260641</v>
      </c>
      <c r="G690" s="80">
        <v>21451</v>
      </c>
      <c r="H690" s="80">
        <v>15035</v>
      </c>
      <c r="I690" s="1">
        <v>3439661.17</v>
      </c>
    </row>
    <row r="691" spans="1:9" x14ac:dyDescent="0.2">
      <c r="A691" s="79" t="s">
        <v>706</v>
      </c>
      <c r="B691" s="79" t="s">
        <v>17</v>
      </c>
      <c r="C691" s="79" t="s">
        <v>11</v>
      </c>
      <c r="D691" s="9">
        <v>0.70682</v>
      </c>
      <c r="E691" s="8">
        <v>257.00135404300221</v>
      </c>
      <c r="F691" s="8">
        <v>181.65374714465526</v>
      </c>
      <c r="G691" s="80">
        <v>21451</v>
      </c>
      <c r="H691" s="80">
        <v>15162</v>
      </c>
      <c r="I691" s="1">
        <v>3896654.53</v>
      </c>
    </row>
    <row r="692" spans="1:9" x14ac:dyDescent="0.2">
      <c r="A692" s="79" t="s">
        <v>707</v>
      </c>
      <c r="B692" s="79" t="s">
        <v>19</v>
      </c>
      <c r="C692" s="79" t="s">
        <v>11</v>
      </c>
      <c r="D692" s="9">
        <v>0.827654</v>
      </c>
      <c r="E692" s="8">
        <v>248.40632139236229</v>
      </c>
      <c r="F692" s="8">
        <v>205.59441657731574</v>
      </c>
      <c r="G692" s="80">
        <v>21451</v>
      </c>
      <c r="H692" s="80">
        <v>17754</v>
      </c>
      <c r="I692" s="1">
        <v>4410205.83</v>
      </c>
    </row>
    <row r="693" spans="1:9" x14ac:dyDescent="0.2">
      <c r="A693" s="79" t="s">
        <v>708</v>
      </c>
      <c r="B693" s="79" t="s">
        <v>21</v>
      </c>
      <c r="C693" s="79" t="s">
        <v>11</v>
      </c>
      <c r="D693" s="9">
        <v>0.90797600000000001</v>
      </c>
      <c r="E693" s="8">
        <v>258.47303126764854</v>
      </c>
      <c r="F693" s="8">
        <v>234.6873912638101</v>
      </c>
      <c r="G693" s="80">
        <v>21451</v>
      </c>
      <c r="H693" s="80">
        <v>19477</v>
      </c>
      <c r="I693" s="1">
        <v>5034279.2299999902</v>
      </c>
    </row>
    <row r="694" spans="1:9" x14ac:dyDescent="0.2">
      <c r="A694" s="79" t="s">
        <v>709</v>
      </c>
      <c r="B694" s="79" t="s">
        <v>23</v>
      </c>
      <c r="C694" s="79" t="s">
        <v>11</v>
      </c>
      <c r="D694" s="9">
        <v>0.82672100000000004</v>
      </c>
      <c r="E694" s="8">
        <v>255.26452915303938</v>
      </c>
      <c r="F694" s="8">
        <v>211.03263997016458</v>
      </c>
      <c r="G694" s="80">
        <v>21451</v>
      </c>
      <c r="H694" s="80">
        <v>17734</v>
      </c>
      <c r="I694" s="1">
        <v>4526861.16</v>
      </c>
    </row>
    <row r="695" spans="1:9" x14ac:dyDescent="0.2">
      <c r="A695" s="79" t="s">
        <v>710</v>
      </c>
      <c r="B695" s="79" t="s">
        <v>10</v>
      </c>
      <c r="C695" s="79" t="s">
        <v>11</v>
      </c>
      <c r="D695" s="9">
        <v>0.80914600000000003</v>
      </c>
      <c r="E695" s="8">
        <v>257.37837068617847</v>
      </c>
      <c r="F695" s="8">
        <v>208.2567889608876</v>
      </c>
      <c r="G695" s="80">
        <v>21451</v>
      </c>
      <c r="H695" s="80">
        <v>17357</v>
      </c>
      <c r="I695" s="1">
        <v>4467316.38</v>
      </c>
    </row>
    <row r="696" spans="1:9" x14ac:dyDescent="0.2">
      <c r="A696" s="79" t="s">
        <v>711</v>
      </c>
      <c r="B696" s="79" t="s">
        <v>13</v>
      </c>
      <c r="C696" s="79" t="s">
        <v>11</v>
      </c>
      <c r="D696" s="9">
        <v>0.77017400000000003</v>
      </c>
      <c r="E696" s="8">
        <v>258.99029598692573</v>
      </c>
      <c r="F696" s="8">
        <v>199.46756235140552</v>
      </c>
      <c r="G696" s="80">
        <v>21451</v>
      </c>
      <c r="H696" s="80">
        <v>16521</v>
      </c>
      <c r="I696" s="1">
        <v>4278778.68</v>
      </c>
    </row>
    <row r="697" spans="1:9" x14ac:dyDescent="0.2">
      <c r="A697" s="79" t="s">
        <v>712</v>
      </c>
      <c r="B697" s="79" t="s">
        <v>15</v>
      </c>
      <c r="C697" s="79" t="s">
        <v>11</v>
      </c>
      <c r="D697" s="9">
        <v>0.81758399999999998</v>
      </c>
      <c r="E697" s="8">
        <v>257.71309841487056</v>
      </c>
      <c r="F697" s="8">
        <v>210.70217332525291</v>
      </c>
      <c r="G697" s="80">
        <v>21451</v>
      </c>
      <c r="H697" s="80">
        <v>17538</v>
      </c>
      <c r="I697" s="1">
        <v>4519772.32</v>
      </c>
    </row>
    <row r="698" spans="1:9" x14ac:dyDescent="0.2">
      <c r="A698" s="79" t="s">
        <v>713</v>
      </c>
      <c r="B698" s="79" t="s">
        <v>17</v>
      </c>
      <c r="C698" s="79" t="s">
        <v>11</v>
      </c>
      <c r="D698" s="9">
        <v>0.88112400000000002</v>
      </c>
      <c r="E698" s="8">
        <v>259.88259615893338</v>
      </c>
      <c r="F698" s="8">
        <v>228.9889026152627</v>
      </c>
      <c r="G698" s="80">
        <v>21451</v>
      </c>
      <c r="H698" s="80">
        <v>18901</v>
      </c>
      <c r="I698" s="1">
        <v>4912040.95</v>
      </c>
    </row>
    <row r="699" spans="1:9" x14ac:dyDescent="0.2">
      <c r="A699" s="79" t="s">
        <v>714</v>
      </c>
      <c r="B699" s="79" t="s">
        <v>19</v>
      </c>
      <c r="C699" s="79" t="s">
        <v>11</v>
      </c>
      <c r="D699" s="9">
        <v>0.90378099999999995</v>
      </c>
      <c r="E699" s="8">
        <v>257.71920823232011</v>
      </c>
      <c r="F699" s="8">
        <v>232.92164887417789</v>
      </c>
      <c r="G699" s="80">
        <v>21451</v>
      </c>
      <c r="H699" s="80">
        <v>19387</v>
      </c>
      <c r="I699" s="1">
        <v>4996402.2899999898</v>
      </c>
    </row>
    <row r="700" spans="1:9" x14ac:dyDescent="0.2">
      <c r="A700" s="79" t="s">
        <v>715</v>
      </c>
      <c r="B700" s="79" t="s">
        <v>21</v>
      </c>
      <c r="C700" s="79" t="s">
        <v>11</v>
      </c>
      <c r="D700" s="9">
        <v>0.83916800000000003</v>
      </c>
      <c r="E700" s="8">
        <v>237.1713521471024</v>
      </c>
      <c r="F700" s="8">
        <v>199.02668919863831</v>
      </c>
      <c r="G700" s="80">
        <v>21451</v>
      </c>
      <c r="H700" s="80">
        <v>18001</v>
      </c>
      <c r="I700" s="1">
        <v>4269321.5099999905</v>
      </c>
    </row>
    <row r="701" spans="1:9" x14ac:dyDescent="0.2">
      <c r="A701" s="79" t="s">
        <v>716</v>
      </c>
      <c r="B701" s="79" t="s">
        <v>23</v>
      </c>
      <c r="C701" s="79" t="s">
        <v>11</v>
      </c>
      <c r="D701" s="9">
        <v>0.61731400000000003</v>
      </c>
      <c r="E701" s="8">
        <v>250.81989805165307</v>
      </c>
      <c r="F701" s="8">
        <v>154.83460398116591</v>
      </c>
      <c r="G701" s="80">
        <v>21451</v>
      </c>
      <c r="H701" s="80">
        <v>13242</v>
      </c>
      <c r="I701" s="1">
        <v>3321357.0899999901</v>
      </c>
    </row>
    <row r="702" spans="1:9" x14ac:dyDescent="0.2">
      <c r="A702" s="79" t="s">
        <v>717</v>
      </c>
      <c r="B702" s="79" t="s">
        <v>10</v>
      </c>
      <c r="C702" s="79" t="s">
        <v>11</v>
      </c>
      <c r="D702" s="9">
        <v>0.71586399999999994</v>
      </c>
      <c r="E702" s="8">
        <v>251.39750976816882</v>
      </c>
      <c r="F702" s="8">
        <v>179.96644259008906</v>
      </c>
      <c r="G702" s="80">
        <v>21451</v>
      </c>
      <c r="H702" s="80">
        <v>15356</v>
      </c>
      <c r="I702" s="1">
        <v>3860460.16</v>
      </c>
    </row>
    <row r="703" spans="1:9" x14ac:dyDescent="0.2">
      <c r="A703" s="79" t="s">
        <v>718</v>
      </c>
      <c r="B703" s="79" t="s">
        <v>13</v>
      </c>
      <c r="C703" s="79" t="s">
        <v>11</v>
      </c>
      <c r="D703" s="9">
        <v>0.77185199999999998</v>
      </c>
      <c r="E703" s="8">
        <v>256.73272392341607</v>
      </c>
      <c r="F703" s="8">
        <v>198.15969931471727</v>
      </c>
      <c r="G703" s="80">
        <v>21451</v>
      </c>
      <c r="H703" s="80">
        <v>16557</v>
      </c>
      <c r="I703" s="1">
        <v>4250723.71</v>
      </c>
    </row>
    <row r="704" spans="1:9" x14ac:dyDescent="0.2">
      <c r="A704" s="79" t="s">
        <v>719</v>
      </c>
      <c r="B704" s="79" t="s">
        <v>15</v>
      </c>
      <c r="C704" s="79" t="s">
        <v>11</v>
      </c>
      <c r="D704" s="9">
        <v>0.82634799999999997</v>
      </c>
      <c r="E704" s="8">
        <v>261.0590104930605</v>
      </c>
      <c r="F704" s="8">
        <v>215.72570136590323</v>
      </c>
      <c r="G704" s="80">
        <v>21451</v>
      </c>
      <c r="H704" s="80">
        <v>17726</v>
      </c>
      <c r="I704" s="1">
        <v>4627532.0199999902</v>
      </c>
    </row>
    <row r="705" spans="1:9" x14ac:dyDescent="0.2">
      <c r="A705" s="79" t="s">
        <v>720</v>
      </c>
      <c r="B705" s="79" t="s">
        <v>17</v>
      </c>
      <c r="C705" s="79" t="s">
        <v>11</v>
      </c>
      <c r="D705" s="9">
        <v>0.87571699999999997</v>
      </c>
      <c r="E705" s="8">
        <v>270.98835773223317</v>
      </c>
      <c r="F705" s="8">
        <v>237.30904386741875</v>
      </c>
      <c r="G705" s="80">
        <v>21451</v>
      </c>
      <c r="H705" s="80">
        <v>18785</v>
      </c>
      <c r="I705" s="1">
        <v>5090516.3</v>
      </c>
    </row>
    <row r="706" spans="1:9" x14ac:dyDescent="0.2">
      <c r="A706" s="79" t="s">
        <v>721</v>
      </c>
      <c r="B706" s="79" t="s">
        <v>19</v>
      </c>
      <c r="C706" s="79" t="s">
        <v>11</v>
      </c>
      <c r="D706" s="9">
        <v>0.91739300000000001</v>
      </c>
      <c r="E706" s="8">
        <v>281.16941562071241</v>
      </c>
      <c r="F706" s="8">
        <v>257.94288984196538</v>
      </c>
      <c r="G706" s="80">
        <v>21451</v>
      </c>
      <c r="H706" s="80">
        <v>19679</v>
      </c>
      <c r="I706" s="1">
        <v>5533132.9299999997</v>
      </c>
    </row>
    <row r="707" spans="1:9" x14ac:dyDescent="0.2">
      <c r="A707" s="79" t="s">
        <v>722</v>
      </c>
      <c r="B707" s="79" t="s">
        <v>21</v>
      </c>
      <c r="C707" s="79" t="s">
        <v>11</v>
      </c>
      <c r="D707" s="9">
        <v>0.89730100000000002</v>
      </c>
      <c r="E707" s="8">
        <v>277.35127337905237</v>
      </c>
      <c r="F707" s="8">
        <v>248.86752645564309</v>
      </c>
      <c r="G707" s="80">
        <v>21451</v>
      </c>
      <c r="H707" s="80">
        <v>19248</v>
      </c>
      <c r="I707" s="1">
        <v>5338457.3099999996</v>
      </c>
    </row>
    <row r="708" spans="1:9" x14ac:dyDescent="0.2">
      <c r="A708" s="79" t="s">
        <v>723</v>
      </c>
      <c r="B708" s="79" t="s">
        <v>23</v>
      </c>
      <c r="C708" s="79" t="s">
        <v>11</v>
      </c>
      <c r="D708" s="9">
        <v>0.77903100000000003</v>
      </c>
      <c r="E708" s="8">
        <v>255.87718030040034</v>
      </c>
      <c r="F708" s="8">
        <v>199.33632744394154</v>
      </c>
      <c r="G708" s="80">
        <v>21451</v>
      </c>
      <c r="H708" s="80">
        <v>16711</v>
      </c>
      <c r="I708" s="1">
        <v>4275963.5599999903</v>
      </c>
    </row>
    <row r="709" spans="1:9" x14ac:dyDescent="0.2">
      <c r="A709" s="79" t="s">
        <v>724</v>
      </c>
      <c r="B709" s="79" t="s">
        <v>10</v>
      </c>
      <c r="C709" s="79" t="s">
        <v>11</v>
      </c>
      <c r="D709" s="9">
        <v>0.81408800000000003</v>
      </c>
      <c r="E709" s="8">
        <v>259.89446486857929</v>
      </c>
      <c r="F709" s="8">
        <v>211.5769446645844</v>
      </c>
      <c r="G709" s="80">
        <v>21451</v>
      </c>
      <c r="H709" s="80">
        <v>17463</v>
      </c>
      <c r="I709" s="1">
        <v>4538537.04</v>
      </c>
    </row>
    <row r="710" spans="1:9" x14ac:dyDescent="0.2">
      <c r="A710" s="79" t="s">
        <v>725</v>
      </c>
      <c r="B710" s="79" t="s">
        <v>13</v>
      </c>
      <c r="C710" s="79" t="s">
        <v>11</v>
      </c>
      <c r="D710" s="9">
        <v>0.79325000000000001</v>
      </c>
      <c r="E710" s="8">
        <v>256.23110307945467</v>
      </c>
      <c r="F710" s="8">
        <v>203.25525383432009</v>
      </c>
      <c r="G710" s="80">
        <v>21451</v>
      </c>
      <c r="H710" s="80">
        <v>17016</v>
      </c>
      <c r="I710" s="1">
        <v>4360028.45</v>
      </c>
    </row>
    <row r="711" spans="1:9" x14ac:dyDescent="0.2">
      <c r="A711" s="79" t="s">
        <v>726</v>
      </c>
      <c r="B711" s="79" t="s">
        <v>15</v>
      </c>
      <c r="C711" s="79" t="s">
        <v>11</v>
      </c>
      <c r="D711" s="9">
        <v>0.76579200000000003</v>
      </c>
      <c r="E711" s="8">
        <v>250.64742679734582</v>
      </c>
      <c r="F711" s="8">
        <v>191.94374527994032</v>
      </c>
      <c r="G711" s="80">
        <v>21451</v>
      </c>
      <c r="H711" s="80">
        <v>16427</v>
      </c>
      <c r="I711" s="1">
        <v>4117385.28</v>
      </c>
    </row>
    <row r="712" spans="1:9" x14ac:dyDescent="0.2">
      <c r="A712" s="79" t="s">
        <v>727</v>
      </c>
      <c r="B712" s="79" t="s">
        <v>17</v>
      </c>
      <c r="C712" s="79" t="s">
        <v>11</v>
      </c>
      <c r="D712" s="9">
        <v>0.79483499999999996</v>
      </c>
      <c r="E712" s="8">
        <v>245.95524281524928</v>
      </c>
      <c r="F712" s="8">
        <v>195.49377138594937</v>
      </c>
      <c r="G712" s="80">
        <v>21451</v>
      </c>
      <c r="H712" s="80">
        <v>17050</v>
      </c>
      <c r="I712" s="1">
        <v>4193536.89</v>
      </c>
    </row>
    <row r="713" spans="1:9" x14ac:dyDescent="0.2">
      <c r="A713" s="79" t="s">
        <v>728</v>
      </c>
      <c r="B713" s="79" t="s">
        <v>19</v>
      </c>
      <c r="C713" s="79" t="s">
        <v>11</v>
      </c>
      <c r="D713" s="9">
        <v>0.89865300000000004</v>
      </c>
      <c r="E713" s="8">
        <v>258.56275302173577</v>
      </c>
      <c r="F713" s="8">
        <v>232.35812736002987</v>
      </c>
      <c r="G713" s="80">
        <v>21451</v>
      </c>
      <c r="H713" s="80">
        <v>19277</v>
      </c>
      <c r="I713" s="1">
        <v>4984314.1900000004</v>
      </c>
    </row>
    <row r="714" spans="1:9" x14ac:dyDescent="0.2">
      <c r="A714" s="79" t="s">
        <v>729</v>
      </c>
      <c r="B714" s="79" t="s">
        <v>21</v>
      </c>
      <c r="C714" s="79" t="s">
        <v>11</v>
      </c>
      <c r="D714" s="9">
        <v>0.90522599999999998</v>
      </c>
      <c r="E714" s="8">
        <v>263.77608765063292</v>
      </c>
      <c r="F714" s="8">
        <v>238.77693673954548</v>
      </c>
      <c r="G714" s="80">
        <v>21451</v>
      </c>
      <c r="H714" s="80">
        <v>19418</v>
      </c>
      <c r="I714" s="1">
        <v>5122004.0699999901</v>
      </c>
    </row>
    <row r="715" spans="1:9" x14ac:dyDescent="0.2">
      <c r="A715" s="79" t="s">
        <v>730</v>
      </c>
      <c r="B715" s="79" t="s">
        <v>23</v>
      </c>
      <c r="C715" s="79" t="s">
        <v>11</v>
      </c>
      <c r="D715" s="9">
        <v>0.72695900000000002</v>
      </c>
      <c r="E715" s="8">
        <v>239.77865845838141</v>
      </c>
      <c r="F715" s="8">
        <v>174.30928161857256</v>
      </c>
      <c r="G715" s="80">
        <v>21451</v>
      </c>
      <c r="H715" s="80">
        <v>15594</v>
      </c>
      <c r="I715" s="1">
        <v>3739108.4</v>
      </c>
    </row>
    <row r="716" spans="1:9" x14ac:dyDescent="0.2">
      <c r="A716" s="79" t="s">
        <v>731</v>
      </c>
      <c r="B716" s="79" t="s">
        <v>10</v>
      </c>
      <c r="C716" s="79" t="s">
        <v>11</v>
      </c>
      <c r="D716" s="9">
        <v>0.65581999999999996</v>
      </c>
      <c r="E716" s="8">
        <v>231.58130366789877</v>
      </c>
      <c r="F716" s="8">
        <v>151.87570649386973</v>
      </c>
      <c r="G716" s="80">
        <v>21451</v>
      </c>
      <c r="H716" s="80">
        <v>14068</v>
      </c>
      <c r="I716" s="1">
        <v>3257885.78</v>
      </c>
    </row>
    <row r="717" spans="1:9" x14ac:dyDescent="0.2">
      <c r="A717" s="79" t="s">
        <v>732</v>
      </c>
      <c r="B717" s="79" t="s">
        <v>13</v>
      </c>
      <c r="C717" s="79" t="s">
        <v>11</v>
      </c>
      <c r="D717" s="9">
        <v>0.60817699999999997</v>
      </c>
      <c r="E717" s="8">
        <v>234.60467652920434</v>
      </c>
      <c r="F717" s="8">
        <v>142.6811155657079</v>
      </c>
      <c r="G717" s="80">
        <v>21451</v>
      </c>
      <c r="H717" s="80">
        <v>13046</v>
      </c>
      <c r="I717" s="1">
        <v>3060652.61</v>
      </c>
    </row>
    <row r="718" spans="1:9" x14ac:dyDescent="0.2">
      <c r="A718" s="79" t="s">
        <v>733</v>
      </c>
      <c r="B718" s="79" t="s">
        <v>15</v>
      </c>
      <c r="C718" s="79" t="s">
        <v>11</v>
      </c>
      <c r="D718" s="9">
        <v>0.59628899999999996</v>
      </c>
      <c r="E718" s="8">
        <v>227.42831131264168</v>
      </c>
      <c r="F718" s="8">
        <v>135.6130497412708</v>
      </c>
      <c r="G718" s="80">
        <v>21451</v>
      </c>
      <c r="H718" s="80">
        <v>12791</v>
      </c>
      <c r="I718" s="1">
        <v>2909035.53</v>
      </c>
    </row>
    <row r="719" spans="1:9" x14ac:dyDescent="0.2">
      <c r="A719" s="79" t="s">
        <v>734</v>
      </c>
      <c r="B719" s="79" t="s">
        <v>17</v>
      </c>
      <c r="C719" s="79" t="s">
        <v>11</v>
      </c>
      <c r="D719" s="9">
        <v>0.62929500000000005</v>
      </c>
      <c r="E719" s="8">
        <v>231.29849396251575</v>
      </c>
      <c r="F719" s="8">
        <v>145.55490979441518</v>
      </c>
      <c r="G719" s="80">
        <v>21451</v>
      </c>
      <c r="H719" s="80">
        <v>13499</v>
      </c>
      <c r="I719" s="1">
        <v>3122298.37</v>
      </c>
    </row>
    <row r="720" spans="1:9" x14ac:dyDescent="0.2">
      <c r="A720" s="79" t="s">
        <v>735</v>
      </c>
      <c r="B720" s="79" t="s">
        <v>19</v>
      </c>
      <c r="C720" s="79" t="s">
        <v>11</v>
      </c>
      <c r="D720" s="9">
        <v>0.77049999999999996</v>
      </c>
      <c r="E720" s="8">
        <v>247.57300338818973</v>
      </c>
      <c r="F720" s="8">
        <v>190.75505104657125</v>
      </c>
      <c r="G720" s="80">
        <v>21451</v>
      </c>
      <c r="H720" s="80">
        <v>16528</v>
      </c>
      <c r="I720" s="1">
        <v>4091886.6</v>
      </c>
    </row>
    <row r="721" spans="1:9" x14ac:dyDescent="0.2">
      <c r="A721" s="79" t="s">
        <v>736</v>
      </c>
      <c r="B721" s="79" t="s">
        <v>21</v>
      </c>
      <c r="C721" s="79" t="s">
        <v>11</v>
      </c>
      <c r="D721" s="9">
        <v>0.84094000000000002</v>
      </c>
      <c r="E721" s="8">
        <v>262.8463822828316</v>
      </c>
      <c r="F721" s="8">
        <v>221.0379884387674</v>
      </c>
      <c r="G721" s="80">
        <v>21451</v>
      </c>
      <c r="H721" s="80">
        <v>18039</v>
      </c>
      <c r="I721" s="1">
        <v>4741485.8899999997</v>
      </c>
    </row>
    <row r="722" spans="1:9" x14ac:dyDescent="0.2">
      <c r="A722" s="79" t="s">
        <v>737</v>
      </c>
      <c r="B722" s="79" t="s">
        <v>23</v>
      </c>
      <c r="C722" s="79" t="s">
        <v>11</v>
      </c>
      <c r="D722" s="9">
        <v>0.76462600000000003</v>
      </c>
      <c r="E722" s="8">
        <v>264.85913973905622</v>
      </c>
      <c r="F722" s="8">
        <v>202.51827933429678</v>
      </c>
      <c r="G722" s="80">
        <v>21451</v>
      </c>
      <c r="H722" s="80">
        <v>16402</v>
      </c>
      <c r="I722" s="1">
        <v>4344219.6100000003</v>
      </c>
    </row>
    <row r="723" spans="1:9" x14ac:dyDescent="0.2">
      <c r="A723" s="79" t="s">
        <v>738</v>
      </c>
      <c r="B723" s="79" t="s">
        <v>10</v>
      </c>
      <c r="C723" s="79" t="s">
        <v>11</v>
      </c>
      <c r="D723" s="9">
        <v>0.70416299999999998</v>
      </c>
      <c r="E723" s="8">
        <v>262.68812048990401</v>
      </c>
      <c r="F723" s="8">
        <v>184.97524870635402</v>
      </c>
      <c r="G723" s="80">
        <v>21451</v>
      </c>
      <c r="H723" s="80">
        <v>15105</v>
      </c>
      <c r="I723" s="1">
        <v>3967904.06</v>
      </c>
    </row>
    <row r="724" spans="1:9" x14ac:dyDescent="0.2">
      <c r="A724" s="79" t="s">
        <v>739</v>
      </c>
      <c r="B724" s="79" t="s">
        <v>13</v>
      </c>
      <c r="C724" s="79" t="s">
        <v>11</v>
      </c>
      <c r="D724" s="9">
        <v>0.615869</v>
      </c>
      <c r="E724" s="8">
        <v>247.93889031867386</v>
      </c>
      <c r="F724" s="8">
        <v>152.6978080275978</v>
      </c>
      <c r="G724" s="80">
        <v>21451</v>
      </c>
      <c r="H724" s="80">
        <v>13211</v>
      </c>
      <c r="I724" s="1">
        <v>3275520.68</v>
      </c>
    </row>
    <row r="725" spans="1:9" x14ac:dyDescent="0.2">
      <c r="A725" s="79" t="s">
        <v>740</v>
      </c>
      <c r="B725" s="79" t="s">
        <v>15</v>
      </c>
      <c r="C725" s="79" t="s">
        <v>11</v>
      </c>
      <c r="D725" s="9">
        <v>0.63544800000000001</v>
      </c>
      <c r="E725" s="8">
        <v>250.17095370845865</v>
      </c>
      <c r="F725" s="8">
        <v>158.97068994452474</v>
      </c>
      <c r="G725" s="80">
        <v>21451</v>
      </c>
      <c r="H725" s="80">
        <v>13631</v>
      </c>
      <c r="I725" s="1">
        <v>3410080.27</v>
      </c>
    </row>
    <row r="726" spans="1:9" x14ac:dyDescent="0.2">
      <c r="A726" s="79" t="s">
        <v>741</v>
      </c>
      <c r="B726" s="79" t="s">
        <v>17</v>
      </c>
      <c r="C726" s="79" t="s">
        <v>11</v>
      </c>
      <c r="D726" s="9">
        <v>0.73674899999999999</v>
      </c>
      <c r="E726" s="8">
        <v>261.52693178941979</v>
      </c>
      <c r="F726" s="8">
        <v>192.67967134399282</v>
      </c>
      <c r="G726" s="80">
        <v>21451</v>
      </c>
      <c r="H726" s="80">
        <v>15804</v>
      </c>
      <c r="I726" s="1">
        <v>4133171.6299999901</v>
      </c>
    </row>
    <row r="727" spans="1:9" x14ac:dyDescent="0.2">
      <c r="A727" s="79" t="s">
        <v>742</v>
      </c>
      <c r="B727" s="79" t="s">
        <v>19</v>
      </c>
      <c r="C727" s="79" t="s">
        <v>11</v>
      </c>
      <c r="D727" s="9">
        <v>0.83968100000000001</v>
      </c>
      <c r="E727" s="8">
        <v>280.77313513213358</v>
      </c>
      <c r="F727" s="8">
        <v>235.75990443335928</v>
      </c>
      <c r="G727" s="80">
        <v>21451</v>
      </c>
      <c r="H727" s="80">
        <v>18012</v>
      </c>
      <c r="I727" s="1">
        <v>5057285.7099999897</v>
      </c>
    </row>
    <row r="728" spans="1:9" x14ac:dyDescent="0.2">
      <c r="A728" s="79" t="s">
        <v>743</v>
      </c>
      <c r="B728" s="79" t="s">
        <v>21</v>
      </c>
      <c r="C728" s="79" t="s">
        <v>11</v>
      </c>
      <c r="D728" s="9">
        <v>0.90023799999999998</v>
      </c>
      <c r="E728" s="8">
        <v>293.00571125265395</v>
      </c>
      <c r="F728" s="8">
        <v>263.7748025733066</v>
      </c>
      <c r="G728" s="80">
        <v>21451</v>
      </c>
      <c r="H728" s="80">
        <v>19311</v>
      </c>
      <c r="I728" s="1">
        <v>5658233.29</v>
      </c>
    </row>
    <row r="729" spans="1:9" x14ac:dyDescent="0.2">
      <c r="A729" s="79" t="s">
        <v>744</v>
      </c>
      <c r="B729" s="79" t="s">
        <v>23</v>
      </c>
      <c r="C729" s="79" t="s">
        <v>11</v>
      </c>
      <c r="D729" s="9">
        <v>0.87040200000000001</v>
      </c>
      <c r="E729" s="8">
        <v>292.53680895506398</v>
      </c>
      <c r="F729" s="8">
        <v>254.6247149317048</v>
      </c>
      <c r="G729" s="80">
        <v>21451</v>
      </c>
      <c r="H729" s="80">
        <v>18671</v>
      </c>
      <c r="I729" s="1">
        <v>5461954.7599999998</v>
      </c>
    </row>
    <row r="730" spans="1:9" x14ac:dyDescent="0.2">
      <c r="A730" s="79" t="s">
        <v>745</v>
      </c>
      <c r="B730" s="79" t="s">
        <v>10</v>
      </c>
      <c r="C730" s="79" t="s">
        <v>11</v>
      </c>
      <c r="D730" s="9">
        <v>0.85473900000000003</v>
      </c>
      <c r="E730" s="8">
        <v>292.21075920370873</v>
      </c>
      <c r="F730" s="8">
        <v>249.76384644072536</v>
      </c>
      <c r="G730" s="80">
        <v>21451</v>
      </c>
      <c r="H730" s="80">
        <v>18335</v>
      </c>
      <c r="I730" s="1">
        <v>5357684.2699999996</v>
      </c>
    </row>
    <row r="731" spans="1:9" x14ac:dyDescent="0.2">
      <c r="A731" s="79" t="s">
        <v>746</v>
      </c>
      <c r="B731" s="79" t="s">
        <v>13</v>
      </c>
      <c r="C731" s="79" t="s">
        <v>11</v>
      </c>
      <c r="D731" s="9">
        <v>0.80369199999999996</v>
      </c>
      <c r="E731" s="8">
        <v>289.59585092807424</v>
      </c>
      <c r="F731" s="8">
        <v>232.74590788308237</v>
      </c>
      <c r="G731" s="80">
        <v>21451</v>
      </c>
      <c r="H731" s="80">
        <v>17240</v>
      </c>
      <c r="I731" s="1">
        <v>4992632.47</v>
      </c>
    </row>
    <row r="732" spans="1:9" x14ac:dyDescent="0.2">
      <c r="A732" s="79" t="s">
        <v>747</v>
      </c>
      <c r="B732" s="79" t="s">
        <v>15</v>
      </c>
      <c r="C732" s="79" t="s">
        <v>11</v>
      </c>
      <c r="D732" s="9">
        <v>0.88000599999999995</v>
      </c>
      <c r="E732" s="8">
        <v>299.9569894580701</v>
      </c>
      <c r="F732" s="8">
        <v>263.96382872593301</v>
      </c>
      <c r="G732" s="80">
        <v>21451</v>
      </c>
      <c r="H732" s="80">
        <v>18877</v>
      </c>
      <c r="I732" s="1">
        <v>5662288.0899999896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9DA0-FFA4-CA4C-A3BE-3FC83B9FBE63}">
  <sheetPr>
    <tabColor rgb="FF00B050"/>
  </sheetPr>
  <dimension ref="A1:L19"/>
  <sheetViews>
    <sheetView tabSelected="1" zoomScale="190" zoomScaleNormal="190" workbookViewId="0">
      <selection activeCell="B13" sqref="B13"/>
    </sheetView>
  </sheetViews>
  <sheetFormatPr baseColWidth="10" defaultColWidth="8.83203125" defaultRowHeight="15" x14ac:dyDescent="0.2"/>
  <cols>
    <col min="1" max="1" width="36.6640625" style="104" customWidth="1"/>
    <col min="2" max="2" width="18" style="104" bestFit="1" customWidth="1"/>
    <col min="3" max="3" width="14.83203125" style="104" bestFit="1" customWidth="1"/>
    <col min="4" max="4" width="14.6640625" style="104" bestFit="1" customWidth="1"/>
    <col min="5" max="5" width="8.83203125" style="104"/>
    <col min="6" max="6" width="37.33203125" style="104" customWidth="1"/>
    <col min="7" max="10" width="8.83203125" style="104"/>
    <col min="11" max="12" width="16.83203125" style="104" bestFit="1" customWidth="1"/>
    <col min="13" max="16384" width="8.83203125" style="104"/>
  </cols>
  <sheetData>
    <row r="1" spans="1:12" ht="16" x14ac:dyDescent="0.25">
      <c r="A1" s="107" t="s">
        <v>883</v>
      </c>
      <c r="B1" s="108" t="s">
        <v>867</v>
      </c>
      <c r="C1" s="108" t="s">
        <v>868</v>
      </c>
      <c r="D1" s="109"/>
      <c r="E1" s="109"/>
      <c r="F1" s="110" t="s">
        <v>869</v>
      </c>
    </row>
    <row r="2" spans="1:12" ht="16" x14ac:dyDescent="0.25">
      <c r="A2" s="111" t="s">
        <v>870</v>
      </c>
      <c r="B2" s="112">
        <f>24.7/26.5</f>
        <v>0.93207547169811322</v>
      </c>
      <c r="C2" s="113">
        <v>1.9</v>
      </c>
      <c r="D2" s="113"/>
      <c r="E2" s="113"/>
      <c r="F2" s="114" t="s">
        <v>871</v>
      </c>
    </row>
    <row r="3" spans="1:12" ht="16" x14ac:dyDescent="0.25">
      <c r="A3" s="111" t="s">
        <v>872</v>
      </c>
      <c r="B3" s="115">
        <f>1-B2</f>
        <v>6.7924528301886777E-2</v>
      </c>
      <c r="C3" s="113">
        <v>5.9</v>
      </c>
      <c r="D3" s="113"/>
      <c r="E3" s="113"/>
      <c r="F3" s="114" t="s">
        <v>873</v>
      </c>
    </row>
    <row r="4" spans="1:12" ht="16" x14ac:dyDescent="0.25">
      <c r="A4" s="111"/>
      <c r="B4" s="113"/>
      <c r="C4" s="113"/>
      <c r="D4" s="113"/>
      <c r="E4" s="113"/>
      <c r="F4" s="116" t="s">
        <v>874</v>
      </c>
      <c r="K4" s="117"/>
    </row>
    <row r="5" spans="1:12" ht="16" x14ac:dyDescent="0.25">
      <c r="A5" s="111" t="s">
        <v>875</v>
      </c>
      <c r="B5" s="118">
        <f>+B2*C2</f>
        <v>1.7709433962264149</v>
      </c>
      <c r="C5" s="113"/>
      <c r="D5" s="113"/>
      <c r="E5" s="113"/>
      <c r="F5" s="119"/>
      <c r="K5" s="117"/>
      <c r="L5" s="117"/>
    </row>
    <row r="6" spans="1:12" ht="16" x14ac:dyDescent="0.25">
      <c r="A6" s="111" t="s">
        <v>876</v>
      </c>
      <c r="B6" s="118">
        <f>+B3*C3</f>
        <v>0.40075471698113202</v>
      </c>
      <c r="C6" s="113"/>
      <c r="D6" s="113"/>
      <c r="E6" s="113"/>
      <c r="F6" s="119"/>
    </row>
    <row r="7" spans="1:12" ht="16" x14ac:dyDescent="0.25">
      <c r="A7" s="111" t="s">
        <v>884</v>
      </c>
      <c r="B7" s="118">
        <f>SUM(B5:B6)</f>
        <v>2.171698113207547</v>
      </c>
      <c r="C7" s="113"/>
      <c r="D7" s="113"/>
      <c r="E7" s="113"/>
      <c r="F7" s="119"/>
    </row>
    <row r="8" spans="1:12" ht="17" thickBot="1" x14ac:dyDescent="0.3">
      <c r="A8" s="111" t="s">
        <v>885</v>
      </c>
      <c r="B8" s="118">
        <f>+B7+1</f>
        <v>3.171698113207547</v>
      </c>
      <c r="C8" s="113"/>
      <c r="D8" s="113"/>
      <c r="E8" s="113"/>
      <c r="F8" s="119"/>
    </row>
    <row r="9" spans="1:12" ht="17" thickBot="1" x14ac:dyDescent="0.3">
      <c r="A9" s="111"/>
      <c r="B9" s="113"/>
      <c r="D9" s="120" t="s">
        <v>886</v>
      </c>
      <c r="E9" s="113"/>
      <c r="F9" s="119"/>
    </row>
    <row r="10" spans="1:12" ht="17" thickBot="1" x14ac:dyDescent="0.3">
      <c r="A10" s="111" t="s">
        <v>878</v>
      </c>
      <c r="B10" s="121">
        <v>6832000000</v>
      </c>
      <c r="D10" s="122">
        <f>B10/365</f>
        <v>18717808.219178081</v>
      </c>
      <c r="E10" s="113"/>
      <c r="F10" s="119"/>
    </row>
    <row r="11" spans="1:12" ht="16" x14ac:dyDescent="0.25">
      <c r="A11" s="111" t="s">
        <v>879</v>
      </c>
      <c r="B11" s="123">
        <f>+B10/B7</f>
        <v>3145925282.3631625</v>
      </c>
      <c r="C11" s="113"/>
      <c r="D11" s="113"/>
      <c r="E11" s="113"/>
      <c r="F11" s="119"/>
    </row>
    <row r="12" spans="1:12" ht="16" x14ac:dyDescent="0.25">
      <c r="A12" s="111" t="s">
        <v>881</v>
      </c>
      <c r="B12" s="123">
        <f>+B11*B8</f>
        <v>9977925282.363163</v>
      </c>
      <c r="C12" s="113"/>
      <c r="D12" s="113"/>
      <c r="E12" s="113"/>
      <c r="F12" s="119"/>
    </row>
    <row r="13" spans="1:12" ht="17" thickBot="1" x14ac:dyDescent="0.3">
      <c r="A13" s="124" t="s">
        <v>880</v>
      </c>
      <c r="B13" s="125">
        <f>+B12-B10</f>
        <v>3145925282.363163</v>
      </c>
      <c r="C13" s="126"/>
      <c r="D13" s="126"/>
      <c r="E13" s="126"/>
      <c r="F13" s="127"/>
    </row>
    <row r="14" spans="1:12" ht="16" x14ac:dyDescent="0.25">
      <c r="A14" s="113"/>
      <c r="B14" s="113"/>
      <c r="C14" s="113"/>
      <c r="D14" s="113"/>
      <c r="E14" s="113"/>
      <c r="F14" s="113"/>
    </row>
    <row r="15" spans="1:12" ht="16" x14ac:dyDescent="0.25">
      <c r="A15" s="113"/>
      <c r="B15" s="113"/>
      <c r="C15" s="113"/>
      <c r="D15" s="113"/>
      <c r="E15" s="113"/>
      <c r="F15" s="113"/>
    </row>
    <row r="16" spans="1:12" ht="16" x14ac:dyDescent="0.25">
      <c r="A16" s="113"/>
      <c r="B16" s="113"/>
      <c r="C16" s="113"/>
      <c r="D16" s="113"/>
      <c r="E16" s="113"/>
      <c r="F16" s="113"/>
    </row>
    <row r="17" spans="1:6" ht="16" x14ac:dyDescent="0.25">
      <c r="A17" s="113"/>
      <c r="B17" s="113"/>
      <c r="C17" s="113"/>
      <c r="D17" s="113"/>
      <c r="E17" s="113"/>
      <c r="F17" s="113"/>
    </row>
    <row r="18" spans="1:6" ht="16" x14ac:dyDescent="0.25">
      <c r="A18" s="113"/>
      <c r="B18" s="113"/>
      <c r="C18" s="113"/>
      <c r="D18" s="113"/>
      <c r="E18" s="113"/>
      <c r="F18" s="113"/>
    </row>
    <row r="19" spans="1:6" ht="16" x14ac:dyDescent="0.25">
      <c r="A19" s="113"/>
      <c r="B19" s="113"/>
      <c r="C19" s="113"/>
      <c r="D19" s="113"/>
      <c r="E19" s="113"/>
      <c r="F19" s="1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14B3-F575-744C-A910-3F365C0C6693}">
  <dimension ref="A1:G916"/>
  <sheetViews>
    <sheetView zoomScale="130" zoomScaleNormal="130" workbookViewId="0">
      <selection activeCell="I554" sqref="I554"/>
    </sheetView>
  </sheetViews>
  <sheetFormatPr baseColWidth="10" defaultColWidth="11.5" defaultRowHeight="15" x14ac:dyDescent="0.2"/>
  <cols>
    <col min="1" max="1" width="34.6640625" customWidth="1"/>
    <col min="2" max="2" width="22" customWidth="1"/>
    <col min="3" max="4" width="12" customWidth="1"/>
    <col min="7" max="7" width="20.83203125" customWidth="1"/>
  </cols>
  <sheetData>
    <row r="1" spans="1:7" x14ac:dyDescent="0.2">
      <c r="D1" s="3" t="s">
        <v>748</v>
      </c>
      <c r="E1" s="3" t="s">
        <v>748</v>
      </c>
      <c r="F1" s="3" t="s">
        <v>748</v>
      </c>
      <c r="G1" s="3" t="s">
        <v>749</v>
      </c>
    </row>
    <row r="2" spans="1:7" s="6" customFormat="1" x14ac:dyDescent="0.2">
      <c r="A2" s="5" t="s">
        <v>750</v>
      </c>
      <c r="B2" s="5" t="s">
        <v>1</v>
      </c>
      <c r="C2" s="5" t="s">
        <v>2</v>
      </c>
      <c r="D2" s="7" t="s">
        <v>3</v>
      </c>
      <c r="E2" s="7" t="s">
        <v>4</v>
      </c>
      <c r="F2" s="7" t="s">
        <v>5</v>
      </c>
      <c r="G2" s="5" t="s">
        <v>751</v>
      </c>
    </row>
    <row r="3" spans="1:7" hidden="1" x14ac:dyDescent="0.2">
      <c r="A3" s="2">
        <v>45474</v>
      </c>
      <c r="B3" s="79" t="s">
        <v>10</v>
      </c>
      <c r="C3" s="79" t="s">
        <v>11</v>
      </c>
      <c r="D3" s="9">
        <v>0.65073700000000001</v>
      </c>
      <c r="E3" s="8">
        <v>218.05493582032878</v>
      </c>
      <c r="F3" s="8"/>
      <c r="G3">
        <v>25</v>
      </c>
    </row>
    <row r="4" spans="1:7" hidden="1" x14ac:dyDescent="0.2">
      <c r="A4" s="2">
        <v>45475</v>
      </c>
      <c r="B4" s="79" t="s">
        <v>13</v>
      </c>
      <c r="C4" s="79" t="s">
        <v>11</v>
      </c>
      <c r="D4" s="9">
        <v>0.653613</v>
      </c>
      <c r="E4" s="8">
        <v>218.59128212233693</v>
      </c>
      <c r="F4" s="8"/>
      <c r="G4">
        <v>0</v>
      </c>
    </row>
    <row r="5" spans="1:7" hidden="1" x14ac:dyDescent="0.2">
      <c r="A5" s="2">
        <v>45476</v>
      </c>
      <c r="B5" s="79" t="s">
        <v>15</v>
      </c>
      <c r="C5" s="79" t="s">
        <v>11</v>
      </c>
      <c r="D5" s="9">
        <v>0.74106499999999997</v>
      </c>
      <c r="E5" s="8">
        <v>223.10035230358918</v>
      </c>
      <c r="F5" s="8"/>
      <c r="G5">
        <v>0</v>
      </c>
    </row>
    <row r="6" spans="1:7" hidden="1" x14ac:dyDescent="0.2">
      <c r="A6" s="2">
        <v>45477</v>
      </c>
      <c r="B6" s="79" t="s">
        <v>17</v>
      </c>
      <c r="C6" s="79" t="s">
        <v>11</v>
      </c>
      <c r="D6" s="9">
        <v>0.86873</v>
      </c>
      <c r="E6" s="8">
        <v>233.43212998421484</v>
      </c>
      <c r="F6" s="8"/>
      <c r="G6">
        <v>0</v>
      </c>
    </row>
    <row r="7" spans="1:7" hidden="1" x14ac:dyDescent="0.2">
      <c r="A7" s="2">
        <v>45478</v>
      </c>
      <c r="B7" s="79" t="s">
        <v>19</v>
      </c>
      <c r="C7" s="79" t="s">
        <v>11</v>
      </c>
      <c r="D7" s="9">
        <v>0.862842</v>
      </c>
      <c r="E7" s="8">
        <v>229.97727994189043</v>
      </c>
      <c r="F7" s="8"/>
      <c r="G7">
        <v>0</v>
      </c>
    </row>
    <row r="8" spans="1:7" hidden="1" x14ac:dyDescent="0.2">
      <c r="A8" s="2">
        <v>45479</v>
      </c>
      <c r="B8" s="79" t="s">
        <v>21</v>
      </c>
      <c r="C8" s="79" t="s">
        <v>11</v>
      </c>
      <c r="D8" s="9">
        <v>0.80802399999999996</v>
      </c>
      <c r="E8" s="8">
        <v>223.24840648523971</v>
      </c>
      <c r="F8" s="8"/>
      <c r="G8">
        <v>36</v>
      </c>
    </row>
    <row r="9" spans="1:7" hidden="1" x14ac:dyDescent="0.2">
      <c r="A9" s="2">
        <v>45480</v>
      </c>
      <c r="B9" s="79" t="s">
        <v>23</v>
      </c>
      <c r="C9" s="79" t="s">
        <v>11</v>
      </c>
      <c r="D9" s="9">
        <v>0.64598999999999995</v>
      </c>
      <c r="E9" s="8">
        <v>213.46006288510722</v>
      </c>
      <c r="F9" s="8"/>
      <c r="G9">
        <v>38</v>
      </c>
    </row>
    <row r="10" spans="1:7" hidden="1" x14ac:dyDescent="0.2">
      <c r="A10" s="2">
        <v>45481</v>
      </c>
      <c r="B10" s="79" t="s">
        <v>10</v>
      </c>
      <c r="C10" s="79" t="s">
        <v>11</v>
      </c>
      <c r="D10" s="9">
        <v>0.73266699999999996</v>
      </c>
      <c r="E10" s="8">
        <v>224.65799775834716</v>
      </c>
      <c r="F10" s="8"/>
      <c r="G10">
        <v>28</v>
      </c>
    </row>
    <row r="11" spans="1:7" hidden="1" x14ac:dyDescent="0.2">
      <c r="A11" s="2">
        <v>45482</v>
      </c>
      <c r="B11" s="79" t="s">
        <v>13</v>
      </c>
      <c r="C11" s="79" t="s">
        <v>11</v>
      </c>
      <c r="D11" s="9">
        <v>0.76466299999999998</v>
      </c>
      <c r="E11" s="8">
        <v>227.11366919357911</v>
      </c>
      <c r="F11" s="8"/>
      <c r="G11">
        <v>54</v>
      </c>
    </row>
    <row r="12" spans="1:7" hidden="1" x14ac:dyDescent="0.2">
      <c r="A12" s="2">
        <v>45483</v>
      </c>
      <c r="B12" s="79" t="s">
        <v>15</v>
      </c>
      <c r="C12" s="79" t="s">
        <v>11</v>
      </c>
      <c r="D12" s="9">
        <v>0.74471699999999996</v>
      </c>
      <c r="E12" s="8">
        <v>219.8738446924919</v>
      </c>
      <c r="F12" s="8"/>
      <c r="G12">
        <v>165</v>
      </c>
    </row>
    <row r="13" spans="1:7" hidden="1" x14ac:dyDescent="0.2">
      <c r="A13" s="2">
        <v>45484</v>
      </c>
      <c r="B13" s="79" t="s">
        <v>17</v>
      </c>
      <c r="C13" s="79" t="s">
        <v>11</v>
      </c>
      <c r="D13" s="9">
        <v>0.74334699999999998</v>
      </c>
      <c r="E13" s="8">
        <v>218.39823959258828</v>
      </c>
      <c r="F13" s="8"/>
      <c r="G13">
        <v>345</v>
      </c>
    </row>
    <row r="14" spans="1:7" hidden="1" x14ac:dyDescent="0.2">
      <c r="A14" s="2">
        <v>45485</v>
      </c>
      <c r="B14" s="79" t="s">
        <v>19</v>
      </c>
      <c r="C14" s="79" t="s">
        <v>11</v>
      </c>
      <c r="D14" s="9">
        <v>0.80450999999999995</v>
      </c>
      <c r="E14" s="8">
        <v>224.79108929904146</v>
      </c>
      <c r="F14" s="8"/>
      <c r="G14">
        <v>364</v>
      </c>
    </row>
    <row r="15" spans="1:7" hidden="1" x14ac:dyDescent="0.2">
      <c r="A15" s="2">
        <v>45486</v>
      </c>
      <c r="B15" s="79" t="s">
        <v>21</v>
      </c>
      <c r="C15" s="79" t="s">
        <v>11</v>
      </c>
      <c r="D15" s="9">
        <v>0.85079199999999999</v>
      </c>
      <c r="E15" s="8">
        <v>222.23238036449393</v>
      </c>
      <c r="F15" s="8"/>
      <c r="G15">
        <v>365</v>
      </c>
    </row>
    <row r="16" spans="1:7" hidden="1" x14ac:dyDescent="0.2">
      <c r="A16" s="2">
        <v>45487</v>
      </c>
      <c r="B16" s="79" t="s">
        <v>23</v>
      </c>
      <c r="C16" s="79" t="s">
        <v>11</v>
      </c>
      <c r="D16" s="9">
        <v>0.70024699999999995</v>
      </c>
      <c r="E16" s="8">
        <v>213.68602126030891</v>
      </c>
      <c r="F16" s="8"/>
      <c r="G16">
        <v>398</v>
      </c>
    </row>
    <row r="17" spans="1:7" hidden="1" x14ac:dyDescent="0.2">
      <c r="A17" s="2">
        <v>45488</v>
      </c>
      <c r="B17" s="79" t="s">
        <v>10</v>
      </c>
      <c r="C17" s="79" t="s">
        <v>11</v>
      </c>
      <c r="D17" s="9">
        <v>0.77920400000000001</v>
      </c>
      <c r="E17" s="8">
        <v>226.71952470345698</v>
      </c>
      <c r="F17" s="8"/>
      <c r="G17">
        <v>885</v>
      </c>
    </row>
    <row r="18" spans="1:7" hidden="1" x14ac:dyDescent="0.2">
      <c r="A18" s="2">
        <v>45489</v>
      </c>
      <c r="B18" s="79" t="s">
        <v>13</v>
      </c>
      <c r="C18" s="79" t="s">
        <v>11</v>
      </c>
      <c r="D18" s="9">
        <v>0.837565</v>
      </c>
      <c r="E18" s="8">
        <v>232.33090671155375</v>
      </c>
      <c r="F18" s="8"/>
      <c r="G18" s="4">
        <v>1650</v>
      </c>
    </row>
    <row r="19" spans="1:7" hidden="1" x14ac:dyDescent="0.2">
      <c r="A19" s="2">
        <v>45490</v>
      </c>
      <c r="B19" s="79" t="s">
        <v>15</v>
      </c>
      <c r="C19" s="79" t="s">
        <v>11</v>
      </c>
      <c r="D19" s="9">
        <v>0.872637</v>
      </c>
      <c r="E19" s="8">
        <v>238.76376785701413</v>
      </c>
      <c r="F19" s="8"/>
      <c r="G19" s="4">
        <v>1890</v>
      </c>
    </row>
    <row r="20" spans="1:7" hidden="1" x14ac:dyDescent="0.2">
      <c r="A20" s="2">
        <v>45491</v>
      </c>
      <c r="B20" s="79" t="s">
        <v>17</v>
      </c>
      <c r="C20" s="79" t="s">
        <v>11</v>
      </c>
      <c r="D20" s="9">
        <v>0.81633</v>
      </c>
      <c r="E20" s="8">
        <v>227.48413571327714</v>
      </c>
      <c r="F20" s="8"/>
      <c r="G20">
        <v>859</v>
      </c>
    </row>
    <row r="21" spans="1:7" hidden="1" x14ac:dyDescent="0.2">
      <c r="A21" s="2">
        <v>45492</v>
      </c>
      <c r="B21" s="79" t="s">
        <v>19</v>
      </c>
      <c r="C21" s="79" t="s">
        <v>11</v>
      </c>
      <c r="D21" s="9">
        <v>0.86546699999999999</v>
      </c>
      <c r="E21" s="8">
        <v>234.34331627346052</v>
      </c>
      <c r="F21" s="8"/>
      <c r="G21">
        <v>691</v>
      </c>
    </row>
    <row r="22" spans="1:7" hidden="1" x14ac:dyDescent="0.2">
      <c r="A22" s="2">
        <v>45493</v>
      </c>
      <c r="B22" s="79" t="s">
        <v>21</v>
      </c>
      <c r="C22" s="79" t="s">
        <v>11</v>
      </c>
      <c r="D22" s="9">
        <v>0.90232000000000001</v>
      </c>
      <c r="E22" s="8">
        <v>233.32474366047128</v>
      </c>
      <c r="F22" s="8"/>
      <c r="G22">
        <v>920</v>
      </c>
    </row>
    <row r="23" spans="1:7" hidden="1" x14ac:dyDescent="0.2">
      <c r="A23" s="2">
        <v>45494</v>
      </c>
      <c r="B23" s="79" t="s">
        <v>23</v>
      </c>
      <c r="C23" s="79" t="s">
        <v>11</v>
      </c>
      <c r="D23" s="9">
        <v>0.78801699999999997</v>
      </c>
      <c r="E23" s="8">
        <v>223.18693555811851</v>
      </c>
      <c r="F23" s="8"/>
      <c r="G23" s="4">
        <v>1370</v>
      </c>
    </row>
    <row r="24" spans="1:7" hidden="1" x14ac:dyDescent="0.2">
      <c r="A24" s="2">
        <v>45495</v>
      </c>
      <c r="B24" s="79" t="s">
        <v>10</v>
      </c>
      <c r="C24" s="79" t="s">
        <v>11</v>
      </c>
      <c r="D24" s="9">
        <v>0.84290799999999999</v>
      </c>
      <c r="E24" s="8">
        <v>234.03798244645375</v>
      </c>
      <c r="F24" s="8"/>
      <c r="G24" s="4">
        <v>1550</v>
      </c>
    </row>
    <row r="25" spans="1:7" hidden="1" x14ac:dyDescent="0.2">
      <c r="A25" s="2">
        <v>45496</v>
      </c>
      <c r="B25" s="79" t="s">
        <v>13</v>
      </c>
      <c r="C25" s="79" t="s">
        <v>11</v>
      </c>
      <c r="D25" s="9">
        <v>0.89629199999999998</v>
      </c>
      <c r="E25" s="8">
        <v>249.802491464566</v>
      </c>
      <c r="F25" s="8"/>
      <c r="G25" s="4">
        <v>2635</v>
      </c>
    </row>
    <row r="26" spans="1:7" hidden="1" x14ac:dyDescent="0.2">
      <c r="A26" s="2">
        <v>45497</v>
      </c>
      <c r="B26" s="79" t="s">
        <v>15</v>
      </c>
      <c r="C26" s="79" t="s">
        <v>11</v>
      </c>
      <c r="D26" s="9">
        <v>0.86962300000000003</v>
      </c>
      <c r="E26" s="8">
        <v>242.41407236284434</v>
      </c>
      <c r="F26" s="8"/>
      <c r="G26" s="4">
        <v>1785</v>
      </c>
    </row>
    <row r="27" spans="1:7" hidden="1" x14ac:dyDescent="0.2">
      <c r="A27" s="2">
        <v>45498</v>
      </c>
      <c r="B27" s="79" t="s">
        <v>17</v>
      </c>
      <c r="C27" s="79" t="s">
        <v>11</v>
      </c>
      <c r="D27" s="9">
        <v>0.86583200000000005</v>
      </c>
      <c r="E27" s="8">
        <v>242.35088080143092</v>
      </c>
      <c r="F27" s="8"/>
      <c r="G27" s="4">
        <v>1750</v>
      </c>
    </row>
    <row r="28" spans="1:7" hidden="1" x14ac:dyDescent="0.2">
      <c r="A28" s="2">
        <v>45499</v>
      </c>
      <c r="B28" s="79" t="s">
        <v>19</v>
      </c>
      <c r="C28" s="79" t="s">
        <v>11</v>
      </c>
      <c r="D28" s="9">
        <v>0.87861900000000004</v>
      </c>
      <c r="E28" s="8">
        <v>231.3528950112065</v>
      </c>
      <c r="F28" s="8"/>
      <c r="G28">
        <v>495</v>
      </c>
    </row>
    <row r="29" spans="1:7" hidden="1" x14ac:dyDescent="0.2">
      <c r="A29" s="2">
        <v>45500</v>
      </c>
      <c r="B29" s="79" t="s">
        <v>21</v>
      </c>
      <c r="C29" s="79" t="s">
        <v>11</v>
      </c>
      <c r="D29" s="9">
        <v>0.916431</v>
      </c>
      <c r="E29" s="8">
        <v>233.88874975121794</v>
      </c>
      <c r="F29" s="8"/>
      <c r="G29">
        <v>310</v>
      </c>
    </row>
    <row r="30" spans="1:7" hidden="1" x14ac:dyDescent="0.2">
      <c r="A30" s="2">
        <v>45501</v>
      </c>
      <c r="B30" s="79" t="s">
        <v>23</v>
      </c>
      <c r="C30" s="79" t="s">
        <v>11</v>
      </c>
      <c r="D30" s="9">
        <v>0.81706100000000004</v>
      </c>
      <c r="E30" s="8">
        <v>220.96787894131089</v>
      </c>
      <c r="F30" s="8"/>
      <c r="G30">
        <v>20</v>
      </c>
    </row>
    <row r="31" spans="1:7" hidden="1" x14ac:dyDescent="0.2">
      <c r="A31" s="2">
        <v>45502</v>
      </c>
      <c r="B31" s="79" t="s">
        <v>10</v>
      </c>
      <c r="C31" s="79" t="s">
        <v>11</v>
      </c>
      <c r="D31" s="9">
        <v>0.85592299999999999</v>
      </c>
      <c r="E31" s="8">
        <v>227.47714773436442</v>
      </c>
      <c r="F31" s="8"/>
      <c r="G31">
        <v>12</v>
      </c>
    </row>
    <row r="32" spans="1:7" hidden="1" x14ac:dyDescent="0.2">
      <c r="A32" s="2">
        <v>45503</v>
      </c>
      <c r="B32" s="79" t="s">
        <v>13</v>
      </c>
      <c r="C32" s="79" t="s">
        <v>11</v>
      </c>
      <c r="D32" s="9">
        <v>0.847383</v>
      </c>
      <c r="E32" s="8">
        <v>222.88334069802139</v>
      </c>
      <c r="F32" s="8"/>
      <c r="G32">
        <v>23</v>
      </c>
    </row>
    <row r="33" spans="1:7" hidden="1" x14ac:dyDescent="0.2">
      <c r="A33" s="2">
        <v>45504</v>
      </c>
      <c r="B33" s="79" t="s">
        <v>15</v>
      </c>
      <c r="C33" s="79" t="s">
        <v>11</v>
      </c>
      <c r="D33" s="9">
        <v>0.77477399999999996</v>
      </c>
      <c r="E33" s="8">
        <v>219.40353943216283</v>
      </c>
      <c r="F33" s="8"/>
      <c r="G33">
        <v>70</v>
      </c>
    </row>
    <row r="34" spans="1:7" hidden="1" x14ac:dyDescent="0.2">
      <c r="A34" s="2">
        <v>45505</v>
      </c>
      <c r="B34" s="79" t="s">
        <v>17</v>
      </c>
      <c r="C34" s="79" t="s">
        <v>11</v>
      </c>
      <c r="D34" s="9">
        <v>0.75825699999999996</v>
      </c>
      <c r="E34" s="8">
        <v>176.63471654929285</v>
      </c>
      <c r="F34" s="8"/>
      <c r="G34">
        <v>220</v>
      </c>
    </row>
    <row r="35" spans="1:7" hidden="1" x14ac:dyDescent="0.2">
      <c r="A35" s="2">
        <v>45506</v>
      </c>
      <c r="B35" s="79" t="s">
        <v>19</v>
      </c>
      <c r="C35" s="79" t="s">
        <v>11</v>
      </c>
      <c r="D35" s="9">
        <v>0.82111400000000001</v>
      </c>
      <c r="E35" s="8">
        <v>184.67244283734652</v>
      </c>
      <c r="F35" s="8"/>
      <c r="G35">
        <v>358</v>
      </c>
    </row>
    <row r="36" spans="1:7" hidden="1" x14ac:dyDescent="0.2">
      <c r="A36" s="2">
        <v>45507</v>
      </c>
      <c r="B36" s="79" t="s">
        <v>21</v>
      </c>
      <c r="C36" s="79" t="s">
        <v>11</v>
      </c>
      <c r="D36" s="9">
        <v>0.86067300000000002</v>
      </c>
      <c r="E36" s="8">
        <v>184.597953400215</v>
      </c>
      <c r="F36" s="8"/>
      <c r="G36">
        <v>369</v>
      </c>
    </row>
    <row r="37" spans="1:7" hidden="1" x14ac:dyDescent="0.2">
      <c r="A37" s="2">
        <v>45508</v>
      </c>
      <c r="B37" s="79" t="s">
        <v>23</v>
      </c>
      <c r="C37" s="79" t="s">
        <v>11</v>
      </c>
      <c r="D37" s="9">
        <v>0.71476899999999999</v>
      </c>
      <c r="E37" s="8">
        <v>219.22667092787927</v>
      </c>
      <c r="F37" s="8"/>
      <c r="G37">
        <v>558</v>
      </c>
    </row>
    <row r="38" spans="1:7" hidden="1" x14ac:dyDescent="0.2">
      <c r="A38" s="2">
        <v>45509</v>
      </c>
      <c r="B38" s="79" t="s">
        <v>10</v>
      </c>
      <c r="C38" s="79" t="s">
        <v>11</v>
      </c>
      <c r="D38" s="9">
        <v>0.75053700000000001</v>
      </c>
      <c r="E38" s="8">
        <v>225.90426171688338</v>
      </c>
      <c r="F38" s="8"/>
      <c r="G38" s="4">
        <v>1051</v>
      </c>
    </row>
    <row r="39" spans="1:7" hidden="1" x14ac:dyDescent="0.2">
      <c r="A39" s="2">
        <v>45510</v>
      </c>
      <c r="B39" s="79" t="s">
        <v>13</v>
      </c>
      <c r="C39" s="79" t="s">
        <v>11</v>
      </c>
      <c r="D39" s="9">
        <v>0.77406200000000003</v>
      </c>
      <c r="E39" s="8">
        <v>230.02078253115894</v>
      </c>
      <c r="F39" s="8"/>
      <c r="G39" s="4">
        <v>1322</v>
      </c>
    </row>
    <row r="40" spans="1:7" hidden="1" x14ac:dyDescent="0.2">
      <c r="A40" s="2">
        <v>45511</v>
      </c>
      <c r="B40" s="79" t="s">
        <v>15</v>
      </c>
      <c r="C40" s="79" t="s">
        <v>11</v>
      </c>
      <c r="D40" s="9">
        <v>0.79731399999999997</v>
      </c>
      <c r="E40" s="8">
        <v>239.90034318810757</v>
      </c>
      <c r="F40" s="8"/>
      <c r="G40" s="4">
        <v>1956</v>
      </c>
    </row>
    <row r="41" spans="1:7" hidden="1" x14ac:dyDescent="0.2">
      <c r="A41" s="2">
        <v>45512</v>
      </c>
      <c r="B41" s="79" t="s">
        <v>17</v>
      </c>
      <c r="C41" s="79" t="s">
        <v>11</v>
      </c>
      <c r="D41" s="9">
        <v>0.84491300000000003</v>
      </c>
      <c r="E41" s="8">
        <v>263.38843695968166</v>
      </c>
      <c r="F41" s="8"/>
      <c r="G41" s="4">
        <v>3642</v>
      </c>
    </row>
    <row r="42" spans="1:7" hidden="1" x14ac:dyDescent="0.2">
      <c r="A42" s="2">
        <v>45513</v>
      </c>
      <c r="B42" s="79" t="s">
        <v>19</v>
      </c>
      <c r="C42" s="79" t="s">
        <v>11</v>
      </c>
      <c r="D42" s="9">
        <v>0.86738800000000005</v>
      </c>
      <c r="E42" s="8">
        <v>282.61166842169138</v>
      </c>
      <c r="F42" s="8"/>
      <c r="G42" s="4">
        <v>3251</v>
      </c>
    </row>
    <row r="43" spans="1:7" hidden="1" x14ac:dyDescent="0.2">
      <c r="A43" s="2">
        <v>45514</v>
      </c>
      <c r="B43" s="79" t="s">
        <v>21</v>
      </c>
      <c r="C43" s="79" t="s">
        <v>11</v>
      </c>
      <c r="D43" s="9">
        <v>0.884656</v>
      </c>
      <c r="E43" s="8">
        <v>279.66177579224342</v>
      </c>
      <c r="F43" s="8"/>
      <c r="G43" s="4">
        <v>2696</v>
      </c>
    </row>
    <row r="44" spans="1:7" hidden="1" x14ac:dyDescent="0.2">
      <c r="A44" s="2">
        <v>45515</v>
      </c>
      <c r="B44" s="79" t="s">
        <v>23</v>
      </c>
      <c r="C44" s="79" t="s">
        <v>11</v>
      </c>
      <c r="D44" s="9">
        <v>0.76201399999999997</v>
      </c>
      <c r="E44" s="8">
        <v>229.87941433996156</v>
      </c>
      <c r="F44" s="8"/>
      <c r="G44" s="4">
        <v>1210</v>
      </c>
    </row>
    <row r="45" spans="1:7" hidden="1" x14ac:dyDescent="0.2">
      <c r="A45" s="2">
        <v>45516</v>
      </c>
      <c r="B45" s="79" t="s">
        <v>10</v>
      </c>
      <c r="C45" s="79" t="s">
        <v>11</v>
      </c>
      <c r="D45" s="9">
        <v>0.71140099999999995</v>
      </c>
      <c r="E45" s="8">
        <v>207.23991588540363</v>
      </c>
      <c r="F45" s="8"/>
      <c r="G45">
        <v>300</v>
      </c>
    </row>
    <row r="46" spans="1:7" hidden="1" x14ac:dyDescent="0.2">
      <c r="A46" s="2">
        <v>45517</v>
      </c>
      <c r="B46" s="79" t="s">
        <v>13</v>
      </c>
      <c r="C46" s="79" t="s">
        <v>11</v>
      </c>
      <c r="D46" s="9">
        <v>0.725379</v>
      </c>
      <c r="E46" s="8">
        <v>203.69441876558929</v>
      </c>
      <c r="F46" s="8"/>
      <c r="G46">
        <v>41</v>
      </c>
    </row>
    <row r="47" spans="1:7" hidden="1" x14ac:dyDescent="0.2">
      <c r="A47" s="2">
        <v>45518</v>
      </c>
      <c r="B47" s="79" t="s">
        <v>15</v>
      </c>
      <c r="C47" s="79" t="s">
        <v>11</v>
      </c>
      <c r="D47" s="9">
        <v>0.72789099999999995</v>
      </c>
      <c r="E47" s="8">
        <v>207.01969689285519</v>
      </c>
      <c r="F47" s="8"/>
      <c r="G47">
        <v>557</v>
      </c>
    </row>
    <row r="48" spans="1:7" hidden="1" x14ac:dyDescent="0.2">
      <c r="A48" s="2">
        <v>45519</v>
      </c>
      <c r="B48" s="79" t="s">
        <v>17</v>
      </c>
      <c r="C48" s="79" t="s">
        <v>11</v>
      </c>
      <c r="D48" s="9">
        <v>0.71094500000000005</v>
      </c>
      <c r="E48" s="8">
        <v>208.15148676510498</v>
      </c>
      <c r="F48" s="8"/>
      <c r="G48">
        <v>642</v>
      </c>
    </row>
    <row r="49" spans="1:7" hidden="1" x14ac:dyDescent="0.2">
      <c r="A49" s="2">
        <v>45520</v>
      </c>
      <c r="B49" s="79" t="s">
        <v>19</v>
      </c>
      <c r="C49" s="79" t="s">
        <v>11</v>
      </c>
      <c r="D49" s="9">
        <v>0.75808500000000001</v>
      </c>
      <c r="E49" s="8">
        <v>206.01928537074568</v>
      </c>
      <c r="F49" s="8"/>
      <c r="G49">
        <v>432</v>
      </c>
    </row>
    <row r="50" spans="1:7" hidden="1" x14ac:dyDescent="0.2">
      <c r="A50" s="2">
        <v>45521</v>
      </c>
      <c r="B50" s="79" t="s">
        <v>21</v>
      </c>
      <c r="C50" s="79" t="s">
        <v>11</v>
      </c>
      <c r="D50" s="9">
        <v>0.80175399999999997</v>
      </c>
      <c r="E50" s="8">
        <v>214.66338479969494</v>
      </c>
      <c r="F50" s="8"/>
      <c r="G50">
        <v>557</v>
      </c>
    </row>
    <row r="51" spans="1:7" hidden="1" x14ac:dyDescent="0.2">
      <c r="A51" s="2">
        <v>45522</v>
      </c>
      <c r="B51" s="79" t="s">
        <v>23</v>
      </c>
      <c r="C51" s="79" t="s">
        <v>11</v>
      </c>
      <c r="D51" s="9">
        <v>0.66171899999999995</v>
      </c>
      <c r="E51" s="8">
        <v>204.28065636024834</v>
      </c>
      <c r="F51" s="8"/>
      <c r="G51">
        <v>833</v>
      </c>
    </row>
    <row r="52" spans="1:7" hidden="1" x14ac:dyDescent="0.2">
      <c r="A52" s="2">
        <v>45523</v>
      </c>
      <c r="B52" s="79" t="s">
        <v>10</v>
      </c>
      <c r="C52" s="79" t="s">
        <v>11</v>
      </c>
      <c r="D52" s="9">
        <v>0.73296499999999998</v>
      </c>
      <c r="E52" s="8">
        <v>204.90302760400868</v>
      </c>
      <c r="F52" s="8"/>
      <c r="G52" s="4">
        <v>1408</v>
      </c>
    </row>
    <row r="53" spans="1:7" hidden="1" x14ac:dyDescent="0.2">
      <c r="A53" s="2">
        <v>45524</v>
      </c>
      <c r="B53" s="79" t="s">
        <v>13</v>
      </c>
      <c r="C53" s="79" t="s">
        <v>11</v>
      </c>
      <c r="D53" s="9">
        <v>0.73807999999999996</v>
      </c>
      <c r="E53" s="8">
        <v>206.84654353068478</v>
      </c>
      <c r="F53" s="8"/>
      <c r="G53" s="4">
        <v>2298</v>
      </c>
    </row>
    <row r="54" spans="1:7" hidden="1" x14ac:dyDescent="0.2">
      <c r="A54" s="2">
        <v>45525</v>
      </c>
      <c r="B54" s="79" t="s">
        <v>15</v>
      </c>
      <c r="C54" s="79" t="s">
        <v>11</v>
      </c>
      <c r="D54" s="9">
        <v>0.70798300000000003</v>
      </c>
      <c r="E54" s="8">
        <v>203.4356128248271</v>
      </c>
      <c r="F54" s="8"/>
      <c r="G54" s="4">
        <v>1770</v>
      </c>
    </row>
    <row r="55" spans="1:7" hidden="1" x14ac:dyDescent="0.2">
      <c r="A55" s="2">
        <v>45526</v>
      </c>
      <c r="B55" s="79" t="s">
        <v>17</v>
      </c>
      <c r="C55" s="79" t="s">
        <v>11</v>
      </c>
      <c r="D55" s="9">
        <v>0.66423100000000002</v>
      </c>
      <c r="E55" s="8">
        <v>199.88013132509303</v>
      </c>
      <c r="F55" s="8"/>
      <c r="G55" s="4">
        <v>1666</v>
      </c>
    </row>
    <row r="56" spans="1:7" hidden="1" x14ac:dyDescent="0.2">
      <c r="A56" s="2">
        <v>45527</v>
      </c>
      <c r="B56" s="79" t="s">
        <v>19</v>
      </c>
      <c r="C56" s="79" t="s">
        <v>11</v>
      </c>
      <c r="D56" s="9">
        <v>0.71296099999999996</v>
      </c>
      <c r="E56" s="8">
        <v>200.03444238117194</v>
      </c>
      <c r="F56" s="8"/>
      <c r="G56">
        <v>398</v>
      </c>
    </row>
    <row r="57" spans="1:7" hidden="1" x14ac:dyDescent="0.2">
      <c r="A57" s="2">
        <v>45528</v>
      </c>
      <c r="B57" s="79" t="s">
        <v>21</v>
      </c>
      <c r="C57" s="79" t="s">
        <v>11</v>
      </c>
      <c r="D57" s="9">
        <v>0.76050399999999996</v>
      </c>
      <c r="E57" s="8">
        <v>205.78418748483188</v>
      </c>
      <c r="F57" s="8"/>
      <c r="G57">
        <v>188</v>
      </c>
    </row>
    <row r="58" spans="1:7" hidden="1" x14ac:dyDescent="0.2">
      <c r="A58" s="2">
        <v>45529</v>
      </c>
      <c r="B58" s="79" t="s">
        <v>23</v>
      </c>
      <c r="C58" s="79" t="s">
        <v>11</v>
      </c>
      <c r="D58" s="9">
        <v>0.62490900000000005</v>
      </c>
      <c r="E58" s="8">
        <v>198.10216472957947</v>
      </c>
      <c r="F58" s="8"/>
      <c r="G58">
        <v>30</v>
      </c>
    </row>
    <row r="59" spans="1:7" hidden="1" x14ac:dyDescent="0.2">
      <c r="A59" s="2">
        <v>45530</v>
      </c>
      <c r="B59" s="79" t="s">
        <v>10</v>
      </c>
      <c r="C59" s="79" t="s">
        <v>11</v>
      </c>
      <c r="D59" s="9">
        <v>0.65769999999999995</v>
      </c>
      <c r="E59" s="8">
        <v>195.56865564876142</v>
      </c>
      <c r="F59" s="8"/>
      <c r="G59">
        <v>0</v>
      </c>
    </row>
    <row r="60" spans="1:7" hidden="1" x14ac:dyDescent="0.2">
      <c r="A60" s="2">
        <v>45531</v>
      </c>
      <c r="B60" s="79" t="s">
        <v>13</v>
      </c>
      <c r="C60" s="79" t="s">
        <v>11</v>
      </c>
      <c r="D60" s="9">
        <v>0.65432000000000001</v>
      </c>
      <c r="E60" s="8">
        <v>197.30385007295646</v>
      </c>
      <c r="F60" s="8"/>
      <c r="G60">
        <v>0</v>
      </c>
    </row>
    <row r="61" spans="1:7" hidden="1" x14ac:dyDescent="0.2">
      <c r="A61" s="2">
        <v>45532</v>
      </c>
      <c r="B61" s="79" t="s">
        <v>15</v>
      </c>
      <c r="C61" s="79" t="s">
        <v>11</v>
      </c>
      <c r="D61" s="9">
        <v>0.64436400000000005</v>
      </c>
      <c r="E61" s="8">
        <v>212.03465943629723</v>
      </c>
      <c r="F61" s="8"/>
      <c r="G61">
        <v>0</v>
      </c>
    </row>
    <row r="62" spans="1:7" hidden="1" x14ac:dyDescent="0.2">
      <c r="A62" s="2">
        <v>45533</v>
      </c>
      <c r="B62" s="79" t="s">
        <v>17</v>
      </c>
      <c r="C62" s="79" t="s">
        <v>11</v>
      </c>
      <c r="D62" s="9">
        <v>0.64952500000000002</v>
      </c>
      <c r="E62" s="8">
        <v>201.14627408275163</v>
      </c>
      <c r="F62" s="8"/>
      <c r="G62">
        <v>0</v>
      </c>
    </row>
    <row r="63" spans="1:7" hidden="1" x14ac:dyDescent="0.2">
      <c r="A63" s="2">
        <v>45534</v>
      </c>
      <c r="B63" s="79" t="s">
        <v>19</v>
      </c>
      <c r="C63" s="79" t="s">
        <v>11</v>
      </c>
      <c r="D63" s="9">
        <v>0.79247400000000001</v>
      </c>
      <c r="E63" s="8">
        <v>215.09772014755214</v>
      </c>
      <c r="F63" s="8"/>
      <c r="G63">
        <v>0</v>
      </c>
    </row>
    <row r="64" spans="1:7" hidden="1" x14ac:dyDescent="0.2">
      <c r="A64" s="2">
        <v>45535</v>
      </c>
      <c r="B64" s="79" t="s">
        <v>21</v>
      </c>
      <c r="C64" s="79" t="s">
        <v>11</v>
      </c>
      <c r="D64" s="9">
        <v>0.91130800000000001</v>
      </c>
      <c r="E64" s="8">
        <v>223.92048712079415</v>
      </c>
      <c r="F64" s="8"/>
      <c r="G64">
        <v>10</v>
      </c>
    </row>
    <row r="65" spans="1:7" hidden="1" x14ac:dyDescent="0.2">
      <c r="A65" s="2">
        <v>45536</v>
      </c>
      <c r="B65" s="79" t="s">
        <v>23</v>
      </c>
      <c r="C65" s="79" t="s">
        <v>11</v>
      </c>
      <c r="D65" s="9">
        <v>0.80293199999999998</v>
      </c>
      <c r="E65" s="8">
        <v>208.35338831654431</v>
      </c>
      <c r="F65" s="8"/>
      <c r="G65">
        <v>10</v>
      </c>
    </row>
    <row r="66" spans="1:7" hidden="1" x14ac:dyDescent="0.2">
      <c r="A66" s="2">
        <v>45537</v>
      </c>
      <c r="B66" s="79" t="s">
        <v>10</v>
      </c>
      <c r="C66" s="79" t="s">
        <v>11</v>
      </c>
      <c r="D66" s="9">
        <v>0.52543799999999996</v>
      </c>
      <c r="E66" s="8">
        <v>194.60354628472891</v>
      </c>
      <c r="F66" s="8"/>
      <c r="G66">
        <v>0</v>
      </c>
    </row>
    <row r="67" spans="1:7" hidden="1" x14ac:dyDescent="0.2">
      <c r="A67" s="2">
        <v>45538</v>
      </c>
      <c r="B67" s="79" t="s">
        <v>13</v>
      </c>
      <c r="C67" s="79" t="s">
        <v>11</v>
      </c>
      <c r="D67" s="9">
        <v>0.65879600000000005</v>
      </c>
      <c r="E67" s="8">
        <v>202.18875355287625</v>
      </c>
      <c r="F67" s="8"/>
      <c r="G67">
        <v>130</v>
      </c>
    </row>
    <row r="68" spans="1:7" hidden="1" x14ac:dyDescent="0.2">
      <c r="A68" s="2">
        <v>45539</v>
      </c>
      <c r="B68" s="79" t="s">
        <v>15</v>
      </c>
      <c r="C68" s="79" t="s">
        <v>11</v>
      </c>
      <c r="D68" s="9">
        <v>0.71560999999999997</v>
      </c>
      <c r="E68" s="8">
        <v>206.49036505224029</v>
      </c>
      <c r="F68" s="8"/>
      <c r="G68">
        <v>625</v>
      </c>
    </row>
    <row r="69" spans="1:7" hidden="1" x14ac:dyDescent="0.2">
      <c r="A69" s="2">
        <v>45540</v>
      </c>
      <c r="B69" s="79" t="s">
        <v>17</v>
      </c>
      <c r="C69" s="79" t="s">
        <v>11</v>
      </c>
      <c r="D69" s="9">
        <v>0.76653300000000002</v>
      </c>
      <c r="E69" s="8">
        <v>224.67898236434706</v>
      </c>
      <c r="F69" s="8"/>
      <c r="G69">
        <v>650</v>
      </c>
    </row>
    <row r="70" spans="1:7" hidden="1" x14ac:dyDescent="0.2">
      <c r="A70" s="2">
        <v>45541</v>
      </c>
      <c r="B70" s="79" t="s">
        <v>19</v>
      </c>
      <c r="C70" s="79" t="s">
        <v>11</v>
      </c>
      <c r="D70" s="9">
        <v>0.784161</v>
      </c>
      <c r="E70" s="8">
        <v>252.81100349408496</v>
      </c>
      <c r="F70" s="8"/>
      <c r="G70">
        <v>230</v>
      </c>
    </row>
    <row r="71" spans="1:7" hidden="1" x14ac:dyDescent="0.2">
      <c r="A71" s="2">
        <v>45542</v>
      </c>
      <c r="B71" s="79" t="s">
        <v>21</v>
      </c>
      <c r="C71" s="79" t="s">
        <v>11</v>
      </c>
      <c r="D71" s="9">
        <v>0.84143199999999996</v>
      </c>
      <c r="E71" s="8">
        <v>256.12999131576225</v>
      </c>
      <c r="F71" s="8"/>
      <c r="G71">
        <v>810</v>
      </c>
    </row>
    <row r="72" spans="1:7" hidden="1" x14ac:dyDescent="0.2">
      <c r="A72" s="2">
        <v>45543</v>
      </c>
      <c r="B72" s="79" t="s">
        <v>23</v>
      </c>
      <c r="C72" s="79" t="s">
        <v>11</v>
      </c>
      <c r="D72" s="9">
        <v>0.72017699999999996</v>
      </c>
      <c r="E72" s="8">
        <v>261.79571437779595</v>
      </c>
      <c r="F72" s="8"/>
      <c r="G72" s="4">
        <v>3010</v>
      </c>
    </row>
    <row r="73" spans="1:7" hidden="1" x14ac:dyDescent="0.2">
      <c r="A73" s="2">
        <v>45544</v>
      </c>
      <c r="B73" s="79" t="s">
        <v>10</v>
      </c>
      <c r="C73" s="79" t="s">
        <v>11</v>
      </c>
      <c r="D73" s="9">
        <v>0.92957599999999996</v>
      </c>
      <c r="E73" s="8">
        <v>331.17267662491167</v>
      </c>
      <c r="F73" s="8"/>
      <c r="G73" s="4">
        <v>9560</v>
      </c>
    </row>
    <row r="74" spans="1:7" hidden="1" x14ac:dyDescent="0.2">
      <c r="A74" s="2">
        <v>45545</v>
      </c>
      <c r="B74" s="79" t="s">
        <v>13</v>
      </c>
      <c r="C74" s="79" t="s">
        <v>11</v>
      </c>
      <c r="D74" s="9">
        <v>0.95643</v>
      </c>
      <c r="E74" s="8">
        <v>340.93042068810706</v>
      </c>
      <c r="F74" s="8"/>
      <c r="G74" s="4">
        <v>10238</v>
      </c>
    </row>
    <row r="75" spans="1:7" hidden="1" x14ac:dyDescent="0.2">
      <c r="A75" s="2">
        <v>45546</v>
      </c>
      <c r="B75" s="79" t="s">
        <v>15</v>
      </c>
      <c r="C75" s="79" t="s">
        <v>11</v>
      </c>
      <c r="D75" s="9">
        <v>0.911856</v>
      </c>
      <c r="E75" s="8">
        <v>312.11937644169888</v>
      </c>
      <c r="F75" s="8"/>
      <c r="G75" s="4">
        <v>8757</v>
      </c>
    </row>
    <row r="76" spans="1:7" hidden="1" x14ac:dyDescent="0.2">
      <c r="A76" s="2">
        <v>45547</v>
      </c>
      <c r="B76" s="79" t="s">
        <v>17</v>
      </c>
      <c r="C76" s="79" t="s">
        <v>11</v>
      </c>
      <c r="D76" s="9">
        <v>0.71469700000000003</v>
      </c>
      <c r="E76" s="8">
        <v>233.26500223649299</v>
      </c>
      <c r="F76" s="8"/>
      <c r="G76" s="4">
        <v>2263</v>
      </c>
    </row>
    <row r="77" spans="1:7" hidden="1" x14ac:dyDescent="0.2">
      <c r="A77" s="2">
        <v>45548</v>
      </c>
      <c r="B77" s="79" t="s">
        <v>19</v>
      </c>
      <c r="C77" s="79" t="s">
        <v>11</v>
      </c>
      <c r="D77" s="9">
        <v>0.76571100000000003</v>
      </c>
      <c r="E77" s="8">
        <v>227.87513062101638</v>
      </c>
      <c r="F77" s="8"/>
      <c r="G77">
        <v>417</v>
      </c>
    </row>
    <row r="78" spans="1:7" hidden="1" x14ac:dyDescent="0.2">
      <c r="A78" s="2">
        <v>45549</v>
      </c>
      <c r="B78" s="79" t="s">
        <v>21</v>
      </c>
      <c r="C78" s="79" t="s">
        <v>11</v>
      </c>
      <c r="D78" s="9">
        <v>0.83914900000000003</v>
      </c>
      <c r="E78" s="8">
        <v>228.66886252227383</v>
      </c>
      <c r="F78" s="8"/>
      <c r="G78">
        <v>149</v>
      </c>
    </row>
    <row r="79" spans="1:7" hidden="1" x14ac:dyDescent="0.2">
      <c r="A79" s="2">
        <v>45550</v>
      </c>
      <c r="B79" s="79" t="s">
        <v>23</v>
      </c>
      <c r="C79" s="79" t="s">
        <v>11</v>
      </c>
      <c r="D79" s="9">
        <v>0.78443600000000002</v>
      </c>
      <c r="E79" s="8">
        <v>224.37576560243843</v>
      </c>
      <c r="F79" s="8"/>
      <c r="G79">
        <v>331</v>
      </c>
    </row>
    <row r="80" spans="1:7" hidden="1" x14ac:dyDescent="0.2">
      <c r="A80" s="2">
        <v>45551</v>
      </c>
      <c r="B80" s="79" t="s">
        <v>10</v>
      </c>
      <c r="C80" s="79" t="s">
        <v>11</v>
      </c>
      <c r="D80" s="9">
        <v>0.79023600000000005</v>
      </c>
      <c r="E80" s="8">
        <v>222.80638155301472</v>
      </c>
      <c r="F80" s="8"/>
      <c r="G80">
        <v>788</v>
      </c>
    </row>
    <row r="81" spans="1:7" hidden="1" x14ac:dyDescent="0.2">
      <c r="A81" s="2">
        <v>45552</v>
      </c>
      <c r="B81" s="79" t="s">
        <v>13</v>
      </c>
      <c r="C81" s="79" t="s">
        <v>11</v>
      </c>
      <c r="D81" s="9">
        <v>0.83750500000000005</v>
      </c>
      <c r="E81" s="8">
        <v>226.76888319354819</v>
      </c>
      <c r="F81" s="8"/>
      <c r="G81" s="4">
        <v>1086</v>
      </c>
    </row>
    <row r="82" spans="1:7" hidden="1" x14ac:dyDescent="0.2">
      <c r="A82" s="2">
        <v>45553</v>
      </c>
      <c r="B82" s="79" t="s">
        <v>15</v>
      </c>
      <c r="C82" s="79" t="s">
        <v>11</v>
      </c>
      <c r="D82" s="9">
        <v>0.79366099999999995</v>
      </c>
      <c r="E82" s="8">
        <v>220.28268212730632</v>
      </c>
      <c r="F82" s="8"/>
      <c r="G82" s="4">
        <v>1470</v>
      </c>
    </row>
    <row r="83" spans="1:7" hidden="1" x14ac:dyDescent="0.2">
      <c r="A83" s="2">
        <v>45554</v>
      </c>
      <c r="B83" s="79" t="s">
        <v>17</v>
      </c>
      <c r="C83" s="79" t="s">
        <v>11</v>
      </c>
      <c r="D83" s="9">
        <v>0.82841600000000004</v>
      </c>
      <c r="E83" s="8">
        <v>232.50776889552711</v>
      </c>
      <c r="F83" s="8"/>
      <c r="G83">
        <v>989</v>
      </c>
    </row>
    <row r="84" spans="1:7" hidden="1" x14ac:dyDescent="0.2">
      <c r="A84" s="2">
        <v>45555</v>
      </c>
      <c r="B84" s="79" t="s">
        <v>19</v>
      </c>
      <c r="C84" s="79" t="s">
        <v>11</v>
      </c>
      <c r="D84" s="9">
        <v>0.83691099999999996</v>
      </c>
      <c r="E84" s="8">
        <v>242.16112960416982</v>
      </c>
      <c r="F84" s="8"/>
      <c r="G84" s="4">
        <v>1050</v>
      </c>
    </row>
    <row r="85" spans="1:7" hidden="1" x14ac:dyDescent="0.2">
      <c r="A85" s="2">
        <v>45556</v>
      </c>
      <c r="B85" s="79" t="s">
        <v>21</v>
      </c>
      <c r="C85" s="79" t="s">
        <v>11</v>
      </c>
      <c r="D85" s="9">
        <v>0.89610000000000001</v>
      </c>
      <c r="E85" s="8">
        <v>241.88934763797931</v>
      </c>
      <c r="F85" s="8"/>
      <c r="G85" s="4">
        <v>1972</v>
      </c>
    </row>
    <row r="86" spans="1:7" hidden="1" x14ac:dyDescent="0.2">
      <c r="A86" s="2">
        <v>45557</v>
      </c>
      <c r="B86" s="79" t="s">
        <v>23</v>
      </c>
      <c r="C86" s="79" t="s">
        <v>11</v>
      </c>
      <c r="D86" s="9">
        <v>0.80042000000000002</v>
      </c>
      <c r="E86" s="8">
        <v>234.26715280034693</v>
      </c>
      <c r="F86" s="8"/>
      <c r="G86" s="4">
        <v>2672</v>
      </c>
    </row>
    <row r="87" spans="1:7" hidden="1" x14ac:dyDescent="0.2">
      <c r="A87" s="2">
        <v>45558</v>
      </c>
      <c r="B87" s="79" t="s">
        <v>10</v>
      </c>
      <c r="C87" s="79" t="s">
        <v>11</v>
      </c>
      <c r="D87" s="9">
        <v>0.84750599999999998</v>
      </c>
      <c r="E87" s="8">
        <v>233.94295791240316</v>
      </c>
      <c r="F87" s="8"/>
      <c r="G87" s="4">
        <v>3152</v>
      </c>
    </row>
    <row r="88" spans="1:7" hidden="1" x14ac:dyDescent="0.2">
      <c r="A88" s="2">
        <v>45559</v>
      </c>
      <c r="B88" s="79" t="s">
        <v>13</v>
      </c>
      <c r="C88" s="79" t="s">
        <v>11</v>
      </c>
      <c r="D88" s="9">
        <v>0.87838000000000005</v>
      </c>
      <c r="E88" s="8">
        <v>230.92871522807064</v>
      </c>
      <c r="F88" s="8"/>
      <c r="G88" s="4">
        <v>3986</v>
      </c>
    </row>
    <row r="89" spans="1:7" hidden="1" x14ac:dyDescent="0.2">
      <c r="A89" s="2">
        <v>45560</v>
      </c>
      <c r="B89" s="79" t="s">
        <v>15</v>
      </c>
      <c r="C89" s="79" t="s">
        <v>11</v>
      </c>
      <c r="D89" s="9">
        <v>0.85508799999999996</v>
      </c>
      <c r="E89" s="8">
        <v>227.70817016402918</v>
      </c>
      <c r="F89" s="8"/>
      <c r="G89" s="4">
        <v>3478</v>
      </c>
    </row>
    <row r="90" spans="1:7" hidden="1" x14ac:dyDescent="0.2">
      <c r="A90" s="2">
        <v>45561</v>
      </c>
      <c r="B90" s="79" t="s">
        <v>17</v>
      </c>
      <c r="C90" s="79" t="s">
        <v>11</v>
      </c>
      <c r="D90" s="9">
        <v>0.80571800000000005</v>
      </c>
      <c r="E90" s="8">
        <v>234.49499376443018</v>
      </c>
      <c r="F90" s="8"/>
      <c r="G90" s="4">
        <v>2580</v>
      </c>
    </row>
    <row r="91" spans="1:7" hidden="1" x14ac:dyDescent="0.2">
      <c r="A91" s="2">
        <v>45562</v>
      </c>
      <c r="B91" s="79" t="s">
        <v>19</v>
      </c>
      <c r="C91" s="79" t="s">
        <v>11</v>
      </c>
      <c r="D91" s="9">
        <v>0.80740800000000001</v>
      </c>
      <c r="E91" s="8">
        <v>231.82570620489841</v>
      </c>
      <c r="F91" s="8"/>
      <c r="G91" s="4">
        <v>1696</v>
      </c>
    </row>
    <row r="92" spans="1:7" hidden="1" x14ac:dyDescent="0.2">
      <c r="A92" s="2">
        <v>45563</v>
      </c>
      <c r="B92" s="79" t="s">
        <v>21</v>
      </c>
      <c r="C92" s="79" t="s">
        <v>11</v>
      </c>
      <c r="D92" s="9">
        <v>0.85746299999999998</v>
      </c>
      <c r="E92" s="8">
        <v>237.82271318135517</v>
      </c>
      <c r="F92" s="8"/>
      <c r="G92">
        <v>986</v>
      </c>
    </row>
    <row r="93" spans="1:7" hidden="1" x14ac:dyDescent="0.2">
      <c r="A93" s="2">
        <v>45564</v>
      </c>
      <c r="B93" s="79" t="s">
        <v>23</v>
      </c>
      <c r="C93" s="79" t="s">
        <v>11</v>
      </c>
      <c r="D93" s="9">
        <v>0.73237099999999999</v>
      </c>
      <c r="E93" s="8">
        <v>237.67846719804621</v>
      </c>
      <c r="F93" s="8"/>
      <c r="G93" s="4">
        <v>1461</v>
      </c>
    </row>
    <row r="94" spans="1:7" hidden="1" x14ac:dyDescent="0.2">
      <c r="A94" s="2">
        <v>45565</v>
      </c>
      <c r="B94" s="79" t="s">
        <v>10</v>
      </c>
      <c r="C94" s="79" t="s">
        <v>11</v>
      </c>
      <c r="D94" s="9">
        <v>0.69345999999999997</v>
      </c>
      <c r="E94" s="8">
        <v>229.3879313746437</v>
      </c>
      <c r="F94" s="8"/>
      <c r="G94" s="4">
        <v>1485</v>
      </c>
    </row>
    <row r="95" spans="1:7" hidden="1" x14ac:dyDescent="0.2">
      <c r="A95" s="2">
        <v>45566</v>
      </c>
      <c r="B95" s="79" t="s">
        <v>13</v>
      </c>
      <c r="C95" s="79" t="s">
        <v>11</v>
      </c>
      <c r="D95" s="9">
        <v>0.70036100000000001</v>
      </c>
      <c r="E95" s="8">
        <v>243.29469817485699</v>
      </c>
      <c r="F95" s="8"/>
      <c r="G95" s="4">
        <v>1783</v>
      </c>
    </row>
    <row r="96" spans="1:7" hidden="1" x14ac:dyDescent="0.2">
      <c r="A96" s="2">
        <v>45567</v>
      </c>
      <c r="B96" s="79" t="s">
        <v>15</v>
      </c>
      <c r="C96" s="79" t="s">
        <v>11</v>
      </c>
      <c r="D96" s="9">
        <v>0.70122799999999996</v>
      </c>
      <c r="E96" s="8">
        <v>244.8741506615618</v>
      </c>
      <c r="F96" s="8"/>
      <c r="G96" s="4">
        <v>1476</v>
      </c>
    </row>
    <row r="97" spans="1:7" hidden="1" x14ac:dyDescent="0.2">
      <c r="A97" s="2">
        <v>45568</v>
      </c>
      <c r="B97" s="79" t="s">
        <v>17</v>
      </c>
      <c r="C97" s="79" t="s">
        <v>11</v>
      </c>
      <c r="D97" s="9">
        <v>0.78496100000000002</v>
      </c>
      <c r="E97" s="8">
        <v>258.45549118952255</v>
      </c>
      <c r="F97" s="8"/>
      <c r="G97" s="4">
        <v>1224</v>
      </c>
    </row>
    <row r="98" spans="1:7" hidden="1" x14ac:dyDescent="0.2">
      <c r="A98" s="2">
        <v>45569</v>
      </c>
      <c r="B98" s="79" t="s">
        <v>19</v>
      </c>
      <c r="C98" s="79" t="s">
        <v>11</v>
      </c>
      <c r="D98" s="9">
        <v>0.86942399999999997</v>
      </c>
      <c r="E98" s="8">
        <v>261.70495300117761</v>
      </c>
      <c r="F98" s="8"/>
      <c r="G98">
        <v>227</v>
      </c>
    </row>
    <row r="99" spans="1:7" hidden="1" x14ac:dyDescent="0.2">
      <c r="A99" s="2">
        <v>45570</v>
      </c>
      <c r="B99" s="79" t="s">
        <v>21</v>
      </c>
      <c r="C99" s="79" t="s">
        <v>11</v>
      </c>
      <c r="D99" s="9">
        <v>0.88129500000000005</v>
      </c>
      <c r="E99" s="8">
        <v>256.54598404377276</v>
      </c>
      <c r="F99" s="8"/>
      <c r="G99">
        <v>282</v>
      </c>
    </row>
    <row r="100" spans="1:7" hidden="1" x14ac:dyDescent="0.2">
      <c r="A100" s="2">
        <v>45571</v>
      </c>
      <c r="B100" s="79" t="s">
        <v>23</v>
      </c>
      <c r="C100" s="79" t="s">
        <v>11</v>
      </c>
      <c r="D100" s="9">
        <v>0.772953</v>
      </c>
      <c r="E100" s="8">
        <v>248.2134961599468</v>
      </c>
      <c r="F100" s="8"/>
      <c r="G100">
        <v>130</v>
      </c>
    </row>
    <row r="101" spans="1:7" hidden="1" x14ac:dyDescent="0.2">
      <c r="A101" s="2">
        <v>45572</v>
      </c>
      <c r="B101" s="79" t="s">
        <v>10</v>
      </c>
      <c r="C101" s="79" t="s">
        <v>11</v>
      </c>
      <c r="D101" s="9">
        <v>0.75848099999999996</v>
      </c>
      <c r="E101" s="8">
        <v>258.44311322456622</v>
      </c>
      <c r="F101" s="8"/>
      <c r="G101">
        <v>125</v>
      </c>
    </row>
    <row r="102" spans="1:7" hidden="1" x14ac:dyDescent="0.2">
      <c r="A102" s="2">
        <v>45573</v>
      </c>
      <c r="B102" s="79" t="s">
        <v>13</v>
      </c>
      <c r="C102" s="79" t="s">
        <v>11</v>
      </c>
      <c r="D102" s="9">
        <v>0.84755499999999995</v>
      </c>
      <c r="E102" s="8">
        <v>270.65650560316834</v>
      </c>
      <c r="F102" s="8"/>
      <c r="G102" s="4">
        <v>2335</v>
      </c>
    </row>
    <row r="103" spans="1:7" hidden="1" x14ac:dyDescent="0.2">
      <c r="A103" s="2">
        <v>45574</v>
      </c>
      <c r="B103" s="79" t="s">
        <v>15</v>
      </c>
      <c r="C103" s="79" t="s">
        <v>11</v>
      </c>
      <c r="D103" s="9">
        <v>0.87937699999999996</v>
      </c>
      <c r="E103" s="8">
        <v>280.65454597260236</v>
      </c>
      <c r="F103" s="8"/>
      <c r="G103" s="4">
        <v>2500</v>
      </c>
    </row>
    <row r="104" spans="1:7" hidden="1" x14ac:dyDescent="0.2">
      <c r="A104" s="2">
        <v>45575</v>
      </c>
      <c r="B104" s="79" t="s">
        <v>17</v>
      </c>
      <c r="C104" s="79" t="s">
        <v>11</v>
      </c>
      <c r="D104" s="9">
        <v>0.90704499999999999</v>
      </c>
      <c r="E104" s="8">
        <v>288.14789147829828</v>
      </c>
      <c r="F104" s="8"/>
      <c r="G104" s="4">
        <v>2404</v>
      </c>
    </row>
    <row r="105" spans="1:7" hidden="1" x14ac:dyDescent="0.2">
      <c r="A105" s="2">
        <v>45576</v>
      </c>
      <c r="B105" s="79" t="s">
        <v>19</v>
      </c>
      <c r="C105" s="79" t="s">
        <v>11</v>
      </c>
      <c r="D105" s="9">
        <v>0.89307400000000003</v>
      </c>
      <c r="E105" s="8">
        <v>278.02814937856647</v>
      </c>
      <c r="F105" s="8"/>
      <c r="G105">
        <v>195</v>
      </c>
    </row>
    <row r="106" spans="1:7" hidden="1" x14ac:dyDescent="0.2">
      <c r="A106" s="2">
        <v>45577</v>
      </c>
      <c r="B106" s="79" t="s">
        <v>21</v>
      </c>
      <c r="C106" s="79" t="s">
        <v>11</v>
      </c>
      <c r="D106" s="9">
        <v>0.92238500000000001</v>
      </c>
      <c r="E106" s="8">
        <v>266.59552145759471</v>
      </c>
      <c r="F106" s="8"/>
      <c r="G106">
        <v>205</v>
      </c>
    </row>
    <row r="107" spans="1:7" hidden="1" x14ac:dyDescent="0.2">
      <c r="A107" s="2">
        <v>45578</v>
      </c>
      <c r="B107" s="79" t="s">
        <v>23</v>
      </c>
      <c r="C107" s="79" t="s">
        <v>11</v>
      </c>
      <c r="D107" s="9">
        <v>0.82350500000000004</v>
      </c>
      <c r="E107" s="8">
        <v>248.2402264913672</v>
      </c>
      <c r="F107" s="8"/>
      <c r="G107">
        <v>631</v>
      </c>
    </row>
    <row r="108" spans="1:7" hidden="1" x14ac:dyDescent="0.2">
      <c r="A108" s="2">
        <v>45579</v>
      </c>
      <c r="B108" s="79" t="s">
        <v>10</v>
      </c>
      <c r="C108" s="79" t="s">
        <v>11</v>
      </c>
      <c r="D108" s="9">
        <v>0.71920399999999995</v>
      </c>
      <c r="E108" s="8">
        <v>243.427532418129</v>
      </c>
      <c r="F108" s="8"/>
      <c r="G108">
        <v>912</v>
      </c>
    </row>
    <row r="109" spans="1:7" hidden="1" x14ac:dyDescent="0.2">
      <c r="A109" s="2">
        <v>45580</v>
      </c>
      <c r="B109" s="79" t="s">
        <v>13</v>
      </c>
      <c r="C109" s="79" t="s">
        <v>11</v>
      </c>
      <c r="D109" s="9">
        <v>0.728854</v>
      </c>
      <c r="E109" s="8">
        <v>244.73988859954736</v>
      </c>
      <c r="F109" s="8"/>
      <c r="G109" s="4">
        <v>1141</v>
      </c>
    </row>
    <row r="110" spans="1:7" hidden="1" x14ac:dyDescent="0.2">
      <c r="A110" s="2">
        <v>45581</v>
      </c>
      <c r="B110" s="79" t="s">
        <v>15</v>
      </c>
      <c r="C110" s="79" t="s">
        <v>11</v>
      </c>
      <c r="D110" s="9">
        <v>0.75548599999999999</v>
      </c>
      <c r="E110" s="8">
        <v>251.55783946536849</v>
      </c>
      <c r="F110" s="8"/>
      <c r="G110" s="4">
        <v>1079</v>
      </c>
    </row>
    <row r="111" spans="1:7" hidden="1" x14ac:dyDescent="0.2">
      <c r="A111" s="2">
        <v>45582</v>
      </c>
      <c r="B111" s="79" t="s">
        <v>17</v>
      </c>
      <c r="C111" s="79" t="s">
        <v>11</v>
      </c>
      <c r="D111" s="9">
        <v>0.81571000000000005</v>
      </c>
      <c r="E111" s="8">
        <v>256.68193618189571</v>
      </c>
      <c r="F111" s="8"/>
      <c r="G111">
        <v>315</v>
      </c>
    </row>
    <row r="112" spans="1:7" hidden="1" x14ac:dyDescent="0.2">
      <c r="A112" s="2">
        <v>45583</v>
      </c>
      <c r="B112" s="79" t="s">
        <v>19</v>
      </c>
      <c r="C112" s="79" t="s">
        <v>11</v>
      </c>
      <c r="D112" s="9">
        <v>0.87514499999999995</v>
      </c>
      <c r="E112" s="8">
        <v>263.54918990626669</v>
      </c>
      <c r="F112" s="8"/>
      <c r="G112">
        <v>98</v>
      </c>
    </row>
    <row r="113" spans="1:7" hidden="1" x14ac:dyDescent="0.2">
      <c r="A113" s="2">
        <v>45584</v>
      </c>
      <c r="B113" s="79" t="s">
        <v>21</v>
      </c>
      <c r="C113" s="79" t="s">
        <v>11</v>
      </c>
      <c r="D113" s="9">
        <v>0.87069099999999999</v>
      </c>
      <c r="E113" s="8">
        <v>254.04557710782933</v>
      </c>
      <c r="F113" s="8"/>
      <c r="G113">
        <v>309</v>
      </c>
    </row>
    <row r="114" spans="1:7" hidden="1" x14ac:dyDescent="0.2">
      <c r="A114" s="2">
        <v>45585</v>
      </c>
      <c r="B114" s="79" t="s">
        <v>23</v>
      </c>
      <c r="C114" s="79" t="s">
        <v>11</v>
      </c>
      <c r="D114" s="9">
        <v>0.69544799999999996</v>
      </c>
      <c r="E114" s="8">
        <v>236.66449596376552</v>
      </c>
      <c r="F114" s="8"/>
      <c r="G114">
        <v>946</v>
      </c>
    </row>
    <row r="115" spans="1:7" hidden="1" x14ac:dyDescent="0.2">
      <c r="A115" s="2">
        <v>45586</v>
      </c>
      <c r="B115" s="79" t="s">
        <v>10</v>
      </c>
      <c r="C115" s="79" t="s">
        <v>11</v>
      </c>
      <c r="D115" s="9">
        <v>0.68222499999999997</v>
      </c>
      <c r="E115" s="8">
        <v>233.16292709390788</v>
      </c>
      <c r="F115" s="8"/>
      <c r="G115" s="4">
        <v>1825</v>
      </c>
    </row>
    <row r="116" spans="1:7" hidden="1" x14ac:dyDescent="0.2">
      <c r="A116" s="2">
        <v>45587</v>
      </c>
      <c r="B116" s="79" t="s">
        <v>13</v>
      </c>
      <c r="C116" s="79" t="s">
        <v>11</v>
      </c>
      <c r="D116" s="9">
        <v>0.72426100000000004</v>
      </c>
      <c r="E116" s="8">
        <v>234.05569955042185</v>
      </c>
      <c r="F116" s="8"/>
      <c r="G116" s="4">
        <v>1840</v>
      </c>
    </row>
    <row r="117" spans="1:7" hidden="1" x14ac:dyDescent="0.2">
      <c r="A117" s="2">
        <v>45588</v>
      </c>
      <c r="B117" s="79" t="s">
        <v>15</v>
      </c>
      <c r="C117" s="79" t="s">
        <v>11</v>
      </c>
      <c r="D117" s="9">
        <v>0.73706700000000003</v>
      </c>
      <c r="E117" s="8">
        <v>236.05455243718598</v>
      </c>
      <c r="F117" s="8"/>
      <c r="G117" s="4">
        <v>1463</v>
      </c>
    </row>
    <row r="118" spans="1:7" hidden="1" x14ac:dyDescent="0.2">
      <c r="A118" s="2">
        <v>45589</v>
      </c>
      <c r="B118" s="79" t="s">
        <v>17</v>
      </c>
      <c r="C118" s="79" t="s">
        <v>11</v>
      </c>
      <c r="D118" s="9">
        <v>0.79719799999999996</v>
      </c>
      <c r="E118" s="8">
        <v>240.38173612023905</v>
      </c>
      <c r="F118" s="8"/>
      <c r="G118">
        <v>934</v>
      </c>
    </row>
    <row r="119" spans="1:7" hidden="1" x14ac:dyDescent="0.2">
      <c r="A119" s="2">
        <v>45590</v>
      </c>
      <c r="B119" s="79" t="s">
        <v>19</v>
      </c>
      <c r="C119" s="79" t="s">
        <v>11</v>
      </c>
      <c r="D119" s="9">
        <v>0.85060100000000005</v>
      </c>
      <c r="E119" s="8">
        <v>243.72011618442468</v>
      </c>
      <c r="F119" s="8"/>
      <c r="G119">
        <v>440</v>
      </c>
    </row>
    <row r="120" spans="1:7" hidden="1" x14ac:dyDescent="0.2">
      <c r="A120" s="2">
        <v>45591</v>
      </c>
      <c r="B120" s="79" t="s">
        <v>21</v>
      </c>
      <c r="C120" s="79" t="s">
        <v>11</v>
      </c>
      <c r="D120" s="9">
        <v>0.86285000000000001</v>
      </c>
      <c r="E120" s="8">
        <v>249.35080926977295</v>
      </c>
      <c r="F120" s="8"/>
      <c r="G120">
        <v>415</v>
      </c>
    </row>
    <row r="121" spans="1:7" hidden="1" x14ac:dyDescent="0.2">
      <c r="A121" s="2">
        <v>45592</v>
      </c>
      <c r="B121" s="79" t="s">
        <v>23</v>
      </c>
      <c r="C121" s="79" t="s">
        <v>11</v>
      </c>
      <c r="D121" s="9">
        <v>0.61638800000000005</v>
      </c>
      <c r="E121" s="8">
        <v>228.35947534811763</v>
      </c>
      <c r="F121" s="8"/>
      <c r="G121">
        <v>448</v>
      </c>
    </row>
    <row r="122" spans="1:7" hidden="1" x14ac:dyDescent="0.2">
      <c r="A122" s="2">
        <v>45593</v>
      </c>
      <c r="B122" s="79" t="s">
        <v>10</v>
      </c>
      <c r="C122" s="79" t="s">
        <v>11</v>
      </c>
      <c r="D122" s="9">
        <v>0.56711400000000001</v>
      </c>
      <c r="E122" s="8">
        <v>212.47596252922227</v>
      </c>
      <c r="F122" s="8"/>
      <c r="G122">
        <v>433</v>
      </c>
    </row>
    <row r="123" spans="1:7" hidden="1" x14ac:dyDescent="0.2">
      <c r="A123" s="2">
        <v>45594</v>
      </c>
      <c r="B123" s="79" t="s">
        <v>13</v>
      </c>
      <c r="C123" s="79" t="s">
        <v>11</v>
      </c>
      <c r="D123" s="9">
        <v>0.63026000000000004</v>
      </c>
      <c r="E123" s="8">
        <v>213.45823910483887</v>
      </c>
      <c r="F123" s="8"/>
      <c r="G123">
        <v>350</v>
      </c>
    </row>
    <row r="124" spans="1:7" hidden="1" x14ac:dyDescent="0.2">
      <c r="A124" s="2">
        <v>45595</v>
      </c>
      <c r="B124" s="79" t="s">
        <v>15</v>
      </c>
      <c r="C124" s="79" t="s">
        <v>11</v>
      </c>
      <c r="D124" s="9">
        <v>0.69971700000000003</v>
      </c>
      <c r="E124" s="8">
        <v>227.44645779616943</v>
      </c>
      <c r="F124" s="8"/>
      <c r="G124" s="4">
        <v>1524</v>
      </c>
    </row>
    <row r="125" spans="1:7" hidden="1" x14ac:dyDescent="0.2">
      <c r="A125" s="2">
        <v>45596</v>
      </c>
      <c r="B125" s="79" t="s">
        <v>17</v>
      </c>
      <c r="C125" s="79" t="s">
        <v>11</v>
      </c>
      <c r="D125" s="9">
        <v>0.75905900000000004</v>
      </c>
      <c r="E125" s="8">
        <v>241.55663141963683</v>
      </c>
      <c r="F125" s="8"/>
      <c r="G125" s="4">
        <v>2500</v>
      </c>
    </row>
    <row r="126" spans="1:7" hidden="1" x14ac:dyDescent="0.2">
      <c r="A126" s="2">
        <v>45597</v>
      </c>
      <c r="B126" s="79" t="s">
        <v>19</v>
      </c>
      <c r="C126" s="79" t="s">
        <v>11</v>
      </c>
      <c r="D126" s="9">
        <v>0.82833000000000001</v>
      </c>
      <c r="E126" s="8">
        <v>250.08219066952242</v>
      </c>
      <c r="F126" s="8"/>
      <c r="G126" s="4">
        <v>2515</v>
      </c>
    </row>
    <row r="127" spans="1:7" hidden="1" x14ac:dyDescent="0.2">
      <c r="A127" s="2">
        <v>45598</v>
      </c>
      <c r="B127" s="79" t="s">
        <v>21</v>
      </c>
      <c r="C127" s="79" t="s">
        <v>11</v>
      </c>
      <c r="D127" s="9">
        <v>0.78559800000000002</v>
      </c>
      <c r="E127" s="8">
        <v>241.13852055461382</v>
      </c>
      <c r="F127" s="8"/>
      <c r="G127" s="4">
        <v>1912</v>
      </c>
    </row>
    <row r="128" spans="1:7" hidden="1" x14ac:dyDescent="0.2">
      <c r="A128" s="2">
        <v>45599</v>
      </c>
      <c r="B128" s="79" t="s">
        <v>23</v>
      </c>
      <c r="C128" s="79" t="s">
        <v>11</v>
      </c>
      <c r="D128" s="9">
        <v>0.60121599999999997</v>
      </c>
      <c r="E128" s="8">
        <v>214.07158898056767</v>
      </c>
      <c r="F128" s="8"/>
      <c r="G128">
        <v>159</v>
      </c>
    </row>
    <row r="129" spans="1:7" hidden="1" x14ac:dyDescent="0.2">
      <c r="A129" s="2">
        <v>45600</v>
      </c>
      <c r="B129" s="79" t="s">
        <v>10</v>
      </c>
      <c r="C129" s="79" t="s">
        <v>11</v>
      </c>
      <c r="D129" s="9">
        <v>0.615228</v>
      </c>
      <c r="E129" s="8">
        <v>215.78445248899521</v>
      </c>
      <c r="F129" s="8"/>
      <c r="G129">
        <v>414</v>
      </c>
    </row>
    <row r="130" spans="1:7" hidden="1" x14ac:dyDescent="0.2">
      <c r="A130" s="2">
        <v>45601</v>
      </c>
      <c r="B130" s="79" t="s">
        <v>13</v>
      </c>
      <c r="C130" s="79" t="s">
        <v>11</v>
      </c>
      <c r="D130" s="9">
        <v>0.68310700000000002</v>
      </c>
      <c r="E130" s="8">
        <v>224.73248590575719</v>
      </c>
      <c r="F130" s="8"/>
      <c r="G130" s="4">
        <v>1767</v>
      </c>
    </row>
    <row r="131" spans="1:7" hidden="1" x14ac:dyDescent="0.2">
      <c r="A131" s="2">
        <v>45602</v>
      </c>
      <c r="B131" s="79" t="s">
        <v>15</v>
      </c>
      <c r="C131" s="79" t="s">
        <v>11</v>
      </c>
      <c r="D131" s="9">
        <v>0.74555700000000003</v>
      </c>
      <c r="E131" s="8">
        <v>236.47805588362203</v>
      </c>
      <c r="F131" s="8"/>
      <c r="G131" s="4">
        <v>3087</v>
      </c>
    </row>
    <row r="132" spans="1:7" hidden="1" x14ac:dyDescent="0.2">
      <c r="A132" s="2">
        <v>45603</v>
      </c>
      <c r="B132" s="79" t="s">
        <v>17</v>
      </c>
      <c r="C132" s="79" t="s">
        <v>11</v>
      </c>
      <c r="D132" s="9">
        <v>0.76286399999999999</v>
      </c>
      <c r="E132" s="8">
        <v>242.87723330594358</v>
      </c>
      <c r="F132" s="8"/>
      <c r="G132" s="4">
        <v>3491</v>
      </c>
    </row>
    <row r="133" spans="1:7" hidden="1" x14ac:dyDescent="0.2">
      <c r="A133" s="2">
        <v>45604</v>
      </c>
      <c r="B133" s="79" t="s">
        <v>19</v>
      </c>
      <c r="C133" s="79" t="s">
        <v>11</v>
      </c>
      <c r="D133" s="9">
        <v>0.82331900000000002</v>
      </c>
      <c r="E133" s="8">
        <v>253.88729557636859</v>
      </c>
      <c r="F133" s="8"/>
      <c r="G133" s="4">
        <v>3219</v>
      </c>
    </row>
    <row r="134" spans="1:7" hidden="1" x14ac:dyDescent="0.2">
      <c r="A134" s="2">
        <v>45605</v>
      </c>
      <c r="B134" s="79" t="s">
        <v>21</v>
      </c>
      <c r="C134" s="79" t="s">
        <v>11</v>
      </c>
      <c r="D134" s="9">
        <v>0.77650399999999997</v>
      </c>
      <c r="E134" s="8">
        <v>239.4885295179576</v>
      </c>
      <c r="F134" s="8"/>
      <c r="G134" s="4">
        <v>1575</v>
      </c>
    </row>
    <row r="135" spans="1:7" hidden="1" x14ac:dyDescent="0.2">
      <c r="A135" s="2">
        <v>45606</v>
      </c>
      <c r="B135" s="79" t="s">
        <v>23</v>
      </c>
      <c r="C135" s="79" t="s">
        <v>11</v>
      </c>
      <c r="D135" s="9">
        <v>0.67340999999999995</v>
      </c>
      <c r="E135" s="8">
        <v>228.37999242090831</v>
      </c>
      <c r="F135" s="8"/>
      <c r="G135">
        <v>939</v>
      </c>
    </row>
    <row r="136" spans="1:7" hidden="1" x14ac:dyDescent="0.2">
      <c r="A136" s="2">
        <v>45607</v>
      </c>
      <c r="B136" s="79" t="s">
        <v>10</v>
      </c>
      <c r="C136" s="79" t="s">
        <v>11</v>
      </c>
      <c r="D136" s="9">
        <v>0.60706199999999999</v>
      </c>
      <c r="E136" s="8">
        <v>215.18313130486465</v>
      </c>
      <c r="F136" s="8"/>
      <c r="G136" s="4">
        <v>1009</v>
      </c>
    </row>
    <row r="137" spans="1:7" hidden="1" x14ac:dyDescent="0.2">
      <c r="A137" s="2">
        <v>45608</v>
      </c>
      <c r="B137" s="79" t="s">
        <v>13</v>
      </c>
      <c r="C137" s="79" t="s">
        <v>11</v>
      </c>
      <c r="D137" s="9">
        <v>0.67688999999999999</v>
      </c>
      <c r="E137" s="8">
        <v>217.73501747893647</v>
      </c>
      <c r="F137" s="8"/>
      <c r="G137" s="4">
        <v>1268</v>
      </c>
    </row>
    <row r="138" spans="1:7" hidden="1" x14ac:dyDescent="0.2">
      <c r="A138" s="2">
        <v>45609</v>
      </c>
      <c r="B138" s="79" t="s">
        <v>15</v>
      </c>
      <c r="C138" s="79" t="s">
        <v>11</v>
      </c>
      <c r="D138" s="9">
        <v>0.67916299999999996</v>
      </c>
      <c r="E138" s="8">
        <v>211.68357220860219</v>
      </c>
      <c r="F138" s="8"/>
      <c r="G138" s="4">
        <v>1431</v>
      </c>
    </row>
    <row r="139" spans="1:7" hidden="1" x14ac:dyDescent="0.2">
      <c r="A139" s="2">
        <v>45610</v>
      </c>
      <c r="B139" s="79" t="s">
        <v>17</v>
      </c>
      <c r="C139" s="79" t="s">
        <v>11</v>
      </c>
      <c r="D139" s="9">
        <v>0.723333</v>
      </c>
      <c r="E139" s="8">
        <v>216.11193200834992</v>
      </c>
      <c r="F139" s="8"/>
      <c r="G139" s="4">
        <v>1750</v>
      </c>
    </row>
    <row r="140" spans="1:7" hidden="1" x14ac:dyDescent="0.2">
      <c r="A140" s="2">
        <v>45611</v>
      </c>
      <c r="B140" s="79" t="s">
        <v>19</v>
      </c>
      <c r="C140" s="79" t="s">
        <v>11</v>
      </c>
      <c r="D140" s="9">
        <v>0.82280900000000001</v>
      </c>
      <c r="E140" s="8">
        <v>239.57199560052959</v>
      </c>
      <c r="F140" s="8"/>
      <c r="G140" s="4">
        <v>1624</v>
      </c>
    </row>
    <row r="141" spans="1:7" hidden="1" x14ac:dyDescent="0.2">
      <c r="A141" s="2">
        <v>45612</v>
      </c>
      <c r="B141" s="79" t="s">
        <v>21</v>
      </c>
      <c r="C141" s="79" t="s">
        <v>11</v>
      </c>
      <c r="D141" s="9">
        <v>0.83696000000000004</v>
      </c>
      <c r="E141" s="8">
        <v>240.96511669092251</v>
      </c>
      <c r="F141" s="8"/>
      <c r="G141" s="4">
        <v>1434</v>
      </c>
    </row>
    <row r="142" spans="1:7" hidden="1" x14ac:dyDescent="0.2">
      <c r="A142" s="2">
        <v>45613</v>
      </c>
      <c r="B142" s="79" t="s">
        <v>23</v>
      </c>
      <c r="C142" s="79" t="s">
        <v>11</v>
      </c>
      <c r="D142" s="9">
        <v>0.78847500000000004</v>
      </c>
      <c r="E142" s="8">
        <v>244.3803771929839</v>
      </c>
      <c r="F142" s="8"/>
      <c r="G142" s="4">
        <v>1066</v>
      </c>
    </row>
    <row r="143" spans="1:7" hidden="1" x14ac:dyDescent="0.2">
      <c r="A143" s="2">
        <v>45614</v>
      </c>
      <c r="B143" s="79" t="s">
        <v>10</v>
      </c>
      <c r="C143" s="79" t="s">
        <v>11</v>
      </c>
      <c r="D143" s="9">
        <v>0.84470800000000001</v>
      </c>
      <c r="E143" s="8">
        <v>254.93929419033756</v>
      </c>
      <c r="F143" s="8"/>
      <c r="G143" s="4">
        <v>2130</v>
      </c>
    </row>
    <row r="144" spans="1:7" hidden="1" x14ac:dyDescent="0.2">
      <c r="A144" s="2">
        <v>45615</v>
      </c>
      <c r="B144" s="79" t="s">
        <v>13</v>
      </c>
      <c r="C144" s="79" t="s">
        <v>11</v>
      </c>
      <c r="D144" s="9">
        <v>0.85264200000000001</v>
      </c>
      <c r="E144" s="8">
        <v>261.90835827231376</v>
      </c>
      <c r="F144" s="8"/>
      <c r="G144" s="4">
        <v>3551</v>
      </c>
    </row>
    <row r="145" spans="1:7" hidden="1" x14ac:dyDescent="0.2">
      <c r="A145" s="2">
        <v>45616</v>
      </c>
      <c r="B145" s="79" t="s">
        <v>15</v>
      </c>
      <c r="C145" s="79" t="s">
        <v>11</v>
      </c>
      <c r="D145" s="9">
        <v>0.80823999999999996</v>
      </c>
      <c r="E145" s="8">
        <v>263.14709873872874</v>
      </c>
      <c r="F145" s="8"/>
      <c r="G145" s="4">
        <v>3815</v>
      </c>
    </row>
    <row r="146" spans="1:7" hidden="1" x14ac:dyDescent="0.2">
      <c r="A146" s="2">
        <v>45617</v>
      </c>
      <c r="B146" s="79" t="s">
        <v>17</v>
      </c>
      <c r="C146" s="79" t="s">
        <v>11</v>
      </c>
      <c r="D146" s="9">
        <v>0.72820499999999999</v>
      </c>
      <c r="E146" s="8">
        <v>249.5869939474326</v>
      </c>
      <c r="F146" s="8"/>
      <c r="G146" s="4">
        <v>1836</v>
      </c>
    </row>
    <row r="147" spans="1:7" hidden="1" x14ac:dyDescent="0.2">
      <c r="A147" s="2">
        <v>45618</v>
      </c>
      <c r="B147" s="79" t="s">
        <v>19</v>
      </c>
      <c r="C147" s="79" t="s">
        <v>11</v>
      </c>
      <c r="D147" s="9">
        <v>0.76175000000000004</v>
      </c>
      <c r="E147" s="8">
        <v>239.53070166850753</v>
      </c>
      <c r="F147" s="8"/>
      <c r="G147">
        <v>299</v>
      </c>
    </row>
    <row r="148" spans="1:7" hidden="1" x14ac:dyDescent="0.2">
      <c r="A148" s="2">
        <v>45619</v>
      </c>
      <c r="B148" s="79" t="s">
        <v>21</v>
      </c>
      <c r="C148" s="79" t="s">
        <v>11</v>
      </c>
      <c r="D148" s="9">
        <v>0.82976799999999995</v>
      </c>
      <c r="E148" s="8">
        <v>242.16700290816007</v>
      </c>
      <c r="F148" s="8"/>
      <c r="G148">
        <v>168</v>
      </c>
    </row>
    <row r="149" spans="1:7" hidden="1" x14ac:dyDescent="0.2">
      <c r="A149" s="2">
        <v>45620</v>
      </c>
      <c r="B149" s="79" t="s">
        <v>23</v>
      </c>
      <c r="C149" s="79" t="s">
        <v>11</v>
      </c>
      <c r="D149" s="9">
        <v>0.75144999999999995</v>
      </c>
      <c r="E149" s="8">
        <v>244.9660613721471</v>
      </c>
      <c r="F149" s="8"/>
      <c r="G149">
        <v>28</v>
      </c>
    </row>
    <row r="150" spans="1:7" hidden="1" x14ac:dyDescent="0.2">
      <c r="A150" s="2">
        <v>45621</v>
      </c>
      <c r="B150" s="79" t="s">
        <v>10</v>
      </c>
      <c r="C150" s="79" t="s">
        <v>11</v>
      </c>
      <c r="D150" s="9">
        <v>0.74527900000000002</v>
      </c>
      <c r="E150" s="8">
        <v>258.28982817763472</v>
      </c>
      <c r="F150" s="8"/>
      <c r="G150">
        <v>155</v>
      </c>
    </row>
    <row r="151" spans="1:7" hidden="1" x14ac:dyDescent="0.2">
      <c r="A151" s="2">
        <v>45622</v>
      </c>
      <c r="B151" s="79" t="s">
        <v>13</v>
      </c>
      <c r="C151" s="79" t="s">
        <v>11</v>
      </c>
      <c r="D151" s="9">
        <v>0.696191</v>
      </c>
      <c r="E151" s="8">
        <v>250.69541486242261</v>
      </c>
      <c r="F151" s="8"/>
      <c r="G151">
        <v>387</v>
      </c>
    </row>
    <row r="152" spans="1:7" hidden="1" x14ac:dyDescent="0.2">
      <c r="A152" s="2">
        <v>45623</v>
      </c>
      <c r="B152" s="79" t="s">
        <v>15</v>
      </c>
      <c r="C152" s="79" t="s">
        <v>11</v>
      </c>
      <c r="D152" s="9">
        <v>0.75015100000000001</v>
      </c>
      <c r="E152" s="8">
        <v>245.12276595738817</v>
      </c>
      <c r="F152" s="8"/>
      <c r="G152">
        <v>646</v>
      </c>
    </row>
    <row r="153" spans="1:7" hidden="1" x14ac:dyDescent="0.2">
      <c r="A153" s="2">
        <v>45624</v>
      </c>
      <c r="B153" s="79" t="s">
        <v>17</v>
      </c>
      <c r="C153" s="79" t="s">
        <v>11</v>
      </c>
      <c r="D153" s="9">
        <v>0.81079199999999996</v>
      </c>
      <c r="E153" s="8">
        <v>246.93248927031416</v>
      </c>
      <c r="F153" s="8"/>
      <c r="G153">
        <v>868</v>
      </c>
    </row>
    <row r="154" spans="1:7" hidden="1" x14ac:dyDescent="0.2">
      <c r="A154" s="2">
        <v>45625</v>
      </c>
      <c r="B154" s="79" t="s">
        <v>19</v>
      </c>
      <c r="C154" s="79" t="s">
        <v>11</v>
      </c>
      <c r="D154" s="9">
        <v>0.84777100000000005</v>
      </c>
      <c r="E154" s="8">
        <v>246.46388682235167</v>
      </c>
      <c r="F154" s="8"/>
      <c r="G154" s="4">
        <v>1002</v>
      </c>
    </row>
    <row r="155" spans="1:7" hidden="1" x14ac:dyDescent="0.2">
      <c r="A155" s="2">
        <v>45626</v>
      </c>
      <c r="B155" s="79" t="s">
        <v>21</v>
      </c>
      <c r="C155" s="79" t="s">
        <v>11</v>
      </c>
      <c r="D155" s="9">
        <v>0.77297800000000005</v>
      </c>
      <c r="E155" s="8">
        <v>226.83261524524454</v>
      </c>
      <c r="F155" s="8"/>
      <c r="G155">
        <v>797</v>
      </c>
    </row>
    <row r="156" spans="1:7" hidden="1" x14ac:dyDescent="0.2">
      <c r="A156" s="2">
        <v>45627</v>
      </c>
      <c r="B156" s="79" t="s">
        <v>23</v>
      </c>
      <c r="C156" s="79" t="s">
        <v>11</v>
      </c>
      <c r="D156" s="9">
        <v>0.59184300000000001</v>
      </c>
      <c r="E156" s="8">
        <v>232.68338193763432</v>
      </c>
      <c r="F156" s="8"/>
      <c r="G156">
        <v>108</v>
      </c>
    </row>
    <row r="157" spans="1:7" hidden="1" x14ac:dyDescent="0.2">
      <c r="A157" s="2">
        <v>45628</v>
      </c>
      <c r="B157" s="79" t="s">
        <v>10</v>
      </c>
      <c r="C157" s="79" t="s">
        <v>11</v>
      </c>
      <c r="D157" s="9">
        <v>0.66176400000000002</v>
      </c>
      <c r="E157" s="8">
        <v>239.24945453220431</v>
      </c>
      <c r="F157" s="8"/>
      <c r="G157">
        <v>169</v>
      </c>
    </row>
    <row r="158" spans="1:7" hidden="1" x14ac:dyDescent="0.2">
      <c r="A158" s="2">
        <v>45629</v>
      </c>
      <c r="B158" s="79" t="s">
        <v>13</v>
      </c>
      <c r="C158" s="79" t="s">
        <v>11</v>
      </c>
      <c r="D158" s="9">
        <v>0.73298399999999997</v>
      </c>
      <c r="E158" s="8">
        <v>243.85429737963096</v>
      </c>
      <c r="F158" s="8"/>
      <c r="G158">
        <v>554</v>
      </c>
    </row>
    <row r="159" spans="1:7" hidden="1" x14ac:dyDescent="0.2">
      <c r="A159" s="2">
        <v>45630</v>
      </c>
      <c r="B159" s="79" t="s">
        <v>15</v>
      </c>
      <c r="C159" s="79" t="s">
        <v>11</v>
      </c>
      <c r="D159" s="9">
        <v>0.79483099999999995</v>
      </c>
      <c r="E159" s="8">
        <v>261.49224563674477</v>
      </c>
      <c r="F159" s="8"/>
      <c r="G159" s="4">
        <v>1753</v>
      </c>
    </row>
    <row r="160" spans="1:7" hidden="1" x14ac:dyDescent="0.2">
      <c r="A160" s="2">
        <v>45631</v>
      </c>
      <c r="B160" s="79" t="s">
        <v>17</v>
      </c>
      <c r="C160" s="79" t="s">
        <v>11</v>
      </c>
      <c r="D160" s="9">
        <v>0.83134600000000003</v>
      </c>
      <c r="E160" s="8">
        <v>266.07779607166771</v>
      </c>
      <c r="F160" s="8"/>
      <c r="G160" s="4">
        <v>2613</v>
      </c>
    </row>
    <row r="161" spans="1:7" hidden="1" x14ac:dyDescent="0.2">
      <c r="A161" s="2">
        <v>45632</v>
      </c>
      <c r="B161" s="79" t="s">
        <v>19</v>
      </c>
      <c r="C161" s="79" t="s">
        <v>11</v>
      </c>
      <c r="D161" s="9">
        <v>0.85667899999999997</v>
      </c>
      <c r="E161" s="8">
        <v>276.73243338467637</v>
      </c>
      <c r="F161" s="8"/>
      <c r="G161" s="4">
        <v>1987</v>
      </c>
    </row>
    <row r="162" spans="1:7" hidden="1" x14ac:dyDescent="0.2">
      <c r="A162" s="2">
        <v>45633</v>
      </c>
      <c r="B162" s="79" t="s">
        <v>21</v>
      </c>
      <c r="C162" s="79" t="s">
        <v>11</v>
      </c>
      <c r="D162" s="9">
        <v>0.83621800000000002</v>
      </c>
      <c r="E162" s="8">
        <v>249.40005437438873</v>
      </c>
      <c r="F162" s="8"/>
      <c r="G162">
        <v>283</v>
      </c>
    </row>
    <row r="163" spans="1:7" hidden="1" x14ac:dyDescent="0.2">
      <c r="A163" s="2">
        <v>45634</v>
      </c>
      <c r="B163" s="79" t="s">
        <v>23</v>
      </c>
      <c r="C163" s="79" t="s">
        <v>11</v>
      </c>
      <c r="D163" s="9">
        <v>0.706816</v>
      </c>
      <c r="E163" s="8">
        <v>233.34828541443486</v>
      </c>
      <c r="F163" s="8"/>
      <c r="G163">
        <v>115</v>
      </c>
    </row>
    <row r="164" spans="1:7" hidden="1" x14ac:dyDescent="0.2">
      <c r="A164" s="2">
        <v>45635</v>
      </c>
      <c r="B164" s="79" t="s">
        <v>10</v>
      </c>
      <c r="C164" s="79" t="s">
        <v>11</v>
      </c>
      <c r="D164" s="9">
        <v>0.72115300000000004</v>
      </c>
      <c r="E164" s="8">
        <v>232.90191275844407</v>
      </c>
      <c r="F164" s="8"/>
      <c r="G164">
        <v>230</v>
      </c>
    </row>
    <row r="165" spans="1:7" hidden="1" x14ac:dyDescent="0.2">
      <c r="A165" s="2">
        <v>45636</v>
      </c>
      <c r="B165" s="79" t="s">
        <v>13</v>
      </c>
      <c r="C165" s="79" t="s">
        <v>11</v>
      </c>
      <c r="D165" s="9">
        <v>0.71822900000000001</v>
      </c>
      <c r="E165" s="8">
        <v>231.15519961314723</v>
      </c>
      <c r="F165" s="8"/>
      <c r="G165">
        <v>230</v>
      </c>
    </row>
    <row r="166" spans="1:7" hidden="1" x14ac:dyDescent="0.2">
      <c r="A166" s="2">
        <v>45637</v>
      </c>
      <c r="B166" s="79" t="s">
        <v>15</v>
      </c>
      <c r="C166" s="79" t="s">
        <v>11</v>
      </c>
      <c r="D166" s="9">
        <v>0.701851</v>
      </c>
      <c r="E166" s="8">
        <v>231.13481390905477</v>
      </c>
      <c r="F166" s="8"/>
      <c r="G166">
        <v>357</v>
      </c>
    </row>
    <row r="167" spans="1:7" hidden="1" x14ac:dyDescent="0.2">
      <c r="A167" s="2">
        <v>45638</v>
      </c>
      <c r="B167" s="79" t="s">
        <v>17</v>
      </c>
      <c r="C167" s="79" t="s">
        <v>11</v>
      </c>
      <c r="D167" s="9">
        <v>0.72653500000000004</v>
      </c>
      <c r="E167" s="8">
        <v>226.0862673214227</v>
      </c>
      <c r="F167" s="8"/>
      <c r="G167">
        <v>543</v>
      </c>
    </row>
    <row r="168" spans="1:7" hidden="1" x14ac:dyDescent="0.2">
      <c r="A168" s="2">
        <v>45639</v>
      </c>
      <c r="B168" s="79" t="s">
        <v>19</v>
      </c>
      <c r="C168" s="79" t="s">
        <v>11</v>
      </c>
      <c r="D168" s="9">
        <v>0.83459399999999995</v>
      </c>
      <c r="E168" s="8">
        <v>241.26349121668829</v>
      </c>
      <c r="F168" s="8"/>
      <c r="G168">
        <v>248</v>
      </c>
    </row>
    <row r="169" spans="1:7" hidden="1" x14ac:dyDescent="0.2">
      <c r="A169" s="2">
        <v>45640</v>
      </c>
      <c r="B169" s="79" t="s">
        <v>21</v>
      </c>
      <c r="C169" s="79" t="s">
        <v>11</v>
      </c>
      <c r="D169" s="9">
        <v>0.85208600000000001</v>
      </c>
      <c r="E169" s="8">
        <v>241.5243386883381</v>
      </c>
      <c r="F169" s="8"/>
      <c r="G169">
        <v>80</v>
      </c>
    </row>
    <row r="170" spans="1:7" hidden="1" x14ac:dyDescent="0.2">
      <c r="A170" s="2">
        <v>45641</v>
      </c>
      <c r="B170" s="79" t="s">
        <v>23</v>
      </c>
      <c r="C170" s="79" t="s">
        <v>11</v>
      </c>
      <c r="D170" s="9">
        <v>0.60733999999999999</v>
      </c>
      <c r="E170" s="8">
        <v>221.35566310092807</v>
      </c>
      <c r="F170" s="8"/>
      <c r="G170">
        <v>0</v>
      </c>
    </row>
    <row r="171" spans="1:7" hidden="1" x14ac:dyDescent="0.2">
      <c r="A171" s="2">
        <v>45642</v>
      </c>
      <c r="B171" s="79" t="s">
        <v>10</v>
      </c>
      <c r="C171" s="79" t="s">
        <v>11</v>
      </c>
      <c r="D171" s="9">
        <v>0.54771999999999998</v>
      </c>
      <c r="E171" s="8">
        <v>222.9756001685227</v>
      </c>
      <c r="F171" s="8"/>
      <c r="G171">
        <v>0</v>
      </c>
    </row>
    <row r="172" spans="1:7" hidden="1" x14ac:dyDescent="0.2">
      <c r="A172" s="2">
        <v>45643</v>
      </c>
      <c r="B172" s="79" t="s">
        <v>13</v>
      </c>
      <c r="C172" s="79" t="s">
        <v>11</v>
      </c>
      <c r="D172" s="9">
        <v>0.53338300000000005</v>
      </c>
      <c r="E172" s="8">
        <v>221.76686499582166</v>
      </c>
      <c r="F172" s="8"/>
      <c r="G172">
        <v>0</v>
      </c>
    </row>
    <row r="173" spans="1:7" hidden="1" x14ac:dyDescent="0.2">
      <c r="A173" s="2">
        <v>45644</v>
      </c>
      <c r="B173" s="79" t="s">
        <v>15</v>
      </c>
      <c r="C173" s="79" t="s">
        <v>11</v>
      </c>
      <c r="D173" s="9">
        <v>0.55393700000000001</v>
      </c>
      <c r="E173" s="8">
        <v>218.90663037083834</v>
      </c>
      <c r="F173" s="8"/>
      <c r="G173">
        <v>0</v>
      </c>
    </row>
    <row r="174" spans="1:7" hidden="1" x14ac:dyDescent="0.2">
      <c r="A174" s="2">
        <v>45645</v>
      </c>
      <c r="B174" s="79" t="s">
        <v>17</v>
      </c>
      <c r="C174" s="79" t="s">
        <v>11</v>
      </c>
      <c r="D174" s="9">
        <v>0.599777</v>
      </c>
      <c r="E174" s="8">
        <v>222.66394213597104</v>
      </c>
      <c r="F174" s="8"/>
      <c r="G174">
        <v>0</v>
      </c>
    </row>
    <row r="175" spans="1:7" hidden="1" x14ac:dyDescent="0.2">
      <c r="A175" s="2">
        <v>45646</v>
      </c>
      <c r="B175" s="79" t="s">
        <v>19</v>
      </c>
      <c r="C175" s="79" t="s">
        <v>11</v>
      </c>
      <c r="D175" s="9">
        <v>0.71711599999999998</v>
      </c>
      <c r="E175" s="8">
        <v>240.63241524378304</v>
      </c>
      <c r="F175" s="8"/>
      <c r="G175">
        <v>0</v>
      </c>
    </row>
    <row r="176" spans="1:7" hidden="1" x14ac:dyDescent="0.2">
      <c r="A176" s="2">
        <v>45647</v>
      </c>
      <c r="B176" s="79" t="s">
        <v>21</v>
      </c>
      <c r="C176" s="79" t="s">
        <v>11</v>
      </c>
      <c r="D176" s="9">
        <v>0.77766400000000002</v>
      </c>
      <c r="E176" s="8">
        <v>244.16331901468794</v>
      </c>
      <c r="F176" s="8"/>
      <c r="G176">
        <v>10</v>
      </c>
    </row>
    <row r="177" spans="1:7" hidden="1" x14ac:dyDescent="0.2">
      <c r="A177" s="2">
        <v>45648</v>
      </c>
      <c r="B177" s="79" t="s">
        <v>23</v>
      </c>
      <c r="C177" s="79" t="s">
        <v>11</v>
      </c>
      <c r="D177" s="9">
        <v>0.72672000000000003</v>
      </c>
      <c r="E177" s="8">
        <v>246.81163314728602</v>
      </c>
      <c r="F177" s="8"/>
      <c r="G177">
        <v>10</v>
      </c>
    </row>
    <row r="178" spans="1:7" hidden="1" x14ac:dyDescent="0.2">
      <c r="A178" s="2">
        <v>45649</v>
      </c>
      <c r="B178" s="79" t="s">
        <v>10</v>
      </c>
      <c r="C178" s="79" t="s">
        <v>11</v>
      </c>
      <c r="D178" s="9">
        <v>0.72300799999999998</v>
      </c>
      <c r="E178" s="8">
        <v>244.78848681316271</v>
      </c>
      <c r="F178" s="8"/>
      <c r="G178">
        <v>0</v>
      </c>
    </row>
    <row r="179" spans="1:7" hidden="1" x14ac:dyDescent="0.2">
      <c r="A179" s="2">
        <v>45650</v>
      </c>
      <c r="B179" s="79" t="s">
        <v>13</v>
      </c>
      <c r="C179" s="79" t="s">
        <v>11</v>
      </c>
      <c r="D179" s="9">
        <v>0.75632200000000005</v>
      </c>
      <c r="E179" s="8">
        <v>247.23297404996256</v>
      </c>
      <c r="F179" s="8"/>
      <c r="G179">
        <v>0</v>
      </c>
    </row>
    <row r="180" spans="1:7" hidden="1" x14ac:dyDescent="0.2">
      <c r="A180" s="2">
        <v>45651</v>
      </c>
      <c r="B180" s="79" t="s">
        <v>15</v>
      </c>
      <c r="C180" s="79" t="s">
        <v>11</v>
      </c>
      <c r="D180" s="9">
        <v>0.80949300000000002</v>
      </c>
      <c r="E180" s="8">
        <v>257.38888347598044</v>
      </c>
      <c r="F180" s="8"/>
      <c r="G180">
        <v>0</v>
      </c>
    </row>
    <row r="181" spans="1:7" hidden="1" x14ac:dyDescent="0.2">
      <c r="A181" s="2">
        <v>45652</v>
      </c>
      <c r="B181" s="79" t="s">
        <v>17</v>
      </c>
      <c r="C181" s="79" t="s">
        <v>11</v>
      </c>
      <c r="D181" s="9">
        <v>0.87741800000000003</v>
      </c>
      <c r="E181" s="8">
        <v>282.96198878978697</v>
      </c>
      <c r="F181" s="8"/>
      <c r="G181">
        <v>0</v>
      </c>
    </row>
    <row r="182" spans="1:7" hidden="1" x14ac:dyDescent="0.2">
      <c r="A182" s="2">
        <v>45653</v>
      </c>
      <c r="B182" s="79" t="s">
        <v>19</v>
      </c>
      <c r="C182" s="79" t="s">
        <v>11</v>
      </c>
      <c r="D182" s="9">
        <v>0.91583499999999995</v>
      </c>
      <c r="E182" s="8">
        <v>291.71743654637658</v>
      </c>
      <c r="F182" s="8"/>
      <c r="G182">
        <v>0</v>
      </c>
    </row>
    <row r="183" spans="1:7" hidden="1" x14ac:dyDescent="0.2">
      <c r="A183" s="2">
        <v>45654</v>
      </c>
      <c r="B183" s="79" t="s">
        <v>21</v>
      </c>
      <c r="C183" s="79" t="s">
        <v>11</v>
      </c>
      <c r="D183" s="9">
        <v>0.90725199999999995</v>
      </c>
      <c r="E183" s="8">
        <v>290.049645084144</v>
      </c>
      <c r="F183" s="8"/>
      <c r="G183">
        <v>10</v>
      </c>
    </row>
    <row r="184" spans="1:7" hidden="1" x14ac:dyDescent="0.2">
      <c r="A184" s="2">
        <v>45655</v>
      </c>
      <c r="B184" s="79" t="s">
        <v>23</v>
      </c>
      <c r="C184" s="79" t="s">
        <v>11</v>
      </c>
      <c r="D184" s="9">
        <v>0.84183200000000002</v>
      </c>
      <c r="E184" s="8">
        <v>279.23754188831998</v>
      </c>
      <c r="F184" s="8"/>
      <c r="G184">
        <v>10</v>
      </c>
    </row>
    <row r="185" spans="1:7" hidden="1" x14ac:dyDescent="0.2">
      <c r="A185" s="2">
        <v>45656</v>
      </c>
      <c r="B185" s="79" t="s">
        <v>10</v>
      </c>
      <c r="C185" s="79" t="s">
        <v>11</v>
      </c>
      <c r="D185" s="9">
        <v>0.81909699999999996</v>
      </c>
      <c r="E185" s="8">
        <v>277.42805086658097</v>
      </c>
      <c r="F185" s="8"/>
      <c r="G185">
        <v>0</v>
      </c>
    </row>
    <row r="186" spans="1:7" hidden="1" x14ac:dyDescent="0.2">
      <c r="A186" s="2">
        <v>45657</v>
      </c>
      <c r="B186" s="79" t="s">
        <v>13</v>
      </c>
      <c r="C186" s="79" t="s">
        <v>11</v>
      </c>
      <c r="D186" s="9">
        <v>0.88252200000000003</v>
      </c>
      <c r="E186" s="8">
        <v>283.0659092582286</v>
      </c>
      <c r="F186" s="8"/>
      <c r="G186">
        <v>25</v>
      </c>
    </row>
    <row r="187" spans="1:7" hidden="1" x14ac:dyDescent="0.2">
      <c r="A187" s="2">
        <v>45658</v>
      </c>
      <c r="B187" s="79" t="s">
        <v>15</v>
      </c>
      <c r="C187" s="79" t="s">
        <v>11</v>
      </c>
      <c r="D187" s="9">
        <v>0.78480499999999997</v>
      </c>
      <c r="E187" s="8">
        <v>251.83565322572889</v>
      </c>
      <c r="F187" s="8">
        <v>197.64199093206926</v>
      </c>
      <c r="G187">
        <v>350</v>
      </c>
    </row>
    <row r="188" spans="1:7" hidden="1" x14ac:dyDescent="0.2">
      <c r="A188" s="2">
        <v>45659</v>
      </c>
      <c r="B188" s="79" t="s">
        <v>17</v>
      </c>
      <c r="C188" s="79" t="s">
        <v>11</v>
      </c>
      <c r="D188" s="9">
        <v>0.78207599999999999</v>
      </c>
      <c r="E188" s="8">
        <v>252.93908773571647</v>
      </c>
      <c r="F188" s="8">
        <v>197.81748947378037</v>
      </c>
      <c r="G188">
        <v>450</v>
      </c>
    </row>
    <row r="189" spans="1:7" hidden="1" x14ac:dyDescent="0.2">
      <c r="A189" s="2">
        <v>45660</v>
      </c>
      <c r="B189" s="79" t="s">
        <v>19</v>
      </c>
      <c r="C189" s="79" t="s">
        <v>11</v>
      </c>
      <c r="D189" s="9">
        <v>0.77240500000000001</v>
      </c>
      <c r="E189" s="8">
        <v>245.62129927014016</v>
      </c>
      <c r="F189" s="8">
        <v>189.71924166083932</v>
      </c>
      <c r="G189">
        <v>500</v>
      </c>
    </row>
    <row r="190" spans="1:7" hidden="1" x14ac:dyDescent="0.2">
      <c r="A190" s="2">
        <v>45661</v>
      </c>
      <c r="B190" s="79" t="s">
        <v>21</v>
      </c>
      <c r="C190" s="79" t="s">
        <v>11</v>
      </c>
      <c r="D190" s="9">
        <v>0.69319399999999998</v>
      </c>
      <c r="E190" s="8">
        <v>228.62296021863165</v>
      </c>
      <c r="F190" s="8">
        <v>158.48004395482067</v>
      </c>
      <c r="G190">
        <v>312</v>
      </c>
    </row>
    <row r="191" spans="1:7" hidden="1" x14ac:dyDescent="0.2">
      <c r="A191" s="2">
        <v>45662</v>
      </c>
      <c r="B191" s="79" t="s">
        <v>23</v>
      </c>
      <c r="C191" s="79" t="s">
        <v>11</v>
      </c>
      <c r="D191" s="9">
        <v>0.51085000000000003</v>
      </c>
      <c r="E191" s="8">
        <v>202.47615705080602</v>
      </c>
      <c r="F191" s="8">
        <v>103.4349349927335</v>
      </c>
      <c r="G191">
        <v>64</v>
      </c>
    </row>
    <row r="192" spans="1:7" hidden="1" x14ac:dyDescent="0.2">
      <c r="A192" s="2">
        <v>45663</v>
      </c>
      <c r="B192" s="79" t="s">
        <v>10</v>
      </c>
      <c r="C192" s="79" t="s">
        <v>11</v>
      </c>
      <c r="D192" s="9">
        <v>0.50210500000000002</v>
      </c>
      <c r="E192" s="8">
        <v>193.32947475092888</v>
      </c>
      <c r="F192" s="8">
        <v>97.071737380145294</v>
      </c>
      <c r="G192">
        <v>14</v>
      </c>
    </row>
    <row r="193" spans="1:7" hidden="1" x14ac:dyDescent="0.2">
      <c r="A193" s="2">
        <v>45664</v>
      </c>
      <c r="B193" s="79" t="s">
        <v>13</v>
      </c>
      <c r="C193" s="79" t="s">
        <v>11</v>
      </c>
      <c r="D193" s="9">
        <v>0.542821</v>
      </c>
      <c r="E193" s="8">
        <v>189.30308898708779</v>
      </c>
      <c r="F193" s="8">
        <v>102.7577772635226</v>
      </c>
      <c r="G193">
        <v>61</v>
      </c>
    </row>
    <row r="194" spans="1:7" hidden="1" x14ac:dyDescent="0.2">
      <c r="A194" s="2">
        <v>45665</v>
      </c>
      <c r="B194" s="79" t="s">
        <v>15</v>
      </c>
      <c r="C194" s="79" t="s">
        <v>11</v>
      </c>
      <c r="D194" s="9">
        <v>0.66547900000000004</v>
      </c>
      <c r="E194" s="8">
        <v>189.66615866004429</v>
      </c>
      <c r="F194" s="8">
        <v>126.21886642332933</v>
      </c>
      <c r="G194">
        <v>556</v>
      </c>
    </row>
    <row r="195" spans="1:7" hidden="1" x14ac:dyDescent="0.2">
      <c r="A195" s="2">
        <v>45666</v>
      </c>
      <c r="B195" s="79" t="s">
        <v>17</v>
      </c>
      <c r="C195" s="79" t="s">
        <v>11</v>
      </c>
      <c r="D195" s="9">
        <v>0.69337899999999997</v>
      </c>
      <c r="E195" s="8">
        <v>193.37428866950103</v>
      </c>
      <c r="F195" s="8">
        <v>134.08166797765892</v>
      </c>
      <c r="G195">
        <v>656</v>
      </c>
    </row>
    <row r="196" spans="1:7" hidden="1" x14ac:dyDescent="0.2">
      <c r="A196" s="2">
        <v>45667</v>
      </c>
      <c r="B196" s="79" t="s">
        <v>19</v>
      </c>
      <c r="C196" s="79" t="s">
        <v>11</v>
      </c>
      <c r="D196" s="9">
        <v>0.71531</v>
      </c>
      <c r="E196" s="8">
        <v>195.39640556232283</v>
      </c>
      <c r="F196" s="8">
        <v>139.76904779500813</v>
      </c>
      <c r="G196">
        <v>472</v>
      </c>
    </row>
    <row r="197" spans="1:7" hidden="1" x14ac:dyDescent="0.2">
      <c r="A197" s="2">
        <v>45668</v>
      </c>
      <c r="B197" s="79" t="s">
        <v>21</v>
      </c>
      <c r="C197" s="79" t="s">
        <v>11</v>
      </c>
      <c r="D197" s="9">
        <v>0.71022099999999999</v>
      </c>
      <c r="E197" s="8">
        <v>190.40777394189587</v>
      </c>
      <c r="F197" s="8">
        <v>135.23154259048266</v>
      </c>
      <c r="G197">
        <v>585</v>
      </c>
    </row>
    <row r="198" spans="1:7" hidden="1" x14ac:dyDescent="0.2">
      <c r="A198" s="2">
        <v>45669</v>
      </c>
      <c r="B198" s="79" t="s">
        <v>23</v>
      </c>
      <c r="C198" s="79" t="s">
        <v>11</v>
      </c>
      <c r="D198" s="9">
        <v>0.49104700000000001</v>
      </c>
      <c r="E198" s="8">
        <v>181.62040139500033</v>
      </c>
      <c r="F198" s="8">
        <v>89.184163235327745</v>
      </c>
      <c r="G198">
        <v>298</v>
      </c>
    </row>
    <row r="199" spans="1:7" hidden="1" x14ac:dyDescent="0.2">
      <c r="A199" s="2">
        <v>45670</v>
      </c>
      <c r="B199" s="79" t="s">
        <v>10</v>
      </c>
      <c r="C199" s="79" t="s">
        <v>11</v>
      </c>
      <c r="D199" s="9">
        <v>0.46578399999999998</v>
      </c>
      <c r="E199" s="8">
        <v>180.74650541322868</v>
      </c>
      <c r="F199" s="8">
        <v>84.18891731804807</v>
      </c>
      <c r="G199">
        <v>50</v>
      </c>
    </row>
    <row r="200" spans="1:7" hidden="1" x14ac:dyDescent="0.2">
      <c r="A200" s="2">
        <v>45671</v>
      </c>
      <c r="B200" s="79" t="s">
        <v>13</v>
      </c>
      <c r="C200" s="79" t="s">
        <v>11</v>
      </c>
      <c r="D200" s="9">
        <v>0.48419899999999999</v>
      </c>
      <c r="E200" s="8">
        <v>186.52951552835626</v>
      </c>
      <c r="F200" s="8">
        <v>90.317465414530517</v>
      </c>
      <c r="G200">
        <v>120</v>
      </c>
    </row>
    <row r="201" spans="1:7" hidden="1" x14ac:dyDescent="0.2">
      <c r="A201" s="2">
        <v>45672</v>
      </c>
      <c r="B201" s="79" t="s">
        <v>15</v>
      </c>
      <c r="C201" s="79" t="s">
        <v>11</v>
      </c>
      <c r="D201" s="9">
        <v>0.52033499999999999</v>
      </c>
      <c r="E201" s="8">
        <v>186.57104926263293</v>
      </c>
      <c r="F201" s="8">
        <v>97.079443853586724</v>
      </c>
      <c r="G201">
        <v>283</v>
      </c>
    </row>
    <row r="202" spans="1:7" hidden="1" x14ac:dyDescent="0.2">
      <c r="A202" s="2">
        <v>45673</v>
      </c>
      <c r="B202" s="79" t="s">
        <v>17</v>
      </c>
      <c r="C202" s="79" t="s">
        <v>11</v>
      </c>
      <c r="D202" s="9">
        <v>0.55586899999999995</v>
      </c>
      <c r="E202" s="8">
        <v>191.75871316889518</v>
      </c>
      <c r="F202" s="8">
        <v>106.59275343594626</v>
      </c>
      <c r="G202">
        <v>556</v>
      </c>
    </row>
    <row r="203" spans="1:7" hidden="1" x14ac:dyDescent="0.2">
      <c r="A203" s="2">
        <v>45674</v>
      </c>
      <c r="B203" s="79" t="s">
        <v>19</v>
      </c>
      <c r="C203" s="79" t="s">
        <v>11</v>
      </c>
      <c r="D203" s="9">
        <v>0.66769999999999996</v>
      </c>
      <c r="E203" s="8">
        <v>204.56096666934206</v>
      </c>
      <c r="F203" s="8">
        <v>136.58535649864783</v>
      </c>
      <c r="G203">
        <v>666</v>
      </c>
    </row>
    <row r="204" spans="1:7" hidden="1" x14ac:dyDescent="0.2">
      <c r="A204" s="2">
        <v>45675</v>
      </c>
      <c r="B204" s="79" t="s">
        <v>21</v>
      </c>
      <c r="C204" s="79" t="s">
        <v>11</v>
      </c>
      <c r="D204" s="9">
        <v>0.74029500000000004</v>
      </c>
      <c r="E204" s="8">
        <v>212.40001937417489</v>
      </c>
      <c r="F204" s="8">
        <v>157.23871327380735</v>
      </c>
      <c r="G204">
        <v>616</v>
      </c>
    </row>
    <row r="205" spans="1:7" hidden="1" x14ac:dyDescent="0.2">
      <c r="A205" s="2">
        <v>45676</v>
      </c>
      <c r="B205" s="79" t="s">
        <v>23</v>
      </c>
      <c r="C205" s="79" t="s">
        <v>11</v>
      </c>
      <c r="D205" s="9">
        <v>0.61592599999999997</v>
      </c>
      <c r="E205" s="8">
        <v>202.58473933268291</v>
      </c>
      <c r="F205" s="8">
        <v>124.77712719181396</v>
      </c>
      <c r="G205">
        <v>779</v>
      </c>
    </row>
    <row r="206" spans="1:7" hidden="1" x14ac:dyDescent="0.2">
      <c r="A206" s="2">
        <v>45677</v>
      </c>
      <c r="B206" s="79" t="s">
        <v>10</v>
      </c>
      <c r="C206" s="79" t="s">
        <v>11</v>
      </c>
      <c r="D206" s="9">
        <v>0.47934100000000002</v>
      </c>
      <c r="E206" s="8">
        <v>193.14996428636394</v>
      </c>
      <c r="F206" s="8">
        <v>92.584723546325378</v>
      </c>
      <c r="G206">
        <v>990</v>
      </c>
    </row>
    <row r="207" spans="1:7" hidden="1" x14ac:dyDescent="0.2">
      <c r="A207" s="2">
        <v>45678</v>
      </c>
      <c r="B207" s="79" t="s">
        <v>13</v>
      </c>
      <c r="C207" s="79" t="s">
        <v>11</v>
      </c>
      <c r="D207" s="9">
        <v>0.61958100000000005</v>
      </c>
      <c r="E207" s="8">
        <v>207.66955865982072</v>
      </c>
      <c r="F207" s="8">
        <v>128.66807291970846</v>
      </c>
      <c r="G207" s="4">
        <v>2247</v>
      </c>
    </row>
    <row r="208" spans="1:7" hidden="1" x14ac:dyDescent="0.2">
      <c r="A208" s="2">
        <v>45679</v>
      </c>
      <c r="B208" s="79" t="s">
        <v>15</v>
      </c>
      <c r="C208" s="79" t="s">
        <v>11</v>
      </c>
      <c r="D208" s="9">
        <v>0.77240500000000001</v>
      </c>
      <c r="E208" s="8">
        <v>258.98935246248334</v>
      </c>
      <c r="F208" s="8">
        <v>200.04479942667362</v>
      </c>
      <c r="G208" s="4">
        <v>4855</v>
      </c>
    </row>
    <row r="209" spans="1:7" hidden="1" x14ac:dyDescent="0.2">
      <c r="A209" s="2">
        <v>45680</v>
      </c>
      <c r="B209" s="79" t="s">
        <v>17</v>
      </c>
      <c r="C209" s="79" t="s">
        <v>11</v>
      </c>
      <c r="D209" s="9">
        <v>0.86670100000000005</v>
      </c>
      <c r="E209" s="8">
        <v>277.33514413763351</v>
      </c>
      <c r="F209" s="8">
        <v>240.36653495517285</v>
      </c>
      <c r="G209" s="4">
        <v>5945</v>
      </c>
    </row>
    <row r="210" spans="1:7" hidden="1" x14ac:dyDescent="0.2">
      <c r="A210" s="2">
        <v>45681</v>
      </c>
      <c r="B210" s="79" t="s">
        <v>19</v>
      </c>
      <c r="C210" s="79" t="s">
        <v>11</v>
      </c>
      <c r="D210" s="9">
        <v>0.86248999999999998</v>
      </c>
      <c r="E210" s="8">
        <v>281.06680221092245</v>
      </c>
      <c r="F210" s="8">
        <v>242.41735344532484</v>
      </c>
      <c r="G210" s="4">
        <v>6043</v>
      </c>
    </row>
    <row r="211" spans="1:7" hidden="1" x14ac:dyDescent="0.2">
      <c r="A211" s="2">
        <v>45682</v>
      </c>
      <c r="B211" s="79" t="s">
        <v>21</v>
      </c>
      <c r="C211" s="79" t="s">
        <v>11</v>
      </c>
      <c r="D211" s="9">
        <v>0.76907400000000004</v>
      </c>
      <c r="E211" s="8">
        <v>244.78023643450879</v>
      </c>
      <c r="F211" s="8">
        <v>188.25415675817356</v>
      </c>
      <c r="G211" s="4">
        <v>5158</v>
      </c>
    </row>
    <row r="212" spans="1:7" hidden="1" x14ac:dyDescent="0.2">
      <c r="A212" s="2">
        <v>45683</v>
      </c>
      <c r="B212" s="79" t="s">
        <v>23</v>
      </c>
      <c r="C212" s="79" t="s">
        <v>11</v>
      </c>
      <c r="D212" s="9">
        <v>0.50057799999999997</v>
      </c>
      <c r="E212" s="8">
        <v>190.89626490429299</v>
      </c>
      <c r="F212" s="8">
        <v>95.55853837965789</v>
      </c>
      <c r="G212" s="4">
        <v>1965</v>
      </c>
    </row>
    <row r="213" spans="1:7" hidden="1" x14ac:dyDescent="0.2">
      <c r="A213" s="2">
        <v>45684</v>
      </c>
      <c r="B213" s="79" t="s">
        <v>10</v>
      </c>
      <c r="C213" s="79" t="s">
        <v>11</v>
      </c>
      <c r="D213" s="9">
        <v>0.52288000000000001</v>
      </c>
      <c r="E213" s="8">
        <v>194.46320237192592</v>
      </c>
      <c r="F213" s="8">
        <v>101.68087030977351</v>
      </c>
      <c r="G213">
        <v>424</v>
      </c>
    </row>
    <row r="214" spans="1:7" hidden="1" x14ac:dyDescent="0.2">
      <c r="A214" s="2">
        <v>45685</v>
      </c>
      <c r="B214" s="79" t="s">
        <v>13</v>
      </c>
      <c r="C214" s="79" t="s">
        <v>11</v>
      </c>
      <c r="D214" s="9">
        <v>0.597557</v>
      </c>
      <c r="E214" s="8">
        <v>196.08578474658421</v>
      </c>
      <c r="F214" s="8">
        <v>117.17243834738977</v>
      </c>
      <c r="G214">
        <v>288</v>
      </c>
    </row>
    <row r="215" spans="1:7" hidden="1" x14ac:dyDescent="0.2">
      <c r="A215" s="2">
        <v>45686</v>
      </c>
      <c r="B215" s="79" t="s">
        <v>15</v>
      </c>
      <c r="C215" s="79" t="s">
        <v>11</v>
      </c>
      <c r="D215" s="9">
        <v>0.57058299999999995</v>
      </c>
      <c r="E215" s="8">
        <v>200.51226970452635</v>
      </c>
      <c r="F215" s="8">
        <v>114.40879609476791</v>
      </c>
      <c r="G215">
        <v>283</v>
      </c>
    </row>
    <row r="216" spans="1:7" hidden="1" x14ac:dyDescent="0.2">
      <c r="A216" s="2">
        <v>45687</v>
      </c>
      <c r="B216" s="79" t="s">
        <v>17</v>
      </c>
      <c r="C216" s="79" t="s">
        <v>11</v>
      </c>
      <c r="D216" s="9">
        <v>0.63924499999999995</v>
      </c>
      <c r="E216" s="8">
        <v>215.05264258782196</v>
      </c>
      <c r="F216" s="8">
        <v>137.47130476996938</v>
      </c>
      <c r="G216">
        <v>456</v>
      </c>
    </row>
    <row r="217" spans="1:7" hidden="1" x14ac:dyDescent="0.2">
      <c r="A217" s="2">
        <v>45688</v>
      </c>
      <c r="B217" s="79" t="s">
        <v>19</v>
      </c>
      <c r="C217" s="79" t="s">
        <v>11</v>
      </c>
      <c r="D217" s="9">
        <v>0.75699799999999995</v>
      </c>
      <c r="E217" s="8">
        <v>231.14755882959787</v>
      </c>
      <c r="F217" s="8">
        <v>174.9782635455999</v>
      </c>
      <c r="G217">
        <v>599</v>
      </c>
    </row>
    <row r="218" spans="1:7" hidden="1" x14ac:dyDescent="0.2">
      <c r="A218" s="2">
        <v>45689</v>
      </c>
      <c r="B218" s="79" t="s">
        <v>21</v>
      </c>
      <c r="C218" s="79" t="s">
        <v>11</v>
      </c>
      <c r="D218" s="9">
        <v>0.80618299999999998</v>
      </c>
      <c r="E218" s="8">
        <v>236.07320838196881</v>
      </c>
      <c r="F218" s="8">
        <v>190.3181826181922</v>
      </c>
      <c r="G218">
        <v>628</v>
      </c>
    </row>
    <row r="219" spans="1:7" hidden="1" x14ac:dyDescent="0.2">
      <c r="A219" s="2">
        <v>45690</v>
      </c>
      <c r="B219" s="79" t="s">
        <v>23</v>
      </c>
      <c r="C219" s="79" t="s">
        <v>11</v>
      </c>
      <c r="D219" s="9">
        <v>0.66049999999999998</v>
      </c>
      <c r="E219" s="8">
        <v>227.57087656499999</v>
      </c>
      <c r="F219" s="8">
        <v>150.300605289</v>
      </c>
      <c r="G219" s="4">
        <v>1272</v>
      </c>
    </row>
    <row r="220" spans="1:7" hidden="1" x14ac:dyDescent="0.2">
      <c r="A220" s="2">
        <v>45691</v>
      </c>
      <c r="B220" s="79" t="s">
        <v>10</v>
      </c>
      <c r="C220" s="79" t="s">
        <v>11</v>
      </c>
      <c r="D220" s="9">
        <v>0.79559999999999997</v>
      </c>
      <c r="E220" s="8">
        <v>261.46727781599998</v>
      </c>
      <c r="F220" s="8">
        <v>208.02367990499999</v>
      </c>
      <c r="G220" s="4">
        <v>3926</v>
      </c>
    </row>
    <row r="221" spans="1:7" hidden="1" x14ac:dyDescent="0.2">
      <c r="A221" s="2">
        <v>45692</v>
      </c>
      <c r="B221" s="79" t="s">
        <v>13</v>
      </c>
      <c r="C221" s="79" t="s">
        <v>11</v>
      </c>
      <c r="D221" s="9">
        <v>0.85270000000000001</v>
      </c>
      <c r="E221" s="8">
        <v>271.084114575</v>
      </c>
      <c r="F221" s="8">
        <v>231.15938425900001</v>
      </c>
      <c r="G221" s="4">
        <v>4600</v>
      </c>
    </row>
    <row r="222" spans="1:7" hidden="1" x14ac:dyDescent="0.2">
      <c r="A222" s="2">
        <v>45693</v>
      </c>
      <c r="B222" s="79" t="s">
        <v>15</v>
      </c>
      <c r="C222" s="79" t="s">
        <v>11</v>
      </c>
      <c r="D222" s="9">
        <v>0.79910000000000003</v>
      </c>
      <c r="E222" s="8">
        <v>271.18343739300002</v>
      </c>
      <c r="F222" s="8">
        <v>216.71507452500001</v>
      </c>
      <c r="G222" s="4">
        <v>4400</v>
      </c>
    </row>
    <row r="223" spans="1:7" hidden="1" x14ac:dyDescent="0.2">
      <c r="A223" s="2">
        <v>45694</v>
      </c>
      <c r="B223" s="79" t="s">
        <v>17</v>
      </c>
      <c r="C223" s="79" t="s">
        <v>11</v>
      </c>
      <c r="D223" s="9">
        <v>0.72040000000000004</v>
      </c>
      <c r="E223" s="8">
        <v>228.990664186</v>
      </c>
      <c r="F223" s="8">
        <v>164.97400663499999</v>
      </c>
      <c r="G223" s="4">
        <v>2200</v>
      </c>
    </row>
    <row r="224" spans="1:7" hidden="1" x14ac:dyDescent="0.2">
      <c r="A224" s="2">
        <v>45695</v>
      </c>
      <c r="B224" s="79" t="s">
        <v>19</v>
      </c>
      <c r="C224" s="79" t="s">
        <v>11</v>
      </c>
      <c r="D224" s="9">
        <v>0.68889999999999996</v>
      </c>
      <c r="E224" s="8">
        <v>221.90238670100001</v>
      </c>
      <c r="F224" s="8">
        <v>152.85914205200001</v>
      </c>
      <c r="G224">
        <v>419</v>
      </c>
    </row>
    <row r="225" spans="1:7" hidden="1" x14ac:dyDescent="0.2">
      <c r="A225" s="2">
        <v>45696</v>
      </c>
      <c r="B225" s="79" t="s">
        <v>21</v>
      </c>
      <c r="C225" s="79" t="s">
        <v>11</v>
      </c>
      <c r="D225" s="9">
        <v>0.71540000000000004</v>
      </c>
      <c r="E225" s="8">
        <v>220.75779598599999</v>
      </c>
      <c r="F225" s="8">
        <v>157.93923202799999</v>
      </c>
      <c r="G225">
        <v>299</v>
      </c>
    </row>
    <row r="226" spans="1:7" hidden="1" x14ac:dyDescent="0.2">
      <c r="A226" s="2">
        <v>45697</v>
      </c>
      <c r="B226" s="79" t="s">
        <v>23</v>
      </c>
      <c r="C226" s="79" t="s">
        <v>11</v>
      </c>
      <c r="D226" s="9">
        <v>0.63780000000000003</v>
      </c>
      <c r="E226" s="8">
        <v>203.842997293</v>
      </c>
      <c r="F226" s="8">
        <v>130.016373262</v>
      </c>
      <c r="G226">
        <v>824</v>
      </c>
    </row>
    <row r="227" spans="1:7" hidden="1" x14ac:dyDescent="0.2">
      <c r="A227" s="2">
        <v>45698</v>
      </c>
      <c r="B227" s="79" t="s">
        <v>10</v>
      </c>
      <c r="C227" s="79" t="s">
        <v>11</v>
      </c>
      <c r="D227" s="9">
        <v>0.60909999999999997</v>
      </c>
      <c r="E227" s="8">
        <v>210.633101313</v>
      </c>
      <c r="F227" s="8">
        <v>128.29801372399999</v>
      </c>
      <c r="G227" s="4">
        <v>2234</v>
      </c>
    </row>
    <row r="228" spans="1:7" hidden="1" x14ac:dyDescent="0.2">
      <c r="A228" s="2">
        <v>45699</v>
      </c>
      <c r="B228" s="79" t="s">
        <v>13</v>
      </c>
      <c r="C228" s="79" t="s">
        <v>11</v>
      </c>
      <c r="D228" s="9">
        <v>0.64690000000000003</v>
      </c>
      <c r="E228" s="8">
        <v>214.95106631100001</v>
      </c>
      <c r="F228" s="8">
        <v>139.05495683000001</v>
      </c>
      <c r="G228" s="4">
        <v>2140</v>
      </c>
    </row>
    <row r="229" spans="1:7" hidden="1" x14ac:dyDescent="0.2">
      <c r="A229" s="2">
        <v>45700</v>
      </c>
      <c r="B229" s="79" t="s">
        <v>15</v>
      </c>
      <c r="C229" s="79" t="s">
        <v>11</v>
      </c>
      <c r="D229" s="9">
        <v>0.60729999999999995</v>
      </c>
      <c r="E229" s="8">
        <v>225.67593385199999</v>
      </c>
      <c r="F229" s="8">
        <v>137.05049441099999</v>
      </c>
      <c r="G229" s="4">
        <v>2385</v>
      </c>
    </row>
    <row r="230" spans="1:7" hidden="1" x14ac:dyDescent="0.2">
      <c r="A230" s="2">
        <v>45701</v>
      </c>
      <c r="B230" s="79" t="s">
        <v>17</v>
      </c>
      <c r="C230" s="79" t="s">
        <v>11</v>
      </c>
      <c r="D230" s="9">
        <v>0.72309999999999997</v>
      </c>
      <c r="E230" s="8">
        <v>249.96231900500001</v>
      </c>
      <c r="F230" s="8">
        <v>180.74163500899999</v>
      </c>
      <c r="G230" s="4">
        <v>1185</v>
      </c>
    </row>
    <row r="231" spans="1:7" hidden="1" x14ac:dyDescent="0.2">
      <c r="A231" s="2">
        <v>45702</v>
      </c>
      <c r="B231" s="79" t="s">
        <v>19</v>
      </c>
      <c r="C231" s="79" t="s">
        <v>11</v>
      </c>
      <c r="D231" s="9">
        <v>0.89849999999999997</v>
      </c>
      <c r="E231" s="8">
        <v>281.15006423199998</v>
      </c>
      <c r="F231" s="8">
        <v>252.608337272</v>
      </c>
      <c r="G231" s="4">
        <v>1401</v>
      </c>
    </row>
    <row r="232" spans="1:7" hidden="1" x14ac:dyDescent="0.2">
      <c r="A232" s="2">
        <v>45703</v>
      </c>
      <c r="B232" s="79" t="s">
        <v>21</v>
      </c>
      <c r="C232" s="79" t="s">
        <v>11</v>
      </c>
      <c r="D232" s="9">
        <v>0.9365</v>
      </c>
      <c r="E232" s="8">
        <v>293.59442525100002</v>
      </c>
      <c r="F232" s="8">
        <v>274.95626238300002</v>
      </c>
      <c r="G232" s="4">
        <v>1420</v>
      </c>
    </row>
    <row r="233" spans="1:7" hidden="1" x14ac:dyDescent="0.2">
      <c r="A233" s="2">
        <v>45704</v>
      </c>
      <c r="B233" s="79" t="s">
        <v>23</v>
      </c>
      <c r="C233" s="79" t="s">
        <v>11</v>
      </c>
      <c r="D233" s="9">
        <v>0.8407</v>
      </c>
      <c r="E233" s="8">
        <v>268.12477837799997</v>
      </c>
      <c r="F233" s="8">
        <v>225.40708897600001</v>
      </c>
      <c r="G233">
        <v>911</v>
      </c>
    </row>
    <row r="234" spans="1:7" hidden="1" x14ac:dyDescent="0.2">
      <c r="A234" s="2">
        <v>45705</v>
      </c>
      <c r="B234" s="79" t="s">
        <v>10</v>
      </c>
      <c r="C234" s="79" t="s">
        <v>11</v>
      </c>
      <c r="D234" s="9">
        <v>0.62380000000000002</v>
      </c>
      <c r="E234" s="8">
        <v>240.459817149</v>
      </c>
      <c r="F234" s="8">
        <v>149.99508815799999</v>
      </c>
      <c r="G234">
        <v>425</v>
      </c>
    </row>
    <row r="235" spans="1:7" hidden="1" x14ac:dyDescent="0.2">
      <c r="A235" s="2">
        <v>45706</v>
      </c>
      <c r="B235" s="79" t="s">
        <v>13</v>
      </c>
      <c r="C235" s="79" t="s">
        <v>11</v>
      </c>
      <c r="D235" s="9">
        <v>0.66500000000000004</v>
      </c>
      <c r="E235" s="8">
        <v>234.44675823399999</v>
      </c>
      <c r="F235" s="8">
        <v>155.90720076299999</v>
      </c>
      <c r="G235">
        <v>403</v>
      </c>
    </row>
    <row r="236" spans="1:7" hidden="1" x14ac:dyDescent="0.2">
      <c r="A236" s="2">
        <v>45707</v>
      </c>
      <c r="B236" s="79" t="s">
        <v>15</v>
      </c>
      <c r="C236" s="79" t="s">
        <v>11</v>
      </c>
      <c r="D236" s="9">
        <v>0.7097</v>
      </c>
      <c r="E236" s="8">
        <v>229.317098034</v>
      </c>
      <c r="F236" s="8">
        <v>162.73948559499999</v>
      </c>
      <c r="G236" s="4">
        <v>1183</v>
      </c>
    </row>
    <row r="237" spans="1:7" hidden="1" x14ac:dyDescent="0.2">
      <c r="A237" s="2">
        <v>45708</v>
      </c>
      <c r="B237" s="79" t="s">
        <v>17</v>
      </c>
      <c r="C237" s="79" t="s">
        <v>11</v>
      </c>
      <c r="D237" s="9">
        <v>0.74229999999999996</v>
      </c>
      <c r="E237" s="8">
        <v>244.60462659199999</v>
      </c>
      <c r="F237" s="8">
        <v>181.580531673</v>
      </c>
      <c r="G237" s="4">
        <v>1869</v>
      </c>
    </row>
    <row r="238" spans="1:7" hidden="1" x14ac:dyDescent="0.2">
      <c r="A238" s="2">
        <v>45709</v>
      </c>
      <c r="B238" s="79" t="s">
        <v>19</v>
      </c>
      <c r="C238" s="79" t="s">
        <v>11</v>
      </c>
      <c r="D238" s="9">
        <v>0.75139999999999996</v>
      </c>
      <c r="E238" s="8">
        <v>244.69404874200001</v>
      </c>
      <c r="F238" s="8">
        <v>183.87079841900001</v>
      </c>
      <c r="G238" s="4">
        <v>2539</v>
      </c>
    </row>
    <row r="239" spans="1:7" hidden="1" x14ac:dyDescent="0.2">
      <c r="A239" s="2">
        <v>45710</v>
      </c>
      <c r="B239" s="79" t="s">
        <v>21</v>
      </c>
      <c r="C239" s="79" t="s">
        <v>11</v>
      </c>
      <c r="D239" s="9">
        <v>0.76549999999999996</v>
      </c>
      <c r="E239" s="8">
        <v>232.50583996200001</v>
      </c>
      <c r="F239" s="8">
        <v>177.987520676</v>
      </c>
      <c r="G239" s="4">
        <v>2809</v>
      </c>
    </row>
    <row r="240" spans="1:7" hidden="1" x14ac:dyDescent="0.2">
      <c r="A240" s="2">
        <v>45711</v>
      </c>
      <c r="B240" s="79" t="s">
        <v>23</v>
      </c>
      <c r="C240" s="79" t="s">
        <v>11</v>
      </c>
      <c r="D240" s="9">
        <v>0.63149999999999995</v>
      </c>
      <c r="E240" s="8">
        <v>213.73407354099999</v>
      </c>
      <c r="F240" s="8">
        <v>134.975116786</v>
      </c>
      <c r="G240" s="4">
        <v>2053</v>
      </c>
    </row>
    <row r="241" spans="1:7" hidden="1" x14ac:dyDescent="0.2">
      <c r="A241" s="2">
        <v>45712</v>
      </c>
      <c r="B241" s="79" t="s">
        <v>10</v>
      </c>
      <c r="C241" s="79" t="s">
        <v>11</v>
      </c>
      <c r="D241" s="9">
        <v>0.69340000000000002</v>
      </c>
      <c r="E241" s="8">
        <v>211.147796855</v>
      </c>
      <c r="F241" s="8">
        <v>146.419857312</v>
      </c>
      <c r="G241" s="4">
        <v>1345</v>
      </c>
    </row>
    <row r="242" spans="1:7" hidden="1" x14ac:dyDescent="0.2">
      <c r="A242" s="2">
        <v>45713</v>
      </c>
      <c r="B242" s="79" t="s">
        <v>13</v>
      </c>
      <c r="C242" s="79" t="s">
        <v>11</v>
      </c>
      <c r="D242" s="9">
        <v>0.72199999999999998</v>
      </c>
      <c r="E242" s="8">
        <v>213.360231621</v>
      </c>
      <c r="F242" s="8">
        <v>154.042868309</v>
      </c>
      <c r="G242" s="4">
        <v>1650</v>
      </c>
    </row>
    <row r="243" spans="1:7" hidden="1" x14ac:dyDescent="0.2">
      <c r="A243" s="2">
        <v>45714</v>
      </c>
      <c r="B243" s="79" t="s">
        <v>15</v>
      </c>
      <c r="C243" s="79" t="s">
        <v>11</v>
      </c>
      <c r="D243" s="9">
        <v>0.72609999999999997</v>
      </c>
      <c r="E243" s="8">
        <v>203.39870580100001</v>
      </c>
      <c r="F243" s="8">
        <v>147.691898573</v>
      </c>
      <c r="G243">
        <v>667</v>
      </c>
    </row>
    <row r="244" spans="1:7" hidden="1" x14ac:dyDescent="0.2">
      <c r="A244" s="2">
        <v>45715</v>
      </c>
      <c r="B244" s="79" t="s">
        <v>17</v>
      </c>
      <c r="C244" s="79" t="s">
        <v>11</v>
      </c>
      <c r="D244" s="9">
        <v>0.75939999999999996</v>
      </c>
      <c r="E244" s="8">
        <v>204.94650110699999</v>
      </c>
      <c r="F244" s="8">
        <v>155.63305371300001</v>
      </c>
      <c r="G244">
        <v>690</v>
      </c>
    </row>
    <row r="245" spans="1:7" hidden="1" x14ac:dyDescent="0.2">
      <c r="A245" s="2">
        <v>45716</v>
      </c>
      <c r="B245" s="79" t="s">
        <v>19</v>
      </c>
      <c r="C245" s="79" t="s">
        <v>11</v>
      </c>
      <c r="D245" s="9">
        <v>0.75349999999999995</v>
      </c>
      <c r="E245" s="8">
        <v>214.99564441199999</v>
      </c>
      <c r="F245" s="8">
        <v>161.99412796499999</v>
      </c>
      <c r="G245">
        <v>585</v>
      </c>
    </row>
    <row r="246" spans="1:7" hidden="1" x14ac:dyDescent="0.2">
      <c r="A246" s="2">
        <v>45717</v>
      </c>
      <c r="B246" s="79" t="s">
        <v>21</v>
      </c>
      <c r="C246" s="79" t="s">
        <v>11</v>
      </c>
      <c r="D246" s="9">
        <v>0.72619999999999996</v>
      </c>
      <c r="E246" s="8">
        <v>217.89963331499999</v>
      </c>
      <c r="F246" s="8">
        <v>158.24111787699999</v>
      </c>
      <c r="G246">
        <v>840</v>
      </c>
    </row>
    <row r="247" spans="1:7" hidden="1" x14ac:dyDescent="0.2">
      <c r="A247" s="2">
        <v>45718</v>
      </c>
      <c r="B247" s="79" t="s">
        <v>23</v>
      </c>
      <c r="C247" s="79" t="s">
        <v>11</v>
      </c>
      <c r="D247" s="9">
        <v>0.49959999999999999</v>
      </c>
      <c r="E247" s="8">
        <v>219.60360287399999</v>
      </c>
      <c r="F247" s="8">
        <v>109.71198809400001</v>
      </c>
      <c r="G247" s="4">
        <v>2117</v>
      </c>
    </row>
    <row r="248" spans="1:7" hidden="1" x14ac:dyDescent="0.2">
      <c r="A248" s="2">
        <v>45719</v>
      </c>
      <c r="B248" s="79" t="s">
        <v>10</v>
      </c>
      <c r="C248" s="79" t="s">
        <v>11</v>
      </c>
      <c r="D248" s="9">
        <v>0.61739999999999995</v>
      </c>
      <c r="E248" s="8">
        <v>266.20256440499998</v>
      </c>
      <c r="F248" s="8">
        <v>164.34736162900001</v>
      </c>
      <c r="G248" s="4">
        <v>9145</v>
      </c>
    </row>
    <row r="249" spans="1:7" hidden="1" x14ac:dyDescent="0.2">
      <c r="A249" s="2">
        <v>45720</v>
      </c>
      <c r="B249" s="79" t="s">
        <v>13</v>
      </c>
      <c r="C249" s="79" t="s">
        <v>11</v>
      </c>
      <c r="D249" s="9">
        <v>0.90190000000000003</v>
      </c>
      <c r="E249" s="8">
        <v>352.90823256800002</v>
      </c>
      <c r="F249" s="8">
        <v>318.30058165999998</v>
      </c>
      <c r="G249" s="4">
        <v>14083</v>
      </c>
    </row>
    <row r="250" spans="1:7" hidden="1" x14ac:dyDescent="0.2">
      <c r="A250" s="2">
        <v>45721</v>
      </c>
      <c r="B250" s="79" t="s">
        <v>15</v>
      </c>
      <c r="C250" s="79" t="s">
        <v>11</v>
      </c>
      <c r="D250" s="9">
        <v>0.93600000000000005</v>
      </c>
      <c r="E250" s="8">
        <v>375.79916788000003</v>
      </c>
      <c r="F250" s="8">
        <v>351.754578751</v>
      </c>
      <c r="G250" s="4">
        <v>14233</v>
      </c>
    </row>
    <row r="251" spans="1:7" hidden="1" x14ac:dyDescent="0.2">
      <c r="A251" s="2">
        <v>45722</v>
      </c>
      <c r="B251" s="79" t="s">
        <v>17</v>
      </c>
      <c r="C251" s="79" t="s">
        <v>11</v>
      </c>
      <c r="D251" s="9">
        <v>0.9052</v>
      </c>
      <c r="E251" s="8">
        <v>362.57449972400002</v>
      </c>
      <c r="F251" s="8">
        <v>328.18874216099999</v>
      </c>
      <c r="G251" s="4">
        <v>12278</v>
      </c>
    </row>
    <row r="252" spans="1:7" hidden="1" x14ac:dyDescent="0.2">
      <c r="A252" s="2">
        <v>45723</v>
      </c>
      <c r="B252" s="79" t="s">
        <v>19</v>
      </c>
      <c r="C252" s="79" t="s">
        <v>11</v>
      </c>
      <c r="D252" s="9">
        <v>0.73670000000000002</v>
      </c>
      <c r="E252" s="8">
        <v>256.06091352099997</v>
      </c>
      <c r="F252" s="8">
        <v>188.64216713600001</v>
      </c>
      <c r="G252" s="4">
        <v>3241</v>
      </c>
    </row>
    <row r="253" spans="1:7" hidden="1" x14ac:dyDescent="0.2">
      <c r="A253" s="2">
        <v>45724</v>
      </c>
      <c r="B253" s="79" t="s">
        <v>21</v>
      </c>
      <c r="C253" s="79" t="s">
        <v>11</v>
      </c>
      <c r="D253" s="9">
        <v>0.75119999999999998</v>
      </c>
      <c r="E253" s="8">
        <v>233.49146279499999</v>
      </c>
      <c r="F253" s="8">
        <v>175.38916113799999</v>
      </c>
      <c r="G253" s="4">
        <v>1118</v>
      </c>
    </row>
    <row r="254" spans="1:7" hidden="1" x14ac:dyDescent="0.2">
      <c r="A254" s="2">
        <v>45725</v>
      </c>
      <c r="B254" s="79" t="s">
        <v>23</v>
      </c>
      <c r="C254" s="79" t="s">
        <v>11</v>
      </c>
      <c r="D254" s="9">
        <v>0.65980000000000005</v>
      </c>
      <c r="E254" s="8">
        <v>226.425425305</v>
      </c>
      <c r="F254" s="8">
        <v>149.38974597800001</v>
      </c>
      <c r="G254">
        <v>308</v>
      </c>
    </row>
    <row r="255" spans="1:7" hidden="1" x14ac:dyDescent="0.2">
      <c r="A255" s="2">
        <v>45726</v>
      </c>
      <c r="B255" s="79" t="s">
        <v>10</v>
      </c>
      <c r="C255" s="79" t="s">
        <v>11</v>
      </c>
      <c r="D255" s="9">
        <v>0.7802</v>
      </c>
      <c r="E255" s="8">
        <v>234.617391228</v>
      </c>
      <c r="F255" s="8">
        <v>183.047622921</v>
      </c>
      <c r="G255">
        <v>398</v>
      </c>
    </row>
    <row r="256" spans="1:7" hidden="1" x14ac:dyDescent="0.2">
      <c r="A256" s="2">
        <v>45727</v>
      </c>
      <c r="B256" s="79" t="s">
        <v>13</v>
      </c>
      <c r="C256" s="79" t="s">
        <v>11</v>
      </c>
      <c r="D256" s="9">
        <v>0.80740000000000001</v>
      </c>
      <c r="E256" s="8">
        <v>231.414830032</v>
      </c>
      <c r="F256" s="8">
        <v>186.848073253</v>
      </c>
      <c r="G256">
        <v>444</v>
      </c>
    </row>
    <row r="257" spans="1:7" hidden="1" x14ac:dyDescent="0.2">
      <c r="A257" s="2">
        <v>45728</v>
      </c>
      <c r="B257" s="79" t="s">
        <v>15</v>
      </c>
      <c r="C257" s="79" t="s">
        <v>11</v>
      </c>
      <c r="D257" s="9">
        <v>0.77839999999999998</v>
      </c>
      <c r="E257" s="8">
        <v>229.137329247</v>
      </c>
      <c r="F257" s="8">
        <v>178.366011542</v>
      </c>
      <c r="G257">
        <v>679</v>
      </c>
    </row>
    <row r="258" spans="1:7" hidden="1" x14ac:dyDescent="0.2">
      <c r="A258" s="2">
        <v>45729</v>
      </c>
      <c r="B258" s="79" t="s">
        <v>17</v>
      </c>
      <c r="C258" s="79" t="s">
        <v>11</v>
      </c>
      <c r="D258" s="9">
        <v>0.80859999999999999</v>
      </c>
      <c r="E258" s="8">
        <v>231.92703607999999</v>
      </c>
      <c r="F258" s="8">
        <v>187.53565754799999</v>
      </c>
      <c r="G258">
        <v>737</v>
      </c>
    </row>
    <row r="259" spans="1:7" hidden="1" x14ac:dyDescent="0.2">
      <c r="A259" s="2">
        <v>45730</v>
      </c>
      <c r="B259" s="79" t="s">
        <v>19</v>
      </c>
      <c r="C259" s="79" t="s">
        <v>11</v>
      </c>
      <c r="D259" s="9">
        <v>0.84489999999999998</v>
      </c>
      <c r="E259" s="8">
        <v>237.42018878100001</v>
      </c>
      <c r="F259" s="8">
        <v>200.597726529</v>
      </c>
      <c r="G259">
        <v>550</v>
      </c>
    </row>
    <row r="260" spans="1:7" hidden="1" x14ac:dyDescent="0.2">
      <c r="A260" s="2">
        <v>45731</v>
      </c>
      <c r="B260" s="79" t="s">
        <v>21</v>
      </c>
      <c r="C260" s="79" t="s">
        <v>11</v>
      </c>
      <c r="D260" s="9">
        <v>0.92149999999999999</v>
      </c>
      <c r="E260" s="8">
        <v>249.85158982199999</v>
      </c>
      <c r="F260" s="8">
        <v>230.243587658</v>
      </c>
      <c r="G260">
        <v>912</v>
      </c>
    </row>
    <row r="261" spans="1:7" hidden="1" x14ac:dyDescent="0.2">
      <c r="A261" s="2">
        <v>45732</v>
      </c>
      <c r="B261" s="79" t="s">
        <v>23</v>
      </c>
      <c r="C261" s="79" t="s">
        <v>11</v>
      </c>
      <c r="D261" s="9">
        <v>0.89239999999999997</v>
      </c>
      <c r="E261" s="8">
        <v>259.95880083700001</v>
      </c>
      <c r="F261" s="8">
        <v>231.975439188</v>
      </c>
      <c r="G261" s="4">
        <v>3090</v>
      </c>
    </row>
    <row r="262" spans="1:7" hidden="1" x14ac:dyDescent="0.2">
      <c r="A262" s="2">
        <v>45733</v>
      </c>
      <c r="B262" s="79" t="s">
        <v>10</v>
      </c>
      <c r="C262" s="79" t="s">
        <v>11</v>
      </c>
      <c r="D262" s="9">
        <v>0.9325</v>
      </c>
      <c r="E262" s="8">
        <v>277.91124468999999</v>
      </c>
      <c r="F262" s="8">
        <v>259.15688629800002</v>
      </c>
      <c r="G262" s="4">
        <v>3979</v>
      </c>
    </row>
    <row r="263" spans="1:7" hidden="1" x14ac:dyDescent="0.2">
      <c r="A263" s="2">
        <v>45734</v>
      </c>
      <c r="B263" s="79" t="s">
        <v>13</v>
      </c>
      <c r="C263" s="79" t="s">
        <v>11</v>
      </c>
      <c r="D263" s="9">
        <v>0.9456</v>
      </c>
      <c r="E263" s="8">
        <v>274.76221034399998</v>
      </c>
      <c r="F263" s="8">
        <v>259.81112244399998</v>
      </c>
      <c r="G263" s="4">
        <v>5150</v>
      </c>
    </row>
    <row r="264" spans="1:7" hidden="1" x14ac:dyDescent="0.2">
      <c r="A264" s="2">
        <v>45735</v>
      </c>
      <c r="B264" s="79" t="s">
        <v>15</v>
      </c>
      <c r="C264" s="79" t="s">
        <v>11</v>
      </c>
      <c r="D264" s="9">
        <v>0.92579999999999996</v>
      </c>
      <c r="E264" s="8">
        <v>272.61115833000002</v>
      </c>
      <c r="F264" s="8">
        <v>252.37728063399999</v>
      </c>
      <c r="G264" s="4">
        <v>4980</v>
      </c>
    </row>
    <row r="265" spans="1:7" hidden="1" x14ac:dyDescent="0.2">
      <c r="A265" s="2">
        <v>45736</v>
      </c>
      <c r="B265" s="79" t="s">
        <v>17</v>
      </c>
      <c r="C265" s="79" t="s">
        <v>11</v>
      </c>
      <c r="D265" s="9">
        <v>0.87470000000000003</v>
      </c>
      <c r="E265" s="8">
        <v>257.21601457600002</v>
      </c>
      <c r="F265" s="8">
        <v>224.995202404</v>
      </c>
      <c r="G265" s="4">
        <v>4191</v>
      </c>
    </row>
    <row r="266" spans="1:7" hidden="1" x14ac:dyDescent="0.2">
      <c r="A266" s="2">
        <v>45737</v>
      </c>
      <c r="B266" s="79" t="s">
        <v>19</v>
      </c>
      <c r="C266" s="79" t="s">
        <v>11</v>
      </c>
      <c r="D266" s="9">
        <v>0.80649999999999999</v>
      </c>
      <c r="E266" s="8">
        <v>249.24226695300001</v>
      </c>
      <c r="F266" s="8">
        <v>201.00768589800001</v>
      </c>
      <c r="G266" s="4">
        <v>2991</v>
      </c>
    </row>
    <row r="267" spans="1:7" hidden="1" x14ac:dyDescent="0.2">
      <c r="A267" s="2">
        <v>45738</v>
      </c>
      <c r="B267" s="79" t="s">
        <v>21</v>
      </c>
      <c r="C267" s="79" t="s">
        <v>11</v>
      </c>
      <c r="D267" s="9">
        <v>0.75880000000000003</v>
      </c>
      <c r="E267" s="8">
        <v>235.47752145499999</v>
      </c>
      <c r="F267" s="8">
        <v>178.669547835</v>
      </c>
      <c r="G267" s="4">
        <v>2171</v>
      </c>
    </row>
    <row r="268" spans="1:7" hidden="1" x14ac:dyDescent="0.2">
      <c r="A268" s="2">
        <v>45739</v>
      </c>
      <c r="B268" s="79" t="s">
        <v>23</v>
      </c>
      <c r="C268" s="79" t="s">
        <v>11</v>
      </c>
      <c r="D268" s="9">
        <v>0.6452</v>
      </c>
      <c r="E268" s="8">
        <v>230.39690472800001</v>
      </c>
      <c r="F268" s="8">
        <v>148.660085606</v>
      </c>
      <c r="G268">
        <v>655</v>
      </c>
    </row>
    <row r="269" spans="1:7" hidden="1" x14ac:dyDescent="0.2">
      <c r="A269" s="2">
        <v>45740</v>
      </c>
      <c r="B269" s="79" t="s">
        <v>10</v>
      </c>
      <c r="C269" s="79" t="s">
        <v>11</v>
      </c>
      <c r="D269" s="9">
        <v>0.69799999999999995</v>
      </c>
      <c r="E269" s="8">
        <v>226.293075418</v>
      </c>
      <c r="F269" s="8">
        <v>157.944549884</v>
      </c>
      <c r="G269">
        <v>150</v>
      </c>
    </row>
    <row r="270" spans="1:7" hidden="1" x14ac:dyDescent="0.2">
      <c r="A270" s="2">
        <v>45741</v>
      </c>
      <c r="B270" s="79" t="s">
        <v>13</v>
      </c>
      <c r="C270" s="79" t="s">
        <v>11</v>
      </c>
      <c r="D270" s="9">
        <v>0.72450000000000003</v>
      </c>
      <c r="E270" s="8">
        <v>228.12378480300001</v>
      </c>
      <c r="F270" s="8">
        <v>165.27833614100001</v>
      </c>
      <c r="G270">
        <v>50</v>
      </c>
    </row>
    <row r="271" spans="1:7" hidden="1" x14ac:dyDescent="0.2">
      <c r="A271" s="2">
        <v>45742</v>
      </c>
      <c r="B271" s="79" t="s">
        <v>15</v>
      </c>
      <c r="C271" s="79" t="s">
        <v>11</v>
      </c>
      <c r="D271" s="9">
        <v>0.71640000000000004</v>
      </c>
      <c r="E271" s="8">
        <v>231.220990911</v>
      </c>
      <c r="F271" s="8">
        <v>165.64818769600001</v>
      </c>
      <c r="G271">
        <v>200</v>
      </c>
    </row>
    <row r="272" spans="1:7" hidden="1" x14ac:dyDescent="0.2">
      <c r="A272" s="2">
        <v>45743</v>
      </c>
      <c r="B272" s="79" t="s">
        <v>17</v>
      </c>
      <c r="C272" s="79" t="s">
        <v>11</v>
      </c>
      <c r="D272" s="9">
        <v>0.71440000000000003</v>
      </c>
      <c r="E272" s="8">
        <v>232.14837200400001</v>
      </c>
      <c r="F272" s="8">
        <v>165.83687719100001</v>
      </c>
      <c r="G272" s="4">
        <v>1015</v>
      </c>
    </row>
    <row r="273" spans="1:7" hidden="1" x14ac:dyDescent="0.2">
      <c r="A273" s="2">
        <v>45744</v>
      </c>
      <c r="B273" s="79" t="s">
        <v>19</v>
      </c>
      <c r="C273" s="79" t="s">
        <v>11</v>
      </c>
      <c r="D273" s="9">
        <v>0.82150000000000001</v>
      </c>
      <c r="E273" s="8">
        <v>227.886777341</v>
      </c>
      <c r="F273" s="8">
        <v>187.20938709500001</v>
      </c>
      <c r="G273" s="4">
        <v>2530</v>
      </c>
    </row>
    <row r="274" spans="1:7" hidden="1" x14ac:dyDescent="0.2">
      <c r="A274" s="2">
        <v>45745</v>
      </c>
      <c r="B274" s="79" t="s">
        <v>21</v>
      </c>
      <c r="C274" s="79" t="s">
        <v>11</v>
      </c>
      <c r="D274" s="9">
        <v>0.8417</v>
      </c>
      <c r="E274" s="8">
        <v>227.558167704</v>
      </c>
      <c r="F274" s="8">
        <v>191.54012704300001</v>
      </c>
      <c r="G274" s="4">
        <v>2530</v>
      </c>
    </row>
    <row r="275" spans="1:7" hidden="1" x14ac:dyDescent="0.2">
      <c r="A275" s="2">
        <v>45746</v>
      </c>
      <c r="B275" s="79" t="s">
        <v>23</v>
      </c>
      <c r="C275" s="79" t="s">
        <v>11</v>
      </c>
      <c r="D275" s="9">
        <v>0.60229999999999995</v>
      </c>
      <c r="E275" s="8">
        <v>209.76146129399999</v>
      </c>
      <c r="F275" s="8">
        <v>126.342073126</v>
      </c>
      <c r="G275">
        <v>414</v>
      </c>
    </row>
    <row r="276" spans="1:7" hidden="1" x14ac:dyDescent="0.2">
      <c r="A276" s="2">
        <v>45747</v>
      </c>
      <c r="B276" s="79" t="s">
        <v>10</v>
      </c>
      <c r="C276" s="79" t="s">
        <v>11</v>
      </c>
      <c r="D276" s="9">
        <v>0.56759999999999999</v>
      </c>
      <c r="E276" s="8">
        <v>229.183944645</v>
      </c>
      <c r="F276" s="8">
        <v>130.07822010699999</v>
      </c>
      <c r="G276">
        <v>231</v>
      </c>
    </row>
    <row r="277" spans="1:7" hidden="1" x14ac:dyDescent="0.2">
      <c r="A277" s="2">
        <v>45748</v>
      </c>
      <c r="B277" s="79" t="s">
        <v>13</v>
      </c>
      <c r="C277" s="79" t="s">
        <v>11</v>
      </c>
      <c r="D277" s="9">
        <v>0.62290000000000001</v>
      </c>
      <c r="E277" s="8">
        <v>221.766600146</v>
      </c>
      <c r="F277" s="8">
        <v>138.13710454400001</v>
      </c>
      <c r="G277">
        <v>366</v>
      </c>
    </row>
    <row r="278" spans="1:7" hidden="1" x14ac:dyDescent="0.2">
      <c r="A278" s="2">
        <v>45749</v>
      </c>
      <c r="B278" s="79" t="s">
        <v>15</v>
      </c>
      <c r="C278" s="79" t="s">
        <v>11</v>
      </c>
      <c r="D278" s="9">
        <v>0.64290000000000003</v>
      </c>
      <c r="E278" s="8">
        <v>221.05345325799999</v>
      </c>
      <c r="F278" s="8">
        <v>142.121608232</v>
      </c>
      <c r="G278">
        <v>566</v>
      </c>
    </row>
    <row r="279" spans="1:7" hidden="1" x14ac:dyDescent="0.2">
      <c r="A279" s="2">
        <v>45750</v>
      </c>
      <c r="B279" s="79" t="s">
        <v>17</v>
      </c>
      <c r="C279" s="79" t="s">
        <v>11</v>
      </c>
      <c r="D279" s="9">
        <v>0.68440000000000001</v>
      </c>
      <c r="E279" s="8">
        <v>227.31370700599999</v>
      </c>
      <c r="F279" s="8">
        <v>155.57564566100001</v>
      </c>
      <c r="G279">
        <v>440</v>
      </c>
    </row>
    <row r="280" spans="1:7" hidden="1" x14ac:dyDescent="0.2">
      <c r="A280" s="2">
        <v>45751</v>
      </c>
      <c r="B280" s="79" t="s">
        <v>19</v>
      </c>
      <c r="C280" s="79" t="s">
        <v>11</v>
      </c>
      <c r="D280" s="9">
        <v>0.74119999999999997</v>
      </c>
      <c r="E280" s="8">
        <v>228.98047487400001</v>
      </c>
      <c r="F280" s="8">
        <v>169.717884072</v>
      </c>
      <c r="G280">
        <v>236</v>
      </c>
    </row>
    <row r="281" spans="1:7" hidden="1" x14ac:dyDescent="0.2">
      <c r="A281" s="2">
        <v>45752</v>
      </c>
      <c r="B281" s="79" t="s">
        <v>21</v>
      </c>
      <c r="C281" s="79" t="s">
        <v>11</v>
      </c>
      <c r="D281" s="9">
        <v>0.7712</v>
      </c>
      <c r="E281" s="8">
        <v>227.56724760899999</v>
      </c>
      <c r="F281" s="8">
        <v>175.50924506000001</v>
      </c>
      <c r="G281">
        <v>356</v>
      </c>
    </row>
    <row r="282" spans="1:7" hidden="1" x14ac:dyDescent="0.2">
      <c r="A282" s="2">
        <v>45753</v>
      </c>
      <c r="B282" s="79" t="s">
        <v>23</v>
      </c>
      <c r="C282" s="79" t="s">
        <v>11</v>
      </c>
      <c r="D282" s="9">
        <v>0.6512</v>
      </c>
      <c r="E282" s="8">
        <v>228.81634475499999</v>
      </c>
      <c r="F282" s="8">
        <v>148.99475115000001</v>
      </c>
      <c r="G282">
        <v>952</v>
      </c>
    </row>
    <row r="283" spans="1:7" hidden="1" x14ac:dyDescent="0.2">
      <c r="A283" s="2">
        <v>45754</v>
      </c>
      <c r="B283" s="79" t="s">
        <v>10</v>
      </c>
      <c r="C283" s="79" t="s">
        <v>11</v>
      </c>
      <c r="D283" s="9">
        <v>0.76</v>
      </c>
      <c r="E283" s="8">
        <v>245.13271164099999</v>
      </c>
      <c r="F283" s="8">
        <v>186.30800464500001</v>
      </c>
      <c r="G283" s="4">
        <v>3202</v>
      </c>
    </row>
    <row r="284" spans="1:7" hidden="1" x14ac:dyDescent="0.2">
      <c r="A284" s="2">
        <v>45755</v>
      </c>
      <c r="B284" s="79" t="s">
        <v>13</v>
      </c>
      <c r="C284" s="79" t="s">
        <v>11</v>
      </c>
      <c r="D284" s="9">
        <v>0.80159999999999998</v>
      </c>
      <c r="E284" s="8">
        <v>247.20435582799999</v>
      </c>
      <c r="F284" s="8">
        <v>198.15971403899999</v>
      </c>
      <c r="G284" s="4">
        <v>3822</v>
      </c>
    </row>
    <row r="285" spans="1:7" hidden="1" x14ac:dyDescent="0.2">
      <c r="A285" s="2">
        <v>45756</v>
      </c>
      <c r="B285" s="79" t="s">
        <v>15</v>
      </c>
      <c r="C285" s="79" t="s">
        <v>11</v>
      </c>
      <c r="D285" s="9">
        <v>0.80469999999999997</v>
      </c>
      <c r="E285" s="8">
        <v>244.59066889299999</v>
      </c>
      <c r="F285" s="8">
        <v>196.81078776000001</v>
      </c>
      <c r="G285" s="4">
        <v>3895</v>
      </c>
    </row>
    <row r="286" spans="1:7" hidden="1" x14ac:dyDescent="0.2">
      <c r="A286" s="2">
        <v>45757</v>
      </c>
      <c r="B286" s="79" t="s">
        <v>17</v>
      </c>
      <c r="C286" s="79" t="s">
        <v>11</v>
      </c>
      <c r="D286" s="9">
        <v>0.78790000000000004</v>
      </c>
      <c r="E286" s="8">
        <v>242.00691423000001</v>
      </c>
      <c r="F286" s="8">
        <v>190.66543554500001</v>
      </c>
      <c r="G286" s="4">
        <v>3155</v>
      </c>
    </row>
    <row r="287" spans="1:7" hidden="1" x14ac:dyDescent="0.2">
      <c r="A287" s="2">
        <v>45758</v>
      </c>
      <c r="B287" s="79" t="s">
        <v>19</v>
      </c>
      <c r="C287" s="79" t="s">
        <v>11</v>
      </c>
      <c r="D287" s="9">
        <v>0.79190000000000005</v>
      </c>
      <c r="E287" s="8">
        <v>226.85052156399999</v>
      </c>
      <c r="F287" s="8">
        <v>179.63346705500001</v>
      </c>
      <c r="G287">
        <v>130</v>
      </c>
    </row>
    <row r="288" spans="1:7" hidden="1" x14ac:dyDescent="0.2">
      <c r="A288" s="2">
        <v>45759</v>
      </c>
      <c r="B288" s="79" t="s">
        <v>21</v>
      </c>
      <c r="C288" s="79" t="s">
        <v>11</v>
      </c>
      <c r="D288" s="9">
        <v>0.81910000000000005</v>
      </c>
      <c r="E288" s="8">
        <v>223.010107844</v>
      </c>
      <c r="F288" s="8">
        <v>182.67514366399999</v>
      </c>
      <c r="G288">
        <v>150</v>
      </c>
    </row>
    <row r="289" spans="1:7" hidden="1" x14ac:dyDescent="0.2">
      <c r="A289" s="2">
        <v>45760</v>
      </c>
      <c r="B289" s="79" t="s">
        <v>23</v>
      </c>
      <c r="C289" s="79" t="s">
        <v>11</v>
      </c>
      <c r="D289" s="9">
        <v>0.62970000000000004</v>
      </c>
      <c r="E289" s="8">
        <v>218.87993347299999</v>
      </c>
      <c r="F289" s="8">
        <v>137.83027184599999</v>
      </c>
      <c r="G289">
        <v>76</v>
      </c>
    </row>
    <row r="290" spans="1:7" hidden="1" x14ac:dyDescent="0.2">
      <c r="A290" s="2">
        <v>45761</v>
      </c>
      <c r="B290" s="79" t="s">
        <v>10</v>
      </c>
      <c r="C290" s="79" t="s">
        <v>11</v>
      </c>
      <c r="D290" s="9">
        <v>0.6462</v>
      </c>
      <c r="E290" s="8">
        <v>225.912476043</v>
      </c>
      <c r="F290" s="8">
        <v>145.992890123</v>
      </c>
      <c r="G290">
        <v>230</v>
      </c>
    </row>
    <row r="291" spans="1:7" hidden="1" x14ac:dyDescent="0.2">
      <c r="A291" s="2">
        <v>45762</v>
      </c>
      <c r="B291" s="79" t="s">
        <v>13</v>
      </c>
      <c r="C291" s="79" t="s">
        <v>11</v>
      </c>
      <c r="D291" s="9">
        <v>0.67290000000000005</v>
      </c>
      <c r="E291" s="8">
        <v>223.08833728100001</v>
      </c>
      <c r="F291" s="8">
        <v>150.11048495099999</v>
      </c>
      <c r="G291">
        <v>240</v>
      </c>
    </row>
    <row r="292" spans="1:7" hidden="1" x14ac:dyDescent="0.2">
      <c r="A292" s="2">
        <v>45763</v>
      </c>
      <c r="B292" s="79" t="s">
        <v>15</v>
      </c>
      <c r="C292" s="79" t="s">
        <v>11</v>
      </c>
      <c r="D292" s="9">
        <v>0.6623</v>
      </c>
      <c r="E292" s="8">
        <v>220.39270008299999</v>
      </c>
      <c r="F292" s="8">
        <v>145.95835481099999</v>
      </c>
      <c r="G292">
        <v>0</v>
      </c>
    </row>
    <row r="293" spans="1:7" hidden="1" x14ac:dyDescent="0.2">
      <c r="A293" s="2">
        <v>45764</v>
      </c>
      <c r="B293" s="79" t="s">
        <v>17</v>
      </c>
      <c r="C293" s="79" t="s">
        <v>11</v>
      </c>
      <c r="D293" s="9">
        <v>0.70109999999999995</v>
      </c>
      <c r="E293" s="8">
        <v>223.04589335599999</v>
      </c>
      <c r="F293" s="8">
        <v>156.378927189</v>
      </c>
      <c r="G293">
        <v>15</v>
      </c>
    </row>
    <row r="294" spans="1:7" hidden="1" x14ac:dyDescent="0.2">
      <c r="A294" s="2">
        <v>45765</v>
      </c>
      <c r="B294" s="79" t="s">
        <v>19</v>
      </c>
      <c r="C294" s="79" t="s">
        <v>11</v>
      </c>
      <c r="D294" s="9">
        <v>0.78979999999999995</v>
      </c>
      <c r="E294" s="8">
        <v>217.20972785999999</v>
      </c>
      <c r="F294" s="8">
        <v>171.544352261</v>
      </c>
      <c r="G294">
        <v>120</v>
      </c>
    </row>
    <row r="295" spans="1:7" hidden="1" x14ac:dyDescent="0.2">
      <c r="A295" s="2">
        <v>45766</v>
      </c>
      <c r="B295" s="79" t="s">
        <v>21</v>
      </c>
      <c r="C295" s="79" t="s">
        <v>11</v>
      </c>
      <c r="D295" s="9">
        <v>0.75260000000000005</v>
      </c>
      <c r="E295" s="8">
        <v>212.73788298599999</v>
      </c>
      <c r="F295" s="8">
        <v>160.107997359</v>
      </c>
      <c r="G295">
        <v>120</v>
      </c>
    </row>
    <row r="296" spans="1:7" hidden="1" x14ac:dyDescent="0.2">
      <c r="A296" s="2">
        <v>45767</v>
      </c>
      <c r="B296" s="79" t="s">
        <v>23</v>
      </c>
      <c r="C296" s="79" t="s">
        <v>11</v>
      </c>
      <c r="D296" s="9">
        <v>0.56440000000000001</v>
      </c>
      <c r="E296" s="8">
        <v>207.582028401</v>
      </c>
      <c r="F296" s="8">
        <v>117.15717941699999</v>
      </c>
      <c r="G296">
        <v>120</v>
      </c>
    </row>
    <row r="297" spans="1:7" hidden="1" x14ac:dyDescent="0.2">
      <c r="A297" s="2">
        <v>45768</v>
      </c>
      <c r="B297" s="79" t="s">
        <v>10</v>
      </c>
      <c r="C297" s="79" t="s">
        <v>11</v>
      </c>
      <c r="D297" s="9">
        <v>0.66120000000000001</v>
      </c>
      <c r="E297" s="8">
        <v>211.228832036</v>
      </c>
      <c r="F297" s="8">
        <v>139.67458424399999</v>
      </c>
      <c r="G297">
        <v>915</v>
      </c>
    </row>
    <row r="298" spans="1:7" hidden="1" x14ac:dyDescent="0.2">
      <c r="A298" s="2">
        <v>45769</v>
      </c>
      <c r="B298" s="79" t="s">
        <v>13</v>
      </c>
      <c r="C298" s="79" t="s">
        <v>11</v>
      </c>
      <c r="D298" s="9">
        <v>0.70789999999999997</v>
      </c>
      <c r="E298" s="8">
        <v>219.49400231600001</v>
      </c>
      <c r="F298" s="8">
        <v>155.38496174900001</v>
      </c>
      <c r="G298">
        <v>900</v>
      </c>
    </row>
    <row r="299" spans="1:7" hidden="1" x14ac:dyDescent="0.2">
      <c r="A299" s="2">
        <v>45770</v>
      </c>
      <c r="B299" s="79" t="s">
        <v>15</v>
      </c>
      <c r="C299" s="79" t="s">
        <v>11</v>
      </c>
      <c r="D299" s="9">
        <v>0.71530000000000005</v>
      </c>
      <c r="E299" s="8">
        <v>215.70016361099999</v>
      </c>
      <c r="F299" s="8">
        <v>154.29044490000001</v>
      </c>
      <c r="G299">
        <v>900</v>
      </c>
    </row>
    <row r="300" spans="1:7" hidden="1" x14ac:dyDescent="0.2">
      <c r="A300" s="2">
        <v>45771</v>
      </c>
      <c r="B300" s="79" t="s">
        <v>17</v>
      </c>
      <c r="C300" s="79" t="s">
        <v>11</v>
      </c>
      <c r="D300" s="9">
        <v>0.78939999999999999</v>
      </c>
      <c r="E300" s="8">
        <v>211.859937121</v>
      </c>
      <c r="F300" s="8">
        <v>167.24007331499999</v>
      </c>
      <c r="G300">
        <v>268</v>
      </c>
    </row>
    <row r="301" spans="1:7" hidden="1" x14ac:dyDescent="0.2">
      <c r="A301" s="2">
        <v>45772</v>
      </c>
      <c r="B301" s="79" t="s">
        <v>19</v>
      </c>
      <c r="C301" s="79" t="s">
        <v>11</v>
      </c>
      <c r="D301" s="9">
        <v>0.80649999999999999</v>
      </c>
      <c r="E301" s="8">
        <v>211.02595313399999</v>
      </c>
      <c r="F301" s="8">
        <v>170.185320128</v>
      </c>
      <c r="G301">
        <v>290</v>
      </c>
    </row>
    <row r="302" spans="1:7" hidden="1" x14ac:dyDescent="0.2">
      <c r="A302" s="2">
        <v>45773</v>
      </c>
      <c r="B302" s="79" t="s">
        <v>21</v>
      </c>
      <c r="C302" s="79" t="s">
        <v>11</v>
      </c>
      <c r="D302" s="9">
        <v>0.79859999999999998</v>
      </c>
      <c r="E302" s="8">
        <v>207.532279751</v>
      </c>
      <c r="F302" s="8">
        <v>165.73285928999999</v>
      </c>
      <c r="G302" s="4">
        <v>1470</v>
      </c>
    </row>
    <row r="303" spans="1:7" hidden="1" x14ac:dyDescent="0.2">
      <c r="A303" s="2">
        <v>45774</v>
      </c>
      <c r="B303" s="79" t="s">
        <v>23</v>
      </c>
      <c r="C303" s="79" t="s">
        <v>11</v>
      </c>
      <c r="D303" s="9">
        <v>0.65510000000000002</v>
      </c>
      <c r="E303" s="8">
        <v>218.845678437</v>
      </c>
      <c r="F303" s="8">
        <v>143.365843807</v>
      </c>
      <c r="G303" s="4">
        <v>2180</v>
      </c>
    </row>
    <row r="304" spans="1:7" hidden="1" x14ac:dyDescent="0.2">
      <c r="A304" s="2">
        <v>45775</v>
      </c>
      <c r="B304" s="79" t="s">
        <v>10</v>
      </c>
      <c r="C304" s="79" t="s">
        <v>11</v>
      </c>
      <c r="D304" s="9">
        <v>0.75890000000000002</v>
      </c>
      <c r="E304" s="8">
        <v>247.98672326900001</v>
      </c>
      <c r="F304" s="8">
        <v>188.20340300500001</v>
      </c>
      <c r="G304" s="4">
        <v>3290</v>
      </c>
    </row>
    <row r="305" spans="1:7" hidden="1" x14ac:dyDescent="0.2">
      <c r="A305" s="2">
        <v>45776</v>
      </c>
      <c r="B305" s="79" t="s">
        <v>13</v>
      </c>
      <c r="C305" s="79" t="s">
        <v>11</v>
      </c>
      <c r="D305" s="9">
        <v>0.79620000000000002</v>
      </c>
      <c r="E305" s="8">
        <v>250.00548673099999</v>
      </c>
      <c r="F305" s="8">
        <v>199.04808424399999</v>
      </c>
      <c r="G305" s="4">
        <v>3592</v>
      </c>
    </row>
    <row r="306" spans="1:7" hidden="1" x14ac:dyDescent="0.2">
      <c r="A306" s="2">
        <v>45777</v>
      </c>
      <c r="B306" s="79" t="s">
        <v>15</v>
      </c>
      <c r="C306" s="79" t="s">
        <v>11</v>
      </c>
      <c r="D306" s="9">
        <v>0.75449999999999995</v>
      </c>
      <c r="E306" s="8">
        <v>234.370073631</v>
      </c>
      <c r="F306" s="8">
        <v>176.83414162099999</v>
      </c>
      <c r="G306" s="4">
        <v>3238</v>
      </c>
    </row>
    <row r="307" spans="1:7" hidden="1" x14ac:dyDescent="0.2">
      <c r="A307" s="2">
        <v>45778</v>
      </c>
      <c r="B307" s="79" t="s">
        <v>17</v>
      </c>
      <c r="C307" s="79" t="s">
        <v>11</v>
      </c>
      <c r="D307" s="9">
        <v>0.73970000000000002</v>
      </c>
      <c r="E307" s="8">
        <v>224.82986887499999</v>
      </c>
      <c r="F307" s="8">
        <v>166.30857878</v>
      </c>
      <c r="G307" s="4">
        <v>2114</v>
      </c>
    </row>
    <row r="308" spans="1:7" hidden="1" x14ac:dyDescent="0.2">
      <c r="A308" s="2">
        <v>45779</v>
      </c>
      <c r="B308" s="79" t="s">
        <v>19</v>
      </c>
      <c r="C308" s="79" t="s">
        <v>11</v>
      </c>
      <c r="D308" s="9">
        <v>0.79979999999999996</v>
      </c>
      <c r="E308" s="8">
        <v>227.82517906999999</v>
      </c>
      <c r="F308" s="8">
        <v>182.208270492</v>
      </c>
      <c r="G308">
        <v>475</v>
      </c>
    </row>
    <row r="309" spans="1:7" hidden="1" x14ac:dyDescent="0.2">
      <c r="A309" s="2">
        <v>45780</v>
      </c>
      <c r="B309" s="79" t="s">
        <v>21</v>
      </c>
      <c r="C309" s="79" t="s">
        <v>11</v>
      </c>
      <c r="D309" s="9">
        <v>0.81120000000000003</v>
      </c>
      <c r="E309" s="8">
        <v>224.788972718</v>
      </c>
      <c r="F309" s="8">
        <v>182.34930601100001</v>
      </c>
      <c r="G309">
        <v>903</v>
      </c>
    </row>
    <row r="310" spans="1:7" hidden="1" x14ac:dyDescent="0.2">
      <c r="A310" s="2">
        <v>45781</v>
      </c>
      <c r="B310" s="79" t="s">
        <v>23</v>
      </c>
      <c r="C310" s="79" t="s">
        <v>11</v>
      </c>
      <c r="D310" s="9">
        <v>0.66138399999999997</v>
      </c>
      <c r="E310" s="8">
        <v>167.6099876067199</v>
      </c>
      <c r="F310" s="8">
        <v>110.85462021857923</v>
      </c>
      <c r="G310" s="4">
        <v>1610</v>
      </c>
    </row>
    <row r="311" spans="1:7" hidden="1" x14ac:dyDescent="0.2">
      <c r="A311" s="2">
        <v>45782</v>
      </c>
      <c r="B311" s="79" t="s">
        <v>10</v>
      </c>
      <c r="C311" s="79" t="s">
        <v>11</v>
      </c>
      <c r="D311" s="9">
        <v>0.63720399999999999</v>
      </c>
      <c r="E311" s="8">
        <v>171.5865968698628</v>
      </c>
      <c r="F311" s="8">
        <v>109.33566712203962</v>
      </c>
      <c r="G311" s="4">
        <v>1549</v>
      </c>
    </row>
    <row r="312" spans="1:7" hidden="1" x14ac:dyDescent="0.2">
      <c r="A312" s="2">
        <v>45783</v>
      </c>
      <c r="B312" s="79" t="s">
        <v>13</v>
      </c>
      <c r="C312" s="79" t="s">
        <v>11</v>
      </c>
      <c r="D312" s="9">
        <v>0.65382499999999999</v>
      </c>
      <c r="E312" s="8">
        <v>173.08003900264663</v>
      </c>
      <c r="F312" s="8">
        <v>113.1640801457195</v>
      </c>
      <c r="G312" s="4">
        <v>1286</v>
      </c>
    </row>
    <row r="313" spans="1:7" hidden="1" x14ac:dyDescent="0.2">
      <c r="A313" s="2">
        <v>45784</v>
      </c>
      <c r="B313" s="79" t="s">
        <v>15</v>
      </c>
      <c r="C313" s="79" t="s">
        <v>11</v>
      </c>
      <c r="D313" s="9">
        <v>0.65947199999999995</v>
      </c>
      <c r="E313" s="8">
        <v>168.62621323021682</v>
      </c>
      <c r="F313" s="8">
        <v>111.20422677595627</v>
      </c>
      <c r="G313">
        <v>850</v>
      </c>
    </row>
    <row r="314" spans="1:7" hidden="1" x14ac:dyDescent="0.2">
      <c r="A314" s="2">
        <v>45785</v>
      </c>
      <c r="B314" s="79" t="s">
        <v>17</v>
      </c>
      <c r="C314" s="79" t="s">
        <v>11</v>
      </c>
      <c r="D314" s="9">
        <v>0.66329700000000003</v>
      </c>
      <c r="E314" s="8">
        <v>165.08615749004534</v>
      </c>
      <c r="F314" s="8">
        <v>109.50113706739528</v>
      </c>
      <c r="G314">
        <v>792</v>
      </c>
    </row>
    <row r="315" spans="1:7" hidden="1" x14ac:dyDescent="0.2">
      <c r="A315" s="2">
        <v>45786</v>
      </c>
      <c r="B315" s="79" t="s">
        <v>19</v>
      </c>
      <c r="C315" s="79" t="s">
        <v>11</v>
      </c>
      <c r="D315" s="9">
        <v>0.73825099999999999</v>
      </c>
      <c r="E315" s="8">
        <v>162.54728164322722</v>
      </c>
      <c r="F315" s="8">
        <v>120.00075273224043</v>
      </c>
      <c r="G315">
        <v>785</v>
      </c>
    </row>
    <row r="316" spans="1:7" hidden="1" x14ac:dyDescent="0.2">
      <c r="A316" s="2">
        <v>45787</v>
      </c>
      <c r="B316" s="79" t="s">
        <v>21</v>
      </c>
      <c r="C316" s="79" t="s">
        <v>11</v>
      </c>
      <c r="D316" s="9">
        <v>0.69380699999999995</v>
      </c>
      <c r="E316" s="8">
        <v>157.66540824363352</v>
      </c>
      <c r="F316" s="8">
        <v>109.38935154826959</v>
      </c>
      <c r="G316">
        <v>570</v>
      </c>
    </row>
    <row r="317" spans="1:7" hidden="1" x14ac:dyDescent="0.2">
      <c r="A317" s="2">
        <v>45788</v>
      </c>
      <c r="B317" s="79" t="s">
        <v>23</v>
      </c>
      <c r="C317" s="79" t="s">
        <v>11</v>
      </c>
      <c r="D317" s="9">
        <v>0.51634800000000003</v>
      </c>
      <c r="E317" s="8">
        <v>192.04136872740102</v>
      </c>
      <c r="F317" s="8">
        <v>99.160158469945358</v>
      </c>
      <c r="G317">
        <v>260</v>
      </c>
    </row>
    <row r="318" spans="1:7" hidden="1" x14ac:dyDescent="0.2">
      <c r="A318" s="2">
        <v>45789</v>
      </c>
      <c r="B318" s="79" t="s">
        <v>10</v>
      </c>
      <c r="C318" s="79" t="s">
        <v>11</v>
      </c>
      <c r="D318" s="9">
        <v>0.55018199999999995</v>
      </c>
      <c r="E318" s="8">
        <v>198.80975004138307</v>
      </c>
      <c r="F318" s="8">
        <v>109.38157559198498</v>
      </c>
      <c r="G318" s="4">
        <v>1018</v>
      </c>
    </row>
    <row r="319" spans="1:7" hidden="1" x14ac:dyDescent="0.2">
      <c r="A319" s="2">
        <v>45790</v>
      </c>
      <c r="B319" s="79" t="s">
        <v>13</v>
      </c>
      <c r="C319" s="79" t="s">
        <v>11</v>
      </c>
      <c r="D319" s="9">
        <v>0.610792</v>
      </c>
      <c r="E319" s="8">
        <v>195.78863937970627</v>
      </c>
      <c r="F319" s="8">
        <v>119.58620309653917</v>
      </c>
      <c r="G319" s="4">
        <v>1608</v>
      </c>
    </row>
    <row r="320" spans="1:7" hidden="1" x14ac:dyDescent="0.2">
      <c r="A320" s="2">
        <v>45791</v>
      </c>
      <c r="B320" s="79" t="s">
        <v>15</v>
      </c>
      <c r="C320" s="79" t="s">
        <v>11</v>
      </c>
      <c r="D320" s="9">
        <v>0.70496400000000004</v>
      </c>
      <c r="E320" s="8">
        <v>217.71435953749759</v>
      </c>
      <c r="F320" s="8">
        <v>153.48069216757742</v>
      </c>
      <c r="G320" s="4">
        <v>2208</v>
      </c>
    </row>
    <row r="321" spans="1:7" hidden="1" x14ac:dyDescent="0.2">
      <c r="A321" s="2">
        <v>45792</v>
      </c>
      <c r="B321" s="79" t="s">
        <v>17</v>
      </c>
      <c r="C321" s="79" t="s">
        <v>11</v>
      </c>
      <c r="D321" s="9">
        <v>0.75519099999999995</v>
      </c>
      <c r="E321" s="8">
        <v>224.206047395079</v>
      </c>
      <c r="F321" s="8">
        <v>169.31844672131103</v>
      </c>
      <c r="G321" s="4">
        <v>2650</v>
      </c>
    </row>
    <row r="322" spans="1:7" hidden="1" x14ac:dyDescent="0.2">
      <c r="A322" s="2">
        <v>45793</v>
      </c>
      <c r="B322" s="79" t="s">
        <v>19</v>
      </c>
      <c r="C322" s="79" t="s">
        <v>11</v>
      </c>
      <c r="D322" s="9">
        <v>0.83984499999999995</v>
      </c>
      <c r="E322" s="8">
        <v>227.80566285311443</v>
      </c>
      <c r="F322" s="8">
        <v>191.32148633879734</v>
      </c>
      <c r="G322" s="4">
        <v>3136</v>
      </c>
    </row>
    <row r="323" spans="1:7" hidden="1" x14ac:dyDescent="0.2">
      <c r="A323" s="2">
        <v>45794</v>
      </c>
      <c r="B323" s="79" t="s">
        <v>21</v>
      </c>
      <c r="C323" s="79" t="s">
        <v>11</v>
      </c>
      <c r="D323" s="9">
        <v>0.80496400000000001</v>
      </c>
      <c r="E323" s="8">
        <v>215.79412343723484</v>
      </c>
      <c r="F323" s="8">
        <v>173.70640801457196</v>
      </c>
      <c r="G323" s="4">
        <v>3069</v>
      </c>
    </row>
    <row r="324" spans="1:7" hidden="1" x14ac:dyDescent="0.2">
      <c r="A324" s="2">
        <v>45795</v>
      </c>
      <c r="B324" s="79" t="s">
        <v>23</v>
      </c>
      <c r="C324" s="79" t="s">
        <v>11</v>
      </c>
      <c r="D324" s="9">
        <v>0.62923499999999999</v>
      </c>
      <c r="E324" s="8">
        <v>204.99376827326677</v>
      </c>
      <c r="F324" s="8">
        <v>128.98924817850639</v>
      </c>
      <c r="G324" s="4">
        <v>1602</v>
      </c>
    </row>
    <row r="325" spans="1:7" hidden="1" x14ac:dyDescent="0.2">
      <c r="A325" s="2">
        <v>45796</v>
      </c>
      <c r="B325" s="79" t="s">
        <v>10</v>
      </c>
      <c r="C325" s="79" t="s">
        <v>11</v>
      </c>
      <c r="D325" s="9">
        <v>0.68383400000000005</v>
      </c>
      <c r="E325" s="8">
        <v>214.32019111673438</v>
      </c>
      <c r="F325" s="8">
        <v>146.5594858834244</v>
      </c>
      <c r="G325" s="4">
        <v>2771</v>
      </c>
    </row>
    <row r="326" spans="1:7" hidden="1" x14ac:dyDescent="0.2">
      <c r="A326" s="2">
        <v>45797</v>
      </c>
      <c r="B326" s="79" t="s">
        <v>13</v>
      </c>
      <c r="C326" s="79" t="s">
        <v>11</v>
      </c>
      <c r="D326" s="9">
        <v>0.67581999999999998</v>
      </c>
      <c r="E326" s="8">
        <v>214.01078903038811</v>
      </c>
      <c r="F326" s="8">
        <v>144.63270127504506</v>
      </c>
      <c r="G326" s="4">
        <v>2515</v>
      </c>
    </row>
    <row r="327" spans="1:7" hidden="1" x14ac:dyDescent="0.2">
      <c r="A327" s="2">
        <v>45798</v>
      </c>
      <c r="B327" s="79" t="s">
        <v>15</v>
      </c>
      <c r="C327" s="79" t="s">
        <v>11</v>
      </c>
      <c r="D327" s="9">
        <v>0.634745</v>
      </c>
      <c r="E327" s="8">
        <v>202.58156037018364</v>
      </c>
      <c r="F327" s="8">
        <v>128.58763069216712</v>
      </c>
      <c r="G327" s="4">
        <v>2148</v>
      </c>
    </row>
    <row r="328" spans="1:7" hidden="1" x14ac:dyDescent="0.2">
      <c r="A328" s="2">
        <v>45799</v>
      </c>
      <c r="B328" s="79" t="s">
        <v>17</v>
      </c>
      <c r="C328" s="79" t="s">
        <v>11</v>
      </c>
      <c r="D328" s="9">
        <v>0.65642100000000003</v>
      </c>
      <c r="E328" s="8">
        <v>207.00811793270898</v>
      </c>
      <c r="F328" s="8">
        <v>135.88442714025501</v>
      </c>
      <c r="G328" s="4">
        <v>2258</v>
      </c>
    </row>
    <row r="329" spans="1:7" hidden="1" x14ac:dyDescent="0.2">
      <c r="A329" s="2">
        <v>45800</v>
      </c>
      <c r="B329" s="79" t="s">
        <v>19</v>
      </c>
      <c r="C329" s="79" t="s">
        <v>11</v>
      </c>
      <c r="D329" s="9">
        <v>0.83392500000000003</v>
      </c>
      <c r="E329" s="8">
        <v>226.65864413258342</v>
      </c>
      <c r="F329" s="8">
        <v>189.0163820582878</v>
      </c>
      <c r="G329" s="4">
        <v>1350</v>
      </c>
    </row>
    <row r="330" spans="1:7" hidden="1" x14ac:dyDescent="0.2">
      <c r="A330" s="2">
        <v>45801</v>
      </c>
      <c r="B330" s="79" t="s">
        <v>21</v>
      </c>
      <c r="C330" s="79" t="s">
        <v>11</v>
      </c>
      <c r="D330" s="9">
        <v>0.943716</v>
      </c>
      <c r="E330" s="8">
        <v>233.1841603937464</v>
      </c>
      <c r="F330" s="8">
        <v>220.05958743169398</v>
      </c>
      <c r="G330" s="4">
        <v>1350</v>
      </c>
    </row>
    <row r="331" spans="1:7" hidden="1" x14ac:dyDescent="0.2">
      <c r="A331" s="2">
        <v>45802</v>
      </c>
      <c r="B331" s="79" t="s">
        <v>23</v>
      </c>
      <c r="C331" s="79" t="s">
        <v>11</v>
      </c>
      <c r="D331" s="9">
        <v>0.86807800000000002</v>
      </c>
      <c r="E331" s="8">
        <v>213.81105649687876</v>
      </c>
      <c r="F331" s="8">
        <v>185.60474362477231</v>
      </c>
      <c r="G331">
        <v>860</v>
      </c>
    </row>
    <row r="332" spans="1:7" hidden="1" x14ac:dyDescent="0.2">
      <c r="A332" s="2">
        <v>45803</v>
      </c>
      <c r="B332" s="79" t="s">
        <v>10</v>
      </c>
      <c r="C332" s="79" t="s">
        <v>11</v>
      </c>
      <c r="D332" s="9">
        <v>0.60696700000000003</v>
      </c>
      <c r="E332" s="8">
        <v>202.03232500562609</v>
      </c>
      <c r="F332" s="8">
        <v>122.62699726775911</v>
      </c>
      <c r="G332">
        <v>340</v>
      </c>
    </row>
    <row r="333" spans="1:7" hidden="1" x14ac:dyDescent="0.2">
      <c r="A333" s="2">
        <v>45804</v>
      </c>
      <c r="B333" s="79" t="s">
        <v>13</v>
      </c>
      <c r="C333" s="79" t="s">
        <v>11</v>
      </c>
      <c r="D333" s="9">
        <v>0.675956</v>
      </c>
      <c r="E333" s="8">
        <v>204.12190312584141</v>
      </c>
      <c r="F333" s="8">
        <v>137.97748315118352</v>
      </c>
      <c r="G333">
        <v>555</v>
      </c>
    </row>
    <row r="334" spans="1:7" hidden="1" x14ac:dyDescent="0.2">
      <c r="A334" s="2">
        <v>45805</v>
      </c>
      <c r="B334" s="79" t="s">
        <v>15</v>
      </c>
      <c r="C334" s="79" t="s">
        <v>11</v>
      </c>
      <c r="D334" s="9">
        <v>0.67258700000000005</v>
      </c>
      <c r="E334" s="8">
        <v>203.37023832092012</v>
      </c>
      <c r="F334" s="8">
        <v>136.78408105646585</v>
      </c>
      <c r="G334">
        <v>620</v>
      </c>
    </row>
    <row r="335" spans="1:7" hidden="1" x14ac:dyDescent="0.2">
      <c r="A335" s="2">
        <v>45806</v>
      </c>
      <c r="B335" s="79" t="s">
        <v>17</v>
      </c>
      <c r="C335" s="79" t="s">
        <v>11</v>
      </c>
      <c r="D335" s="9">
        <v>0.70050100000000004</v>
      </c>
      <c r="E335" s="8">
        <v>209.75535786257558</v>
      </c>
      <c r="F335" s="8">
        <v>146.93381921675774</v>
      </c>
      <c r="G335">
        <v>660</v>
      </c>
    </row>
    <row r="336" spans="1:7" hidden="1" x14ac:dyDescent="0.2">
      <c r="A336" s="2">
        <v>45807</v>
      </c>
      <c r="B336" s="79" t="s">
        <v>19</v>
      </c>
      <c r="C336" s="79" t="s">
        <v>11</v>
      </c>
      <c r="D336" s="9">
        <v>0.81643900000000003</v>
      </c>
      <c r="E336" s="8">
        <v>215.77518210720064</v>
      </c>
      <c r="F336" s="8">
        <v>176.16726958105647</v>
      </c>
      <c r="G336" s="4">
        <v>1390</v>
      </c>
    </row>
    <row r="337" spans="1:7" hidden="1" x14ac:dyDescent="0.2">
      <c r="A337" s="2">
        <v>45808</v>
      </c>
      <c r="B337" s="79" t="s">
        <v>21</v>
      </c>
      <c r="C337" s="79" t="s">
        <v>11</v>
      </c>
      <c r="D337" s="9">
        <v>0.81170299999999995</v>
      </c>
      <c r="E337" s="8">
        <v>215.86362805049089</v>
      </c>
      <c r="F337" s="8">
        <v>175.21717531876138</v>
      </c>
      <c r="G337" s="4">
        <v>1340</v>
      </c>
    </row>
    <row r="338" spans="1:7" x14ac:dyDescent="0.2">
      <c r="A338" s="2">
        <v>45809</v>
      </c>
      <c r="B338" s="79" t="s">
        <v>23</v>
      </c>
      <c r="C338" s="79" t="s">
        <v>11</v>
      </c>
      <c r="D338" s="9">
        <v>0.59326000000000001</v>
      </c>
      <c r="E338" s="8">
        <v>209.0652064783543</v>
      </c>
      <c r="F338" s="8">
        <v>124.03012340619307</v>
      </c>
      <c r="G338">
        <v>51</v>
      </c>
    </row>
    <row r="339" spans="1:7" x14ac:dyDescent="0.2">
      <c r="A339" s="2">
        <v>45810</v>
      </c>
      <c r="B339" s="79" t="s">
        <v>10</v>
      </c>
      <c r="C339" s="79" t="s">
        <v>11</v>
      </c>
      <c r="D339" s="9">
        <v>0.63902599999999998</v>
      </c>
      <c r="E339" s="8">
        <v>216.41455355234092</v>
      </c>
      <c r="F339" s="8">
        <v>138.29441848816029</v>
      </c>
      <c r="G339">
        <v>55</v>
      </c>
    </row>
    <row r="340" spans="1:7" x14ac:dyDescent="0.2">
      <c r="A340" s="2">
        <v>45811</v>
      </c>
      <c r="B340" s="79" t="s">
        <v>13</v>
      </c>
      <c r="C340" s="79" t="s">
        <v>11</v>
      </c>
      <c r="D340" s="9">
        <v>0.66334199999999999</v>
      </c>
      <c r="E340" s="8">
        <v>217.03055055948374</v>
      </c>
      <c r="F340" s="8">
        <v>143.96557513661202</v>
      </c>
      <c r="G340">
        <v>395</v>
      </c>
    </row>
    <row r="341" spans="1:7" x14ac:dyDescent="0.2">
      <c r="A341" s="2">
        <v>45812</v>
      </c>
      <c r="B341" s="79" t="s">
        <v>15</v>
      </c>
      <c r="C341" s="79" t="s">
        <v>11</v>
      </c>
      <c r="D341" s="9">
        <v>0.65610199999999996</v>
      </c>
      <c r="E341" s="8">
        <v>217.27728484175458</v>
      </c>
      <c r="F341" s="8">
        <v>142.55606193078324</v>
      </c>
      <c r="G341" s="4">
        <v>1077</v>
      </c>
    </row>
    <row r="342" spans="1:7" x14ac:dyDescent="0.2">
      <c r="A342" s="2">
        <v>45813</v>
      </c>
      <c r="B342" s="79" t="s">
        <v>17</v>
      </c>
      <c r="C342" s="79" t="s">
        <v>11</v>
      </c>
      <c r="D342" s="9">
        <v>0.68073799999999995</v>
      </c>
      <c r="E342" s="8">
        <v>223.39052980132382</v>
      </c>
      <c r="F342" s="8">
        <v>152.07035655737658</v>
      </c>
      <c r="G342" s="4">
        <v>1850</v>
      </c>
    </row>
    <row r="343" spans="1:7" x14ac:dyDescent="0.2">
      <c r="A343" s="2">
        <v>45814</v>
      </c>
      <c r="B343" s="79" t="s">
        <v>19</v>
      </c>
      <c r="C343" s="79" t="s">
        <v>11</v>
      </c>
      <c r="D343" s="9">
        <v>0.77153899999999997</v>
      </c>
      <c r="E343" s="8">
        <v>227.27023431505577</v>
      </c>
      <c r="F343" s="8">
        <v>175.347886156648</v>
      </c>
      <c r="G343" s="4">
        <v>1975</v>
      </c>
    </row>
    <row r="344" spans="1:7" x14ac:dyDescent="0.2">
      <c r="A344" s="2">
        <v>45815</v>
      </c>
      <c r="B344" s="79" t="s">
        <v>21</v>
      </c>
      <c r="C344" s="79" t="s">
        <v>11</v>
      </c>
      <c r="D344" s="9">
        <v>0.82427099999999998</v>
      </c>
      <c r="E344" s="8">
        <v>222.82891055742721</v>
      </c>
      <c r="F344" s="8">
        <v>183.67149863387934</v>
      </c>
      <c r="G344" s="4">
        <v>2090</v>
      </c>
    </row>
    <row r="345" spans="1:7" x14ac:dyDescent="0.2">
      <c r="A345" s="2">
        <v>45816</v>
      </c>
      <c r="B345" s="79" t="s">
        <v>23</v>
      </c>
      <c r="C345" s="79" t="s">
        <v>11</v>
      </c>
      <c r="D345" s="9">
        <v>0.70778700000000005</v>
      </c>
      <c r="E345" s="8">
        <v>216.6843640223895</v>
      </c>
      <c r="F345" s="8">
        <v>153.36635109289617</v>
      </c>
      <c r="G345">
        <v>810</v>
      </c>
    </row>
    <row r="346" spans="1:7" x14ac:dyDescent="0.2">
      <c r="A346" s="2">
        <v>45817</v>
      </c>
      <c r="B346" s="79" t="s">
        <v>10</v>
      </c>
      <c r="C346" s="79" t="s">
        <v>11</v>
      </c>
      <c r="D346" s="9">
        <v>0.74376100000000001</v>
      </c>
      <c r="E346" s="8">
        <v>221.54438376293393</v>
      </c>
      <c r="F346" s="8">
        <v>164.77615755919854</v>
      </c>
      <c r="G346" s="4">
        <v>1620</v>
      </c>
    </row>
    <row r="347" spans="1:7" x14ac:dyDescent="0.2">
      <c r="A347" s="2">
        <v>45818</v>
      </c>
      <c r="B347" s="79" t="s">
        <v>13</v>
      </c>
      <c r="C347" s="79" t="s">
        <v>11</v>
      </c>
      <c r="D347" s="9">
        <v>0.79089299999999996</v>
      </c>
      <c r="E347" s="8">
        <v>232.56405631045601</v>
      </c>
      <c r="F347" s="8">
        <v>183.93317531876139</v>
      </c>
      <c r="G347" s="4">
        <v>2800</v>
      </c>
    </row>
    <row r="348" spans="1:7" x14ac:dyDescent="0.2">
      <c r="A348" s="2">
        <v>45819</v>
      </c>
      <c r="B348" s="79" t="s">
        <v>15</v>
      </c>
      <c r="C348" s="79" t="s">
        <v>11</v>
      </c>
      <c r="D348" s="9">
        <v>0.78574699999999997</v>
      </c>
      <c r="E348" s="8">
        <v>228.29757983193278</v>
      </c>
      <c r="F348" s="8">
        <v>179.38409562841531</v>
      </c>
      <c r="G348" s="4">
        <v>2807</v>
      </c>
    </row>
    <row r="349" spans="1:7" x14ac:dyDescent="0.2">
      <c r="A349" s="2">
        <v>45820</v>
      </c>
      <c r="B349" s="79" t="s">
        <v>17</v>
      </c>
      <c r="C349" s="79" t="s">
        <v>11</v>
      </c>
      <c r="D349" s="9">
        <v>0.67764100000000005</v>
      </c>
      <c r="E349" s="8">
        <v>217.37480344062831</v>
      </c>
      <c r="F349" s="8">
        <v>147.30211520947131</v>
      </c>
      <c r="G349">
        <v>948</v>
      </c>
    </row>
    <row r="350" spans="1:7" x14ac:dyDescent="0.2">
      <c r="A350" s="2">
        <v>45821</v>
      </c>
      <c r="B350" s="79" t="s">
        <v>19</v>
      </c>
      <c r="C350" s="79" t="s">
        <v>11</v>
      </c>
      <c r="D350" s="9">
        <v>0.71616599999999997</v>
      </c>
      <c r="E350" s="8">
        <v>219.15438799516755</v>
      </c>
      <c r="F350" s="8">
        <v>156.9508679417122</v>
      </c>
      <c r="G350">
        <v>91</v>
      </c>
    </row>
    <row r="351" spans="1:7" x14ac:dyDescent="0.2">
      <c r="A351" s="2">
        <v>45822</v>
      </c>
      <c r="B351" s="79" t="s">
        <v>21</v>
      </c>
      <c r="C351" s="79" t="s">
        <v>11</v>
      </c>
      <c r="D351" s="9">
        <v>0.75127500000000003</v>
      </c>
      <c r="E351" s="8">
        <v>218.924282337253</v>
      </c>
      <c r="F351" s="8">
        <v>164.47235018214937</v>
      </c>
      <c r="G351">
        <v>201</v>
      </c>
    </row>
    <row r="352" spans="1:7" x14ac:dyDescent="0.2">
      <c r="A352" s="2">
        <v>45823</v>
      </c>
      <c r="B352" s="79" t="s">
        <v>23</v>
      </c>
      <c r="C352" s="79" t="s">
        <v>11</v>
      </c>
      <c r="D352" s="9">
        <v>0.632969</v>
      </c>
      <c r="E352" s="8">
        <v>220.15070359712229</v>
      </c>
      <c r="F352" s="8">
        <v>139.34857832422585</v>
      </c>
      <c r="G352">
        <v>361</v>
      </c>
    </row>
    <row r="353" spans="1:7" x14ac:dyDescent="0.2">
      <c r="A353" s="2">
        <v>45824</v>
      </c>
      <c r="B353" s="79" t="s">
        <v>10</v>
      </c>
      <c r="C353" s="79" t="s">
        <v>11</v>
      </c>
      <c r="D353" s="9">
        <v>0.71602900000000003</v>
      </c>
      <c r="E353" s="8">
        <v>229.68929152887304</v>
      </c>
      <c r="F353" s="8">
        <v>164.46422677595629</v>
      </c>
      <c r="G353">
        <v>520</v>
      </c>
    </row>
    <row r="354" spans="1:7" x14ac:dyDescent="0.2">
      <c r="A354" s="2">
        <v>45825</v>
      </c>
      <c r="B354" s="79" t="s">
        <v>13</v>
      </c>
      <c r="C354" s="79" t="s">
        <v>11</v>
      </c>
      <c r="D354" s="9">
        <v>0.74266799999999999</v>
      </c>
      <c r="E354" s="8">
        <v>233.50032190814827</v>
      </c>
      <c r="F354" s="8">
        <v>173.41333105646586</v>
      </c>
      <c r="G354">
        <v>679</v>
      </c>
    </row>
    <row r="355" spans="1:7" x14ac:dyDescent="0.2">
      <c r="A355" s="2">
        <v>45826</v>
      </c>
      <c r="B355" s="79" t="s">
        <v>15</v>
      </c>
      <c r="C355" s="79" t="s">
        <v>11</v>
      </c>
      <c r="D355" s="9">
        <v>0.87076500000000001</v>
      </c>
      <c r="E355" s="8">
        <v>244.54098054596798</v>
      </c>
      <c r="F355" s="8">
        <v>212.93773360655737</v>
      </c>
      <c r="G355" s="4">
        <v>1261</v>
      </c>
    </row>
    <row r="356" spans="1:7" x14ac:dyDescent="0.2">
      <c r="A356" s="2">
        <v>45827</v>
      </c>
      <c r="B356" s="79" t="s">
        <v>17</v>
      </c>
      <c r="C356" s="79" t="s">
        <v>11</v>
      </c>
      <c r="D356" s="9">
        <v>0.91703100000000004</v>
      </c>
      <c r="E356" s="8">
        <v>251.6910934551594</v>
      </c>
      <c r="F356" s="8">
        <v>230.80852641165757</v>
      </c>
      <c r="G356" s="4">
        <v>1680</v>
      </c>
    </row>
    <row r="357" spans="1:7" x14ac:dyDescent="0.2">
      <c r="A357" s="2">
        <v>45828</v>
      </c>
      <c r="B357" s="79" t="s">
        <v>19</v>
      </c>
      <c r="C357" s="79" t="s">
        <v>11</v>
      </c>
      <c r="D357" s="9">
        <v>0.92500000000000004</v>
      </c>
      <c r="E357" s="8">
        <v>252.60369270910206</v>
      </c>
      <c r="F357" s="8">
        <v>233.65841575591941</v>
      </c>
      <c r="G357" s="4">
        <v>1798</v>
      </c>
    </row>
    <row r="358" spans="1:7" x14ac:dyDescent="0.2">
      <c r="A358" s="2">
        <v>45829</v>
      </c>
      <c r="B358" s="79" t="s">
        <v>21</v>
      </c>
      <c r="C358" s="79" t="s">
        <v>11</v>
      </c>
      <c r="D358" s="9">
        <v>0.88069200000000003</v>
      </c>
      <c r="E358" s="8">
        <v>248.14832885211993</v>
      </c>
      <c r="F358" s="8">
        <v>218.54228961748632</v>
      </c>
      <c r="G358">
        <v>736</v>
      </c>
    </row>
    <row r="359" spans="1:7" x14ac:dyDescent="0.2">
      <c r="A359" s="2">
        <v>45830</v>
      </c>
      <c r="B359" s="79" t="s">
        <v>23</v>
      </c>
      <c r="C359" s="79" t="s">
        <v>11</v>
      </c>
      <c r="D359" s="9">
        <v>0.64558800000000005</v>
      </c>
      <c r="E359" s="8">
        <v>229.700822614841</v>
      </c>
      <c r="F359" s="8">
        <v>148.29211789396842</v>
      </c>
      <c r="G359">
        <v>663</v>
      </c>
    </row>
    <row r="360" spans="1:7" x14ac:dyDescent="0.2">
      <c r="A360" s="2">
        <v>45831</v>
      </c>
      <c r="B360" s="79" t="s">
        <v>10</v>
      </c>
      <c r="C360" s="79" t="s">
        <v>11</v>
      </c>
      <c r="D360" s="9">
        <v>0.75563499999999995</v>
      </c>
      <c r="E360" s="8">
        <v>237.82208006279373</v>
      </c>
      <c r="F360" s="8">
        <v>179.70660142348709</v>
      </c>
      <c r="G360" s="4">
        <v>1688</v>
      </c>
    </row>
    <row r="361" spans="1:7" x14ac:dyDescent="0.2">
      <c r="A361" s="2">
        <v>45832</v>
      </c>
      <c r="B361" s="79" t="s">
        <v>13</v>
      </c>
      <c r="C361" s="79" t="s">
        <v>11</v>
      </c>
      <c r="D361" s="9">
        <v>0.81348699999999996</v>
      </c>
      <c r="E361" s="8">
        <v>244.61500224341</v>
      </c>
      <c r="F361" s="8">
        <v>198.99103430969981</v>
      </c>
      <c r="G361" s="4">
        <v>2668</v>
      </c>
    </row>
    <row r="362" spans="1:7" x14ac:dyDescent="0.2">
      <c r="A362" s="2">
        <v>45833</v>
      </c>
      <c r="B362" s="79" t="s">
        <v>15</v>
      </c>
      <c r="C362" s="79" t="s">
        <v>11</v>
      </c>
      <c r="D362" s="9">
        <v>0.78871199999999997</v>
      </c>
      <c r="E362" s="8">
        <v>242.14384566437209</v>
      </c>
      <c r="F362" s="8">
        <v>190.98187152112419</v>
      </c>
      <c r="G362" s="4">
        <v>2691</v>
      </c>
    </row>
    <row r="363" spans="1:7" x14ac:dyDescent="0.2">
      <c r="A363" s="2">
        <v>45834</v>
      </c>
      <c r="B363" s="79" t="s">
        <v>17</v>
      </c>
      <c r="C363" s="79" t="s">
        <v>11</v>
      </c>
      <c r="D363" s="9">
        <v>0.79122199999999998</v>
      </c>
      <c r="E363" s="8">
        <v>229.6851095606043</v>
      </c>
      <c r="F363" s="8">
        <v>181.73187197737019</v>
      </c>
      <c r="G363" s="4">
        <v>2595</v>
      </c>
    </row>
    <row r="364" spans="1:7" x14ac:dyDescent="0.2">
      <c r="A364" s="2">
        <v>45835</v>
      </c>
      <c r="B364" s="79" t="s">
        <v>19</v>
      </c>
      <c r="C364" s="79" t="s">
        <v>11</v>
      </c>
      <c r="D364" s="9">
        <v>0.79528200000000004</v>
      </c>
      <c r="E364" s="8">
        <v>237.70771900636797</v>
      </c>
      <c r="F364" s="8">
        <v>189.04476913952004</v>
      </c>
      <c r="G364" s="4">
        <v>3054</v>
      </c>
    </row>
    <row r="365" spans="1:7" x14ac:dyDescent="0.2">
      <c r="A365" s="2">
        <v>45836</v>
      </c>
      <c r="B365" s="79" t="s">
        <v>21</v>
      </c>
      <c r="C365" s="79" t="s">
        <v>11</v>
      </c>
      <c r="D365" s="9">
        <v>0.89903299999999997</v>
      </c>
      <c r="E365" s="8">
        <v>249.11076731793909</v>
      </c>
      <c r="F365" s="8">
        <v>223.95874030477185</v>
      </c>
      <c r="G365" s="4">
        <v>6655</v>
      </c>
    </row>
    <row r="366" spans="1:7" x14ac:dyDescent="0.2">
      <c r="A366" s="2">
        <v>45837</v>
      </c>
      <c r="B366" s="79" t="s">
        <v>23</v>
      </c>
      <c r="C366" s="79" t="s">
        <v>11</v>
      </c>
      <c r="D366" s="9">
        <v>0.774204</v>
      </c>
      <c r="E366" s="8">
        <v>244.80874005539511</v>
      </c>
      <c r="F366" s="8">
        <v>189.53186923989415</v>
      </c>
      <c r="G366" s="4">
        <v>6914</v>
      </c>
    </row>
    <row r="367" spans="1:7" x14ac:dyDescent="0.2">
      <c r="A367" s="2">
        <v>45838</v>
      </c>
      <c r="B367" s="79" t="s">
        <v>10</v>
      </c>
      <c r="C367" s="79" t="s">
        <v>11</v>
      </c>
      <c r="D367" s="9">
        <v>0.75207599999999997</v>
      </c>
      <c r="E367" s="8">
        <v>256.96803749090026</v>
      </c>
      <c r="F367" s="8">
        <v>193.25947303586094</v>
      </c>
      <c r="G367" s="4">
        <v>6914</v>
      </c>
    </row>
    <row r="368" spans="1:7" hidden="1" x14ac:dyDescent="0.2">
      <c r="A368" s="2">
        <v>45839</v>
      </c>
      <c r="B368" s="79" t="s">
        <v>13</v>
      </c>
      <c r="C368" s="79" t="s">
        <v>11</v>
      </c>
      <c r="D368" s="9">
        <v>0.76626499999999997</v>
      </c>
      <c r="E368" s="8">
        <v>256.56656207204526</v>
      </c>
      <c r="F368" s="8">
        <v>196.59802034857196</v>
      </c>
      <c r="G368" s="4">
        <v>6906</v>
      </c>
    </row>
    <row r="369" spans="1:7" hidden="1" x14ac:dyDescent="0.2">
      <c r="A369" s="2">
        <v>45840</v>
      </c>
      <c r="B369" s="79" t="s">
        <v>15</v>
      </c>
      <c r="C369" s="79" t="s">
        <v>11</v>
      </c>
      <c r="D369" s="9">
        <v>0.75435700000000006</v>
      </c>
      <c r="E369" s="8">
        <v>250.71078625861861</v>
      </c>
      <c r="F369" s="8">
        <v>189.12547403960215</v>
      </c>
      <c r="G369" s="4">
        <v>6642</v>
      </c>
    </row>
    <row r="370" spans="1:7" hidden="1" x14ac:dyDescent="0.2">
      <c r="A370" s="2">
        <v>45841</v>
      </c>
      <c r="B370" s="79" t="s">
        <v>17</v>
      </c>
      <c r="C370" s="79" t="s">
        <v>11</v>
      </c>
      <c r="D370" s="9">
        <v>0.71443599999999996</v>
      </c>
      <c r="E370" s="8">
        <v>236.65662622134235</v>
      </c>
      <c r="F370" s="8">
        <v>169.07592435441188</v>
      </c>
      <c r="G370">
        <v>334</v>
      </c>
    </row>
    <row r="371" spans="1:7" hidden="1" x14ac:dyDescent="0.2">
      <c r="A371" s="2">
        <v>45842</v>
      </c>
      <c r="B371" s="79" t="s">
        <v>19</v>
      </c>
      <c r="C371" s="79" t="s">
        <v>11</v>
      </c>
      <c r="D371" s="9">
        <v>0.83620799999999995</v>
      </c>
      <c r="E371" s="8">
        <v>236.60088989524226</v>
      </c>
      <c r="F371" s="8">
        <v>197.8474819782827</v>
      </c>
      <c r="G371">
        <v>0</v>
      </c>
    </row>
    <row r="372" spans="1:7" hidden="1" x14ac:dyDescent="0.2">
      <c r="A372" s="2">
        <v>45843</v>
      </c>
      <c r="B372" s="79" t="s">
        <v>21</v>
      </c>
      <c r="C372" s="79" t="s">
        <v>11</v>
      </c>
      <c r="D372" s="9">
        <v>0.77616600000000002</v>
      </c>
      <c r="E372" s="8">
        <v>221.85115271573008</v>
      </c>
      <c r="F372" s="8">
        <v>172.19325714025001</v>
      </c>
      <c r="G372">
        <v>6</v>
      </c>
    </row>
    <row r="373" spans="1:7" hidden="1" x14ac:dyDescent="0.2">
      <c r="A373" s="2">
        <v>45844</v>
      </c>
      <c r="B373" s="79" t="s">
        <v>23</v>
      </c>
      <c r="C373" s="79" t="s">
        <v>11</v>
      </c>
      <c r="D373" s="9">
        <v>0.613514</v>
      </c>
      <c r="E373" s="8">
        <v>217.01583624600207</v>
      </c>
      <c r="F373" s="8">
        <v>133.14225522401634</v>
      </c>
      <c r="G373">
        <v>26</v>
      </c>
    </row>
    <row r="374" spans="1:7" hidden="1" x14ac:dyDescent="0.2">
      <c r="A374" s="2">
        <v>45845</v>
      </c>
      <c r="B374" s="79" t="s">
        <v>10</v>
      </c>
      <c r="C374" s="79" t="s">
        <v>11</v>
      </c>
      <c r="D374" s="9">
        <v>0.66817199999999999</v>
      </c>
      <c r="E374" s="8">
        <v>225.05599453738478</v>
      </c>
      <c r="F374" s="8">
        <v>150.37617665845423</v>
      </c>
      <c r="G374">
        <v>245</v>
      </c>
    </row>
    <row r="375" spans="1:7" hidden="1" x14ac:dyDescent="0.2">
      <c r="A375" s="2">
        <v>45846</v>
      </c>
      <c r="B375" s="79" t="s">
        <v>13</v>
      </c>
      <c r="C375" s="79" t="s">
        <v>11</v>
      </c>
      <c r="D375" s="9">
        <v>0.72178100000000001</v>
      </c>
      <c r="E375" s="8">
        <v>228.95998356510745</v>
      </c>
      <c r="F375" s="8">
        <v>165.25900812117894</v>
      </c>
      <c r="G375">
        <v>250</v>
      </c>
    </row>
    <row r="376" spans="1:7" hidden="1" x14ac:dyDescent="0.2">
      <c r="A376" s="2">
        <v>45847</v>
      </c>
      <c r="B376" s="79" t="s">
        <v>15</v>
      </c>
      <c r="C376" s="79" t="s">
        <v>11</v>
      </c>
      <c r="D376" s="9">
        <v>0.83693799999999996</v>
      </c>
      <c r="E376" s="8">
        <v>246.43875926733534</v>
      </c>
      <c r="F376" s="8">
        <v>206.25388265352677</v>
      </c>
      <c r="G376" s="4">
        <v>1565</v>
      </c>
    </row>
    <row r="377" spans="1:7" hidden="1" x14ac:dyDescent="0.2">
      <c r="A377" s="2">
        <v>45848</v>
      </c>
      <c r="B377" s="79" t="s">
        <v>17</v>
      </c>
      <c r="C377" s="79" t="s">
        <v>11</v>
      </c>
      <c r="D377" s="9">
        <v>0.87243400000000004</v>
      </c>
      <c r="E377" s="8">
        <v>253.42120541784331</v>
      </c>
      <c r="F377" s="8">
        <v>221.09317866593668</v>
      </c>
      <c r="G377" s="4">
        <v>2711</v>
      </c>
    </row>
    <row r="378" spans="1:7" hidden="1" x14ac:dyDescent="0.2">
      <c r="A378" s="2">
        <v>45849</v>
      </c>
      <c r="B378" s="79" t="s">
        <v>19</v>
      </c>
      <c r="C378" s="79" t="s">
        <v>11</v>
      </c>
      <c r="D378" s="9">
        <v>0.87845600000000001</v>
      </c>
      <c r="E378" s="8">
        <v>258.65727277448843</v>
      </c>
      <c r="F378" s="8">
        <v>227.21904963956564</v>
      </c>
      <c r="G378" s="4">
        <v>2712</v>
      </c>
    </row>
    <row r="379" spans="1:7" hidden="1" x14ac:dyDescent="0.2">
      <c r="A379" s="2">
        <v>45850</v>
      </c>
      <c r="B379" s="79" t="s">
        <v>21</v>
      </c>
      <c r="C379" s="79" t="s">
        <v>11</v>
      </c>
      <c r="D379" s="9">
        <v>0.89889600000000003</v>
      </c>
      <c r="E379" s="8">
        <v>255.62542330727845</v>
      </c>
      <c r="F379" s="8">
        <v>229.78064102564102</v>
      </c>
      <c r="G379" s="4">
        <v>2815</v>
      </c>
    </row>
    <row r="380" spans="1:7" hidden="1" x14ac:dyDescent="0.2">
      <c r="A380" s="2">
        <v>45851</v>
      </c>
      <c r="B380" s="79" t="s">
        <v>23</v>
      </c>
      <c r="C380" s="79" t="s">
        <v>11</v>
      </c>
      <c r="D380" s="9">
        <v>0.69372199999999995</v>
      </c>
      <c r="E380" s="8">
        <v>229.86476290693852</v>
      </c>
      <c r="F380" s="8">
        <v>159.46225568026281</v>
      </c>
      <c r="G380">
        <v>538</v>
      </c>
    </row>
    <row r="381" spans="1:7" hidden="1" x14ac:dyDescent="0.2">
      <c r="A381" s="2">
        <v>45852</v>
      </c>
      <c r="B381" s="79" t="s">
        <v>10</v>
      </c>
      <c r="C381" s="79" t="s">
        <v>11</v>
      </c>
      <c r="D381" s="9">
        <v>0.74623600000000001</v>
      </c>
      <c r="E381" s="8">
        <v>234.8090798483737</v>
      </c>
      <c r="F381" s="8">
        <v>175.22298156766129</v>
      </c>
      <c r="G381" s="4">
        <v>1388</v>
      </c>
    </row>
    <row r="382" spans="1:7" hidden="1" x14ac:dyDescent="0.2">
      <c r="A382" s="2">
        <v>45853</v>
      </c>
      <c r="B382" s="79" t="s">
        <v>13</v>
      </c>
      <c r="C382" s="79" t="s">
        <v>11</v>
      </c>
      <c r="D382" s="9">
        <v>0.82927300000000004</v>
      </c>
      <c r="E382" s="8">
        <v>245.61887599031692</v>
      </c>
      <c r="F382" s="8">
        <v>203.6850392371567</v>
      </c>
      <c r="G382" s="4">
        <v>2923</v>
      </c>
    </row>
    <row r="383" spans="1:7" hidden="1" x14ac:dyDescent="0.2">
      <c r="A383" s="2">
        <v>45854</v>
      </c>
      <c r="B383" s="79" t="s">
        <v>15</v>
      </c>
      <c r="C383" s="79" t="s">
        <v>11</v>
      </c>
      <c r="D383" s="9">
        <v>0.88461500000000004</v>
      </c>
      <c r="E383" s="8">
        <v>259.06235803806231</v>
      </c>
      <c r="F383" s="8">
        <v>229.17054749520898</v>
      </c>
      <c r="G383" s="4">
        <v>3423</v>
      </c>
    </row>
    <row r="384" spans="1:7" hidden="1" x14ac:dyDescent="0.2">
      <c r="A384" s="2">
        <v>45855</v>
      </c>
      <c r="B384" s="79" t="s">
        <v>17</v>
      </c>
      <c r="C384" s="79" t="s">
        <v>11</v>
      </c>
      <c r="D384" s="9">
        <v>0.91687200000000002</v>
      </c>
      <c r="E384" s="8">
        <v>258.01779209792994</v>
      </c>
      <c r="F384" s="8">
        <v>236.56928323752166</v>
      </c>
      <c r="G384" s="4">
        <v>3383</v>
      </c>
    </row>
    <row r="385" spans="1:7" hidden="1" x14ac:dyDescent="0.2">
      <c r="A385" s="2">
        <v>45856</v>
      </c>
      <c r="B385" s="79" t="s">
        <v>19</v>
      </c>
      <c r="C385" s="79" t="s">
        <v>11</v>
      </c>
      <c r="D385" s="9">
        <v>0.92394399999999999</v>
      </c>
      <c r="E385" s="8">
        <v>255.46492321366847</v>
      </c>
      <c r="F385" s="8">
        <v>236.03522949174194</v>
      </c>
      <c r="G385" s="4">
        <v>1038</v>
      </c>
    </row>
    <row r="386" spans="1:7" hidden="1" x14ac:dyDescent="0.2">
      <c r="A386" s="2">
        <v>45857</v>
      </c>
      <c r="B386" s="79" t="s">
        <v>21</v>
      </c>
      <c r="C386" s="79" t="s">
        <v>11</v>
      </c>
      <c r="D386" s="9">
        <v>0.91363300000000003</v>
      </c>
      <c r="E386" s="8">
        <v>246.74463220973783</v>
      </c>
      <c r="F386" s="8">
        <v>225.43394744045989</v>
      </c>
      <c r="G386">
        <v>785</v>
      </c>
    </row>
    <row r="387" spans="1:7" hidden="1" x14ac:dyDescent="0.2">
      <c r="A387" s="2">
        <v>45858</v>
      </c>
      <c r="B387" s="79" t="s">
        <v>23</v>
      </c>
      <c r="C387" s="79" t="s">
        <v>11</v>
      </c>
      <c r="D387" s="9">
        <v>0.75367300000000004</v>
      </c>
      <c r="E387" s="8">
        <v>232.59677341243355</v>
      </c>
      <c r="F387" s="8">
        <v>175.30185692125147</v>
      </c>
      <c r="G387">
        <v>534</v>
      </c>
    </row>
    <row r="388" spans="1:7" hidden="1" x14ac:dyDescent="0.2">
      <c r="A388" s="2">
        <v>45859</v>
      </c>
      <c r="B388" s="79" t="s">
        <v>10</v>
      </c>
      <c r="C388" s="79" t="s">
        <v>11</v>
      </c>
      <c r="D388" s="9">
        <v>0.858016</v>
      </c>
      <c r="E388" s="8">
        <v>237.11479580984789</v>
      </c>
      <c r="F388" s="8">
        <v>203.44834610822153</v>
      </c>
      <c r="G388" s="4">
        <v>1353</v>
      </c>
    </row>
    <row r="389" spans="1:7" hidden="1" x14ac:dyDescent="0.2">
      <c r="A389" s="2">
        <v>45860</v>
      </c>
      <c r="B389" s="79" t="s">
        <v>13</v>
      </c>
      <c r="C389" s="79" t="s">
        <v>11</v>
      </c>
      <c r="D389" s="9">
        <v>0.87622</v>
      </c>
      <c r="E389" s="8">
        <v>238.38386201510025</v>
      </c>
      <c r="F389" s="8">
        <v>208.87681677160327</v>
      </c>
      <c r="G389" s="4">
        <v>2375</v>
      </c>
    </row>
    <row r="390" spans="1:7" hidden="1" x14ac:dyDescent="0.2">
      <c r="A390" s="2">
        <v>45861</v>
      </c>
      <c r="B390" s="79" t="s">
        <v>15</v>
      </c>
      <c r="C390" s="79" t="s">
        <v>11</v>
      </c>
      <c r="D390" s="9">
        <v>0.88424999999999998</v>
      </c>
      <c r="E390" s="8">
        <v>241.28822661369384</v>
      </c>
      <c r="F390" s="8">
        <v>213.35920795693039</v>
      </c>
      <c r="G390" s="4">
        <v>2607</v>
      </c>
    </row>
    <row r="391" spans="1:7" hidden="1" x14ac:dyDescent="0.2">
      <c r="A391" s="2">
        <v>45862</v>
      </c>
      <c r="B391" s="79" t="s">
        <v>17</v>
      </c>
      <c r="C391" s="79" t="s">
        <v>11</v>
      </c>
      <c r="D391" s="9">
        <v>0.86444900000000002</v>
      </c>
      <c r="E391" s="8">
        <v>237.95429936137648</v>
      </c>
      <c r="F391" s="8">
        <v>205.69943014873621</v>
      </c>
      <c r="G391" s="4">
        <v>1560</v>
      </c>
    </row>
    <row r="392" spans="1:7" hidden="1" x14ac:dyDescent="0.2">
      <c r="A392" s="2">
        <v>45863</v>
      </c>
      <c r="B392" s="79" t="s">
        <v>19</v>
      </c>
      <c r="C392" s="79" t="s">
        <v>11</v>
      </c>
      <c r="D392" s="9">
        <v>0.91919899999999999</v>
      </c>
      <c r="E392" s="8">
        <v>242.47199930510746</v>
      </c>
      <c r="F392" s="8">
        <v>222.87997855643764</v>
      </c>
      <c r="G392">
        <v>987</v>
      </c>
    </row>
    <row r="393" spans="1:7" hidden="1" x14ac:dyDescent="0.2">
      <c r="A393" s="2">
        <v>45864</v>
      </c>
      <c r="B393" s="79" t="s">
        <v>21</v>
      </c>
      <c r="C393" s="79" t="s">
        <v>11</v>
      </c>
      <c r="D393" s="9">
        <v>0.94999500000000003</v>
      </c>
      <c r="E393" s="8">
        <v>242.42633464604742</v>
      </c>
      <c r="F393" s="8">
        <v>230.30391185327127</v>
      </c>
      <c r="G393" s="4">
        <v>1077</v>
      </c>
    </row>
    <row r="394" spans="1:7" hidden="1" x14ac:dyDescent="0.2">
      <c r="A394" s="2">
        <v>45865</v>
      </c>
      <c r="B394" s="79" t="s">
        <v>23</v>
      </c>
      <c r="C394" s="79" t="s">
        <v>11</v>
      </c>
      <c r="D394" s="9">
        <v>0.77055399999999996</v>
      </c>
      <c r="E394" s="8">
        <v>220.97320089999408</v>
      </c>
      <c r="F394" s="8">
        <v>170.27175791586825</v>
      </c>
      <c r="G394">
        <v>835</v>
      </c>
    </row>
    <row r="395" spans="1:7" hidden="1" x14ac:dyDescent="0.2">
      <c r="A395" s="2">
        <v>45866</v>
      </c>
      <c r="B395" s="79" t="s">
        <v>10</v>
      </c>
      <c r="C395" s="79" t="s">
        <v>11</v>
      </c>
      <c r="D395" s="9">
        <v>0.77753399999999995</v>
      </c>
      <c r="E395" s="8">
        <v>229.82954230724033</v>
      </c>
      <c r="F395" s="8">
        <v>178.70038598412216</v>
      </c>
      <c r="G395" s="4">
        <v>1798</v>
      </c>
    </row>
    <row r="396" spans="1:7" hidden="1" x14ac:dyDescent="0.2">
      <c r="A396" s="2">
        <v>45867</v>
      </c>
      <c r="B396" s="79" t="s">
        <v>13</v>
      </c>
      <c r="C396" s="79" t="s">
        <v>11</v>
      </c>
      <c r="D396" s="9">
        <v>0.798431</v>
      </c>
      <c r="E396" s="8">
        <v>229.06856171428572</v>
      </c>
      <c r="F396" s="8">
        <v>182.89532940961766</v>
      </c>
      <c r="G396" s="4">
        <v>1804</v>
      </c>
    </row>
    <row r="397" spans="1:7" hidden="1" x14ac:dyDescent="0.2">
      <c r="A397" s="2">
        <v>45868</v>
      </c>
      <c r="B397" s="79" t="s">
        <v>15</v>
      </c>
      <c r="C397" s="79" t="s">
        <v>11</v>
      </c>
      <c r="D397" s="9">
        <v>0.77543600000000001</v>
      </c>
      <c r="E397" s="8">
        <v>225.68129677571193</v>
      </c>
      <c r="F397" s="8">
        <v>175.00133771329499</v>
      </c>
      <c r="G397" s="4">
        <v>1603</v>
      </c>
    </row>
    <row r="398" spans="1:7" hidden="1" x14ac:dyDescent="0.2">
      <c r="A398" s="2">
        <v>45869</v>
      </c>
      <c r="B398" s="79" t="s">
        <v>17</v>
      </c>
      <c r="C398" s="79" t="s">
        <v>11</v>
      </c>
      <c r="D398" s="9">
        <v>0.75230399999999997</v>
      </c>
      <c r="E398" s="8">
        <v>224.47463703074777</v>
      </c>
      <c r="F398" s="8">
        <v>168.87317684095265</v>
      </c>
      <c r="G398">
        <v>339</v>
      </c>
    </row>
    <row r="399" spans="1:7" hidden="1" x14ac:dyDescent="0.2">
      <c r="A399" s="2">
        <v>45870</v>
      </c>
      <c r="B399" s="79" t="s">
        <v>19</v>
      </c>
      <c r="C399" s="79" t="s">
        <v>11</v>
      </c>
      <c r="D399" s="9">
        <v>0.82799500000000004</v>
      </c>
      <c r="E399" s="8">
        <v>231.67119682609652</v>
      </c>
      <c r="F399" s="8">
        <v>191.82265170179761</v>
      </c>
      <c r="G399">
        <v>677</v>
      </c>
    </row>
    <row r="400" spans="1:7" hidden="1" x14ac:dyDescent="0.2">
      <c r="A400" s="2">
        <v>45871</v>
      </c>
      <c r="B400" s="79" t="s">
        <v>21</v>
      </c>
      <c r="C400" s="79" t="s">
        <v>11</v>
      </c>
      <c r="D400" s="9">
        <v>0.887992</v>
      </c>
      <c r="E400" s="8">
        <v>228.82328880439809</v>
      </c>
      <c r="F400" s="8">
        <v>203.19315950360433</v>
      </c>
      <c r="G400">
        <v>779</v>
      </c>
    </row>
    <row r="401" spans="1:7" hidden="1" x14ac:dyDescent="0.2">
      <c r="A401" s="2">
        <v>45872</v>
      </c>
      <c r="B401" s="79" t="s">
        <v>23</v>
      </c>
      <c r="C401" s="79" t="s">
        <v>11</v>
      </c>
      <c r="D401" s="9">
        <v>0.74473</v>
      </c>
      <c r="E401" s="8">
        <v>225.80098878882558</v>
      </c>
      <c r="F401" s="8">
        <v>168.16085135505065</v>
      </c>
      <c r="G401">
        <v>765</v>
      </c>
    </row>
    <row r="402" spans="1:7" hidden="1" x14ac:dyDescent="0.2">
      <c r="A402" s="2">
        <v>45873</v>
      </c>
      <c r="B402" s="79" t="s">
        <v>10</v>
      </c>
      <c r="C402" s="79" t="s">
        <v>11</v>
      </c>
      <c r="D402" s="9">
        <v>0.78113900000000003</v>
      </c>
      <c r="E402" s="8">
        <v>231.01744816307402</v>
      </c>
      <c r="F402" s="8">
        <v>180.45668993521261</v>
      </c>
      <c r="G402" s="4">
        <v>1514</v>
      </c>
    </row>
    <row r="403" spans="1:7" hidden="1" x14ac:dyDescent="0.2">
      <c r="A403" s="2">
        <v>45874</v>
      </c>
      <c r="B403" s="79" t="s">
        <v>13</v>
      </c>
      <c r="C403" s="79" t="s">
        <v>11</v>
      </c>
      <c r="D403" s="9">
        <v>0.77625699999999997</v>
      </c>
      <c r="E403" s="8">
        <v>225.23657517338603</v>
      </c>
      <c r="F403" s="8">
        <v>174.84145861848663</v>
      </c>
      <c r="G403" s="4">
        <v>1328</v>
      </c>
    </row>
    <row r="404" spans="1:7" hidden="1" x14ac:dyDescent="0.2">
      <c r="A404" s="2">
        <v>45875</v>
      </c>
      <c r="B404" s="79" t="s">
        <v>15</v>
      </c>
      <c r="C404" s="79" t="s">
        <v>11</v>
      </c>
      <c r="D404" s="9">
        <v>0.74559699999999995</v>
      </c>
      <c r="E404" s="8">
        <v>223.59825786317464</v>
      </c>
      <c r="F404" s="8">
        <v>166.71424080664295</v>
      </c>
      <c r="G404" s="4">
        <v>1273</v>
      </c>
    </row>
    <row r="405" spans="1:7" hidden="1" x14ac:dyDescent="0.2">
      <c r="A405" s="2">
        <v>45876</v>
      </c>
      <c r="B405" s="79" t="s">
        <v>17</v>
      </c>
      <c r="C405" s="79" t="s">
        <v>11</v>
      </c>
      <c r="D405" s="9">
        <v>0.739985</v>
      </c>
      <c r="E405" s="8">
        <v>223.10651149885936</v>
      </c>
      <c r="F405" s="8">
        <v>165.09556118258965</v>
      </c>
      <c r="G405">
        <v>134</v>
      </c>
    </row>
    <row r="406" spans="1:7" hidden="1" x14ac:dyDescent="0.2">
      <c r="A406" s="2">
        <v>45877</v>
      </c>
      <c r="B406" s="79" t="s">
        <v>19</v>
      </c>
      <c r="C406" s="79" t="s">
        <v>11</v>
      </c>
      <c r="D406" s="9">
        <v>0.78001799999999999</v>
      </c>
      <c r="E406" s="8">
        <v>228.77313486957539</v>
      </c>
      <c r="F406" s="8">
        <v>178.44721989051095</v>
      </c>
      <c r="G406">
        <v>249</v>
      </c>
    </row>
    <row r="407" spans="1:7" hidden="1" x14ac:dyDescent="0.2">
      <c r="A407" s="2">
        <v>45878</v>
      </c>
      <c r="B407" s="79" t="s">
        <v>21</v>
      </c>
      <c r="C407" s="79" t="s">
        <v>11</v>
      </c>
      <c r="D407" s="9">
        <v>0.82144200000000001</v>
      </c>
      <c r="E407" s="8">
        <v>227.42447406420084</v>
      </c>
      <c r="F407" s="8">
        <v>186.81592518248175</v>
      </c>
      <c r="G407">
        <v>933</v>
      </c>
    </row>
    <row r="408" spans="1:7" hidden="1" x14ac:dyDescent="0.2">
      <c r="A408" s="2">
        <v>45879</v>
      </c>
      <c r="B408" s="79" t="s">
        <v>23</v>
      </c>
      <c r="C408" s="79" t="s">
        <v>11</v>
      </c>
      <c r="D408" s="9">
        <v>0.74376200000000003</v>
      </c>
      <c r="E408" s="8">
        <v>224.25411923454368</v>
      </c>
      <c r="F408" s="8">
        <v>166.79162264495233</v>
      </c>
      <c r="G408" s="4">
        <v>2890</v>
      </c>
    </row>
    <row r="409" spans="1:7" hidden="1" x14ac:dyDescent="0.2">
      <c r="A409" s="2">
        <v>45880</v>
      </c>
      <c r="B409" s="79" t="s">
        <v>10</v>
      </c>
      <c r="C409" s="79" t="s">
        <v>11</v>
      </c>
      <c r="D409" s="9">
        <v>0.80397799999999997</v>
      </c>
      <c r="E409" s="8">
        <v>226.5696050839764</v>
      </c>
      <c r="F409" s="8">
        <v>182.15695999270108</v>
      </c>
      <c r="G409" s="4">
        <v>2995</v>
      </c>
    </row>
    <row r="410" spans="1:7" hidden="1" x14ac:dyDescent="0.2">
      <c r="A410" s="2">
        <v>45881</v>
      </c>
      <c r="B410" s="79" t="s">
        <v>13</v>
      </c>
      <c r="C410" s="79" t="s">
        <v>11</v>
      </c>
      <c r="D410" s="9">
        <v>0.82327399999999995</v>
      </c>
      <c r="E410" s="8">
        <v>228.11385881309857</v>
      </c>
      <c r="F410" s="8">
        <v>187.80031978468088</v>
      </c>
      <c r="G410" s="4">
        <v>3064</v>
      </c>
    </row>
    <row r="411" spans="1:7" hidden="1" x14ac:dyDescent="0.2">
      <c r="A411" s="2">
        <v>45882</v>
      </c>
      <c r="B411" s="79" t="s">
        <v>15</v>
      </c>
      <c r="C411" s="79" t="s">
        <v>11</v>
      </c>
      <c r="D411" s="9">
        <v>0.82058299999999995</v>
      </c>
      <c r="E411" s="8">
        <v>232.89078830331331</v>
      </c>
      <c r="F411" s="8">
        <v>191.10622234387117</v>
      </c>
      <c r="G411" s="4">
        <v>2884</v>
      </c>
    </row>
    <row r="412" spans="1:7" hidden="1" x14ac:dyDescent="0.2">
      <c r="A412" s="2">
        <v>45883</v>
      </c>
      <c r="B412" s="79" t="s">
        <v>17</v>
      </c>
      <c r="C412" s="79" t="s">
        <v>11</v>
      </c>
      <c r="D412" s="9">
        <v>0.785138</v>
      </c>
      <c r="E412" s="8">
        <v>231.32594387310439</v>
      </c>
      <c r="F412" s="8">
        <v>181.6226823593814</v>
      </c>
      <c r="G412" s="4">
        <v>3879</v>
      </c>
    </row>
    <row r="413" spans="1:7" hidden="1" x14ac:dyDescent="0.2">
      <c r="A413" s="2">
        <v>45884</v>
      </c>
      <c r="B413" s="79" t="s">
        <v>19</v>
      </c>
      <c r="C413" s="79" t="s">
        <v>11</v>
      </c>
      <c r="D413" s="9">
        <v>0.82026399999999999</v>
      </c>
      <c r="E413" s="8">
        <v>233.57960235804461</v>
      </c>
      <c r="F413" s="8">
        <v>191.59686282560102</v>
      </c>
      <c r="G413" s="4">
        <v>5240</v>
      </c>
    </row>
    <row r="414" spans="1:7" hidden="1" x14ac:dyDescent="0.2">
      <c r="A414" s="2">
        <v>45885</v>
      </c>
      <c r="B414" s="79" t="s">
        <v>21</v>
      </c>
      <c r="C414" s="79" t="s">
        <v>11</v>
      </c>
      <c r="D414" s="9">
        <v>0.86770700000000001</v>
      </c>
      <c r="E414" s="8">
        <v>235.9333289522107</v>
      </c>
      <c r="F414" s="8">
        <v>204.72094566853701</v>
      </c>
      <c r="G414" s="4">
        <v>5349</v>
      </c>
    </row>
    <row r="415" spans="1:7" hidden="1" x14ac:dyDescent="0.2">
      <c r="A415" s="2">
        <v>45886</v>
      </c>
      <c r="B415" s="79" t="s">
        <v>23</v>
      </c>
      <c r="C415" s="79" t="s">
        <v>11</v>
      </c>
      <c r="D415" s="9">
        <v>0.71629900000000002</v>
      </c>
      <c r="E415" s="8">
        <v>213.50086676856449</v>
      </c>
      <c r="F415" s="8">
        <v>152.93055106975046</v>
      </c>
      <c r="G415" s="4">
        <v>3942</v>
      </c>
    </row>
    <row r="416" spans="1:7" hidden="1" x14ac:dyDescent="0.2">
      <c r="A416" s="2">
        <v>45887</v>
      </c>
      <c r="B416" s="79" t="s">
        <v>10</v>
      </c>
      <c r="C416" s="79" t="s">
        <v>11</v>
      </c>
      <c r="D416" s="9">
        <v>0.66005199999999997</v>
      </c>
      <c r="E416" s="8">
        <v>201.14650908839587</v>
      </c>
      <c r="F416" s="8">
        <v>132.76715660781898</v>
      </c>
      <c r="G416">
        <v>390</v>
      </c>
    </row>
    <row r="417" spans="1:7" hidden="1" x14ac:dyDescent="0.2">
      <c r="A417" s="2">
        <v>45888</v>
      </c>
      <c r="B417" s="79" t="s">
        <v>13</v>
      </c>
      <c r="C417" s="79" t="s">
        <v>11</v>
      </c>
      <c r="D417" s="9">
        <v>0.68281599999999998</v>
      </c>
      <c r="E417" s="8">
        <v>193.98814804917089</v>
      </c>
      <c r="F417" s="8">
        <v>132.45812691026822</v>
      </c>
      <c r="G417">
        <v>380</v>
      </c>
    </row>
    <row r="418" spans="1:7" hidden="1" x14ac:dyDescent="0.2">
      <c r="A418" s="2">
        <v>45889</v>
      </c>
      <c r="B418" s="79" t="s">
        <v>15</v>
      </c>
      <c r="C418" s="79" t="s">
        <v>11</v>
      </c>
      <c r="D418" s="9">
        <v>0.68404699999999996</v>
      </c>
      <c r="E418" s="8">
        <v>201.1273604534845</v>
      </c>
      <c r="F418" s="8">
        <v>137.58061995346927</v>
      </c>
      <c r="G418">
        <v>357</v>
      </c>
    </row>
    <row r="419" spans="1:7" hidden="1" x14ac:dyDescent="0.2">
      <c r="A419" s="2">
        <v>45890</v>
      </c>
      <c r="B419" s="79" t="s">
        <v>17</v>
      </c>
      <c r="C419" s="79" t="s">
        <v>11</v>
      </c>
      <c r="D419" s="9">
        <v>0.71525000000000005</v>
      </c>
      <c r="E419" s="8">
        <v>207.18581287071879</v>
      </c>
      <c r="F419" s="8">
        <v>148.18969755029423</v>
      </c>
      <c r="G419">
        <v>435</v>
      </c>
    </row>
    <row r="420" spans="1:7" hidden="1" x14ac:dyDescent="0.2">
      <c r="A420" s="2">
        <v>45891</v>
      </c>
      <c r="B420" s="79" t="s">
        <v>19</v>
      </c>
      <c r="C420" s="79" t="s">
        <v>11</v>
      </c>
      <c r="D420" s="9">
        <v>0.78445299999999996</v>
      </c>
      <c r="E420" s="8">
        <v>208.16324145150034</v>
      </c>
      <c r="F420" s="8">
        <v>163.29433420008212</v>
      </c>
      <c r="G420">
        <v>498</v>
      </c>
    </row>
    <row r="421" spans="1:7" hidden="1" x14ac:dyDescent="0.2">
      <c r="A421" s="2">
        <v>45892</v>
      </c>
      <c r="B421" s="79" t="s">
        <v>21</v>
      </c>
      <c r="C421" s="79" t="s">
        <v>11</v>
      </c>
      <c r="D421" s="9">
        <v>0.81232599999999999</v>
      </c>
      <c r="E421" s="8">
        <v>209.38620935587127</v>
      </c>
      <c r="F421" s="8">
        <v>170.08987865517085</v>
      </c>
      <c r="G421">
        <v>593</v>
      </c>
    </row>
    <row r="422" spans="1:7" hidden="1" x14ac:dyDescent="0.2">
      <c r="A422" s="2">
        <v>45893</v>
      </c>
      <c r="B422" s="79" t="s">
        <v>23</v>
      </c>
      <c r="C422" s="79" t="s">
        <v>11</v>
      </c>
      <c r="D422" s="9">
        <v>0.62834699999999999</v>
      </c>
      <c r="E422" s="8">
        <v>197.44805793524029</v>
      </c>
      <c r="F422" s="8">
        <v>124.06594361571095</v>
      </c>
      <c r="G422">
        <v>645</v>
      </c>
    </row>
    <row r="423" spans="1:7" hidden="1" x14ac:dyDescent="0.2">
      <c r="A423" s="2">
        <v>45894</v>
      </c>
      <c r="B423" s="79" t="s">
        <v>10</v>
      </c>
      <c r="C423" s="79" t="s">
        <v>11</v>
      </c>
      <c r="D423" s="9">
        <v>0.661968</v>
      </c>
      <c r="E423" s="8">
        <v>202.88470953070015</v>
      </c>
      <c r="F423" s="8">
        <v>134.3031805118375</v>
      </c>
      <c r="G423">
        <v>650</v>
      </c>
    </row>
    <row r="424" spans="1:7" hidden="1" x14ac:dyDescent="0.2">
      <c r="A424" s="2">
        <v>45895</v>
      </c>
      <c r="B424" s="79" t="s">
        <v>13</v>
      </c>
      <c r="C424" s="79" t="s">
        <v>11</v>
      </c>
      <c r="D424" s="9">
        <v>0.66479600000000005</v>
      </c>
      <c r="E424" s="8">
        <v>199.63175255609687</v>
      </c>
      <c r="F424" s="8">
        <v>132.71445326399342</v>
      </c>
      <c r="G424">
        <v>575</v>
      </c>
    </row>
    <row r="425" spans="1:7" hidden="1" x14ac:dyDescent="0.2">
      <c r="A425" s="2">
        <v>45896</v>
      </c>
      <c r="B425" s="79" t="s">
        <v>15</v>
      </c>
      <c r="C425" s="79" t="s">
        <v>11</v>
      </c>
      <c r="D425" s="9">
        <v>0.65932199999999996</v>
      </c>
      <c r="E425" s="8">
        <v>201.59371341589915</v>
      </c>
      <c r="F425" s="8">
        <v>132.91519273755713</v>
      </c>
      <c r="G425">
        <v>125</v>
      </c>
    </row>
    <row r="426" spans="1:7" hidden="1" x14ac:dyDescent="0.2">
      <c r="A426" s="2">
        <v>45897</v>
      </c>
      <c r="B426" s="79" t="s">
        <v>17</v>
      </c>
      <c r="C426" s="79" t="s">
        <v>11</v>
      </c>
      <c r="D426" s="9">
        <v>0.69052500000000006</v>
      </c>
      <c r="E426" s="8">
        <v>210.62672920657988</v>
      </c>
      <c r="F426" s="8">
        <v>145.44303635783038</v>
      </c>
      <c r="G426">
        <v>5</v>
      </c>
    </row>
    <row r="427" spans="1:7" hidden="1" x14ac:dyDescent="0.2">
      <c r="A427" s="2">
        <v>45898</v>
      </c>
      <c r="B427" s="79" t="s">
        <v>19</v>
      </c>
      <c r="C427" s="79" t="s">
        <v>11</v>
      </c>
      <c r="D427" s="9">
        <v>0.845947</v>
      </c>
      <c r="E427" s="8">
        <v>218.83463060828302</v>
      </c>
      <c r="F427" s="8">
        <v>185.12245746088226</v>
      </c>
      <c r="G427">
        <v>0</v>
      </c>
    </row>
    <row r="428" spans="1:7" hidden="1" x14ac:dyDescent="0.2">
      <c r="A428" s="2">
        <v>45899</v>
      </c>
      <c r="B428" s="79" t="s">
        <v>21</v>
      </c>
      <c r="C428" s="79" t="s">
        <v>11</v>
      </c>
      <c r="D428" s="9">
        <v>0.94220199999999998</v>
      </c>
      <c r="E428" s="8">
        <v>233.07655708337367</v>
      </c>
      <c r="F428" s="8">
        <v>219.60509146480544</v>
      </c>
      <c r="G428">
        <v>0</v>
      </c>
    </row>
    <row r="429" spans="1:7" hidden="1" x14ac:dyDescent="0.2">
      <c r="A429" s="2">
        <v>45900</v>
      </c>
      <c r="B429" s="79" t="s">
        <v>23</v>
      </c>
      <c r="C429" s="79" t="s">
        <v>11</v>
      </c>
      <c r="D429" s="9">
        <v>0.82496199999999997</v>
      </c>
      <c r="E429" s="8">
        <v>227.60039593010396</v>
      </c>
      <c r="F429" s="8">
        <v>187.7617608685735</v>
      </c>
      <c r="G429">
        <v>0</v>
      </c>
    </row>
    <row r="430" spans="1:7" hidden="1" x14ac:dyDescent="0.2">
      <c r="A430" s="2">
        <v>45901</v>
      </c>
      <c r="B430" s="79" t="s">
        <v>10</v>
      </c>
      <c r="C430" s="79" t="s">
        <v>11</v>
      </c>
      <c r="D430" s="9">
        <v>0.47725899999999999</v>
      </c>
      <c r="E430" s="8">
        <v>198.70466545593575</v>
      </c>
      <c r="F430" s="8">
        <v>94.833639432507638</v>
      </c>
      <c r="G430">
        <v>0</v>
      </c>
    </row>
    <row r="431" spans="1:7" hidden="1" x14ac:dyDescent="0.2">
      <c r="A431" s="2">
        <v>45902</v>
      </c>
      <c r="B431" s="79" t="s">
        <v>13</v>
      </c>
      <c r="C431" s="79" t="s">
        <v>11</v>
      </c>
      <c r="D431" s="9">
        <v>0.54477399999999998</v>
      </c>
      <c r="E431" s="8">
        <v>205.18478060626279</v>
      </c>
      <c r="F431" s="8">
        <v>111.77941927831715</v>
      </c>
      <c r="G431">
        <v>0</v>
      </c>
    </row>
    <row r="432" spans="1:7" hidden="1" x14ac:dyDescent="0.2">
      <c r="A432" s="2">
        <v>45903</v>
      </c>
      <c r="B432" s="79" t="s">
        <v>15</v>
      </c>
      <c r="C432" s="79" t="s">
        <v>11</v>
      </c>
      <c r="D432" s="9">
        <v>0.61192500000000005</v>
      </c>
      <c r="E432" s="8">
        <v>210.7191061577449</v>
      </c>
      <c r="F432" s="8">
        <v>128.94421285525249</v>
      </c>
      <c r="G432">
        <v>10</v>
      </c>
    </row>
    <row r="433" spans="1:7" hidden="1" x14ac:dyDescent="0.2">
      <c r="A433" s="2">
        <v>45904</v>
      </c>
      <c r="B433" s="79" t="s">
        <v>17</v>
      </c>
      <c r="C433" s="79" t="s">
        <v>11</v>
      </c>
      <c r="D433" s="9">
        <v>0.71141799999999999</v>
      </c>
      <c r="E433" s="8">
        <v>223.53335941006668</v>
      </c>
      <c r="F433" s="8">
        <v>159.02571689247708</v>
      </c>
      <c r="G433">
        <v>155</v>
      </c>
    </row>
    <row r="434" spans="1:7" hidden="1" x14ac:dyDescent="0.2">
      <c r="A434" s="2">
        <v>45905</v>
      </c>
      <c r="B434" s="79" t="s">
        <v>19</v>
      </c>
      <c r="C434" s="79" t="s">
        <v>11</v>
      </c>
      <c r="D434" s="9">
        <v>0.83819200000000005</v>
      </c>
      <c r="E434" s="8">
        <v>237.74907096984867</v>
      </c>
      <c r="F434" s="8">
        <v>199.27929519638701</v>
      </c>
      <c r="G434">
        <v>472</v>
      </c>
    </row>
    <row r="435" spans="1:7" hidden="1" x14ac:dyDescent="0.2">
      <c r="A435" s="2">
        <v>45906</v>
      </c>
      <c r="B435" s="79" t="s">
        <v>21</v>
      </c>
      <c r="C435" s="79" t="s">
        <v>11</v>
      </c>
      <c r="D435" s="9">
        <v>0.88641000000000003</v>
      </c>
      <c r="E435" s="8">
        <v>249.25856415006947</v>
      </c>
      <c r="F435" s="8">
        <v>220.9453565074586</v>
      </c>
      <c r="G435">
        <v>450</v>
      </c>
    </row>
    <row r="436" spans="1:7" hidden="1" x14ac:dyDescent="0.2">
      <c r="A436" s="2">
        <v>45907</v>
      </c>
      <c r="B436" s="79" t="s">
        <v>23</v>
      </c>
      <c r="C436" s="79" t="s">
        <v>11</v>
      </c>
      <c r="D436" s="9">
        <v>0.66464400000000001</v>
      </c>
      <c r="E436" s="8">
        <v>227.21846914258253</v>
      </c>
      <c r="F436" s="8">
        <v>151.01936578911346</v>
      </c>
      <c r="G436">
        <v>10</v>
      </c>
    </row>
    <row r="437" spans="1:7" hidden="1" x14ac:dyDescent="0.2">
      <c r="A437" s="2">
        <v>45908</v>
      </c>
      <c r="B437" s="79" t="s">
        <v>10</v>
      </c>
      <c r="C437" s="79" t="s">
        <v>11</v>
      </c>
      <c r="D437" s="9">
        <v>0.62339699999999998</v>
      </c>
      <c r="E437" s="8">
        <v>217.69411769011197</v>
      </c>
      <c r="F437" s="8">
        <v>135.70993886024547</v>
      </c>
      <c r="G437">
        <v>5</v>
      </c>
    </row>
    <row r="438" spans="1:7" hidden="1" x14ac:dyDescent="0.2">
      <c r="A438" s="2">
        <v>45909</v>
      </c>
      <c r="B438" s="79" t="s">
        <v>13</v>
      </c>
      <c r="C438" s="79" t="s">
        <v>11</v>
      </c>
      <c r="D438" s="9">
        <v>0.64516099999999998</v>
      </c>
      <c r="E438" s="8">
        <v>225.80385219236138</v>
      </c>
      <c r="F438" s="8">
        <v>145.67990464023316</v>
      </c>
      <c r="G438">
        <v>61</v>
      </c>
    </row>
    <row r="439" spans="1:7" hidden="1" x14ac:dyDescent="0.2">
      <c r="A439" s="2">
        <v>45910</v>
      </c>
      <c r="B439" s="79" t="s">
        <v>15</v>
      </c>
      <c r="C439" s="79" t="s">
        <v>11</v>
      </c>
      <c r="D439" s="9">
        <v>0.64507000000000003</v>
      </c>
      <c r="E439" s="8">
        <v>213.69155326071581</v>
      </c>
      <c r="F439" s="8">
        <v>137.84601815941963</v>
      </c>
      <c r="G439">
        <v>315</v>
      </c>
    </row>
    <row r="440" spans="1:7" hidden="1" x14ac:dyDescent="0.2">
      <c r="A440" s="2">
        <v>45911</v>
      </c>
      <c r="B440" s="79" t="s">
        <v>17</v>
      </c>
      <c r="C440" s="79" t="s">
        <v>11</v>
      </c>
      <c r="D440" s="9">
        <v>0.74695400000000001</v>
      </c>
      <c r="E440" s="8">
        <v>226.98494227597519</v>
      </c>
      <c r="F440" s="8">
        <v>169.5474056668335</v>
      </c>
      <c r="G440">
        <v>365</v>
      </c>
    </row>
    <row r="441" spans="1:7" hidden="1" x14ac:dyDescent="0.2">
      <c r="A441" s="2">
        <v>45912</v>
      </c>
      <c r="B441" s="79" t="s">
        <v>19</v>
      </c>
      <c r="C441" s="79" t="s">
        <v>11</v>
      </c>
      <c r="D441" s="9">
        <v>0.77779799999999999</v>
      </c>
      <c r="E441" s="8">
        <v>234.51025224379657</v>
      </c>
      <c r="F441" s="8">
        <v>182.40161837842771</v>
      </c>
      <c r="G441">
        <v>115</v>
      </c>
    </row>
    <row r="442" spans="1:7" hidden="1" x14ac:dyDescent="0.2">
      <c r="A442" s="2">
        <v>45913</v>
      </c>
      <c r="B442" s="79" t="s">
        <v>21</v>
      </c>
      <c r="C442" s="79" t="s">
        <v>11</v>
      </c>
      <c r="D442" s="9">
        <v>0.81069500000000005</v>
      </c>
      <c r="E442" s="8">
        <v>230.57666422782529</v>
      </c>
      <c r="F442" s="8">
        <v>186.92732445133913</v>
      </c>
      <c r="G442">
        <v>65</v>
      </c>
    </row>
    <row r="443" spans="1:7" hidden="1" x14ac:dyDescent="0.2">
      <c r="A443" s="2">
        <v>45914</v>
      </c>
      <c r="B443" s="79" t="s">
        <v>23</v>
      </c>
      <c r="C443" s="79" t="s">
        <v>11</v>
      </c>
      <c r="D443" s="9">
        <v>0.66258399999999995</v>
      </c>
      <c r="E443" s="8">
        <v>219.81407753547941</v>
      </c>
      <c r="F443" s="8">
        <v>145.64535342415485</v>
      </c>
      <c r="G443">
        <v>590</v>
      </c>
    </row>
    <row r="444" spans="1:7" hidden="1" x14ac:dyDescent="0.2">
      <c r="A444" s="2">
        <v>45915</v>
      </c>
      <c r="B444" s="79" t="s">
        <v>10</v>
      </c>
      <c r="C444" s="79" t="s">
        <v>11</v>
      </c>
      <c r="D444" s="9">
        <v>0.67125400000000002</v>
      </c>
      <c r="E444" s="8">
        <v>219.89854243542365</v>
      </c>
      <c r="F444" s="8">
        <v>147.60769093160818</v>
      </c>
      <c r="G444" s="4">
        <v>1654</v>
      </c>
    </row>
    <row r="445" spans="1:7" hidden="1" x14ac:dyDescent="0.2">
      <c r="A445" s="2">
        <v>45916</v>
      </c>
      <c r="B445" s="79" t="s">
        <v>13</v>
      </c>
      <c r="C445" s="79" t="s">
        <v>11</v>
      </c>
      <c r="D445" s="9">
        <v>0.75083699999999998</v>
      </c>
      <c r="E445" s="8">
        <v>233.70096523917161</v>
      </c>
      <c r="F445" s="8">
        <v>175.47135911196733</v>
      </c>
      <c r="G445" s="4">
        <v>2049</v>
      </c>
    </row>
    <row r="446" spans="1:7" hidden="1" x14ac:dyDescent="0.2">
      <c r="A446" s="2">
        <v>45917</v>
      </c>
      <c r="B446" s="79" t="s">
        <v>15</v>
      </c>
      <c r="C446" s="79" t="s">
        <v>11</v>
      </c>
      <c r="D446" s="9">
        <v>0.81340299999999999</v>
      </c>
      <c r="E446" s="8">
        <v>239.41746235831502</v>
      </c>
      <c r="F446" s="8">
        <v>194.74289528003305</v>
      </c>
      <c r="G446" s="4">
        <v>2630</v>
      </c>
    </row>
    <row r="447" spans="1:7" hidden="1" x14ac:dyDescent="0.2">
      <c r="A447" s="2">
        <v>45918</v>
      </c>
      <c r="B447" s="79" t="s">
        <v>17</v>
      </c>
      <c r="C447" s="79" t="s">
        <v>11</v>
      </c>
      <c r="D447" s="9">
        <v>0.85142899999999999</v>
      </c>
      <c r="E447" s="8">
        <v>245.85197715763334</v>
      </c>
      <c r="F447" s="8">
        <v>209.325462134764</v>
      </c>
      <c r="G447" s="4">
        <v>2337</v>
      </c>
    </row>
    <row r="448" spans="1:7" hidden="1" x14ac:dyDescent="0.2">
      <c r="A448" s="2">
        <v>45919</v>
      </c>
      <c r="B448" s="79" t="s">
        <v>19</v>
      </c>
      <c r="C448" s="79" t="s">
        <v>11</v>
      </c>
      <c r="D448" s="9">
        <v>0.83560400000000001</v>
      </c>
      <c r="E448" s="8">
        <v>236.51294395345008</v>
      </c>
      <c r="F448" s="8">
        <v>197.63113159946789</v>
      </c>
      <c r="G448">
        <v>721</v>
      </c>
    </row>
    <row r="449" spans="1:7" hidden="1" x14ac:dyDescent="0.2">
      <c r="A449" s="2">
        <v>45920</v>
      </c>
      <c r="B449" s="79" t="s">
        <v>21</v>
      </c>
      <c r="C449" s="79" t="s">
        <v>11</v>
      </c>
      <c r="D449" s="9">
        <v>0.833677</v>
      </c>
      <c r="E449" s="8">
        <v>231.6014393397524</v>
      </c>
      <c r="F449" s="8">
        <v>193.0808751892115</v>
      </c>
      <c r="G449">
        <v>111</v>
      </c>
    </row>
    <row r="450" spans="1:7" hidden="1" x14ac:dyDescent="0.2">
      <c r="A450" s="2">
        <v>45921</v>
      </c>
      <c r="B450" s="79" t="s">
        <v>23</v>
      </c>
      <c r="C450" s="79" t="s">
        <v>11</v>
      </c>
      <c r="D450" s="9">
        <v>0.63822800000000002</v>
      </c>
      <c r="E450" s="8">
        <v>223.73982104355326</v>
      </c>
      <c r="F450" s="8">
        <v>142.7969299573414</v>
      </c>
      <c r="G450">
        <v>97</v>
      </c>
    </row>
    <row r="451" spans="1:7" hidden="1" x14ac:dyDescent="0.2">
      <c r="A451" s="2">
        <v>45922</v>
      </c>
      <c r="B451" s="79" t="s">
        <v>10</v>
      </c>
      <c r="C451" s="79" t="s">
        <v>11</v>
      </c>
      <c r="D451" s="9">
        <v>0.62148499999999995</v>
      </c>
      <c r="E451" s="8">
        <v>220.45997195364973</v>
      </c>
      <c r="F451" s="8">
        <v>137.01262143938351</v>
      </c>
      <c r="G451">
        <v>265</v>
      </c>
    </row>
    <row r="452" spans="1:7" hidden="1" x14ac:dyDescent="0.2">
      <c r="A452" s="2">
        <v>45923</v>
      </c>
      <c r="B452" s="79" t="s">
        <v>13</v>
      </c>
      <c r="C452" s="79" t="s">
        <v>11</v>
      </c>
      <c r="D452" s="9">
        <v>0.67873000000000006</v>
      </c>
      <c r="E452" s="8">
        <v>212.05661755761304</v>
      </c>
      <c r="F452" s="8">
        <v>143.92925874959863</v>
      </c>
      <c r="G452">
        <v>446</v>
      </c>
    </row>
    <row r="453" spans="1:7" hidden="1" x14ac:dyDescent="0.2">
      <c r="A453" s="2">
        <v>45924</v>
      </c>
      <c r="B453" s="79" t="s">
        <v>15</v>
      </c>
      <c r="C453" s="79" t="s">
        <v>11</v>
      </c>
      <c r="D453" s="9">
        <v>0.71111400000000002</v>
      </c>
      <c r="E453" s="8">
        <v>206.09890214797136</v>
      </c>
      <c r="F453" s="8">
        <v>146.55984954818587</v>
      </c>
      <c r="G453">
        <v>853</v>
      </c>
    </row>
    <row r="454" spans="1:7" hidden="1" x14ac:dyDescent="0.2">
      <c r="A454" s="2">
        <v>45925</v>
      </c>
      <c r="B454" s="79" t="s">
        <v>17</v>
      </c>
      <c r="C454" s="79" t="s">
        <v>11</v>
      </c>
      <c r="D454" s="9">
        <v>0.76308399999999998</v>
      </c>
      <c r="E454" s="8">
        <v>225.07286847799952</v>
      </c>
      <c r="F454" s="8">
        <v>171.74956378147792</v>
      </c>
      <c r="G454">
        <v>729</v>
      </c>
    </row>
    <row r="455" spans="1:7" hidden="1" x14ac:dyDescent="0.2">
      <c r="A455" s="2">
        <v>45926</v>
      </c>
      <c r="B455" s="79" t="s">
        <v>19</v>
      </c>
      <c r="C455" s="79" t="s">
        <v>11</v>
      </c>
      <c r="D455" s="9">
        <v>0.80583499999999997</v>
      </c>
      <c r="E455" s="8">
        <v>231.02092839253189</v>
      </c>
      <c r="F455" s="8">
        <v>186.16465620843081</v>
      </c>
      <c r="G455">
        <v>335</v>
      </c>
    </row>
    <row r="456" spans="1:7" hidden="1" x14ac:dyDescent="0.2">
      <c r="A456" s="2">
        <v>45927</v>
      </c>
      <c r="B456" s="79" t="s">
        <v>21</v>
      </c>
      <c r="C456" s="79" t="s">
        <v>11</v>
      </c>
      <c r="D456" s="9">
        <v>0.84867700000000001</v>
      </c>
      <c r="E456" s="8">
        <v>233.69963625553993</v>
      </c>
      <c r="F456" s="8">
        <v>198.33542819136736</v>
      </c>
      <c r="G456">
        <v>707</v>
      </c>
    </row>
    <row r="457" spans="1:7" hidden="1" x14ac:dyDescent="0.2">
      <c r="A457" s="2">
        <v>45928</v>
      </c>
      <c r="B457" s="79" t="s">
        <v>23</v>
      </c>
      <c r="C457" s="79" t="s">
        <v>11</v>
      </c>
      <c r="D457" s="9">
        <v>0.72661799999999999</v>
      </c>
      <c r="E457" s="8">
        <v>227.32995202323085</v>
      </c>
      <c r="F457" s="8">
        <v>165.18204531902205</v>
      </c>
      <c r="G457">
        <v>657</v>
      </c>
    </row>
    <row r="458" spans="1:7" hidden="1" x14ac:dyDescent="0.2">
      <c r="A458" s="2">
        <v>45929</v>
      </c>
      <c r="B458" s="79" t="s">
        <v>10</v>
      </c>
      <c r="C458" s="79" t="s">
        <v>11</v>
      </c>
      <c r="D458" s="9">
        <v>0.69519699999999995</v>
      </c>
      <c r="E458" s="8">
        <v>240.90228688308193</v>
      </c>
      <c r="F458" s="8">
        <v>167.47465987798677</v>
      </c>
      <c r="G458">
        <v>597</v>
      </c>
    </row>
    <row r="459" spans="1:7" hidden="1" x14ac:dyDescent="0.2">
      <c r="A459" s="2">
        <v>45930</v>
      </c>
      <c r="B459" s="79" t="s">
        <v>13</v>
      </c>
      <c r="C459" s="79" t="s">
        <v>11</v>
      </c>
      <c r="D459" s="9">
        <v>0.69579400000000002</v>
      </c>
      <c r="E459" s="8">
        <v>239.59319071791151</v>
      </c>
      <c r="F459" s="8">
        <v>166.70744965827254</v>
      </c>
      <c r="G459">
        <v>51</v>
      </c>
    </row>
    <row r="460" spans="1:7" hidden="1" x14ac:dyDescent="0.2">
      <c r="A460" s="2">
        <v>45931</v>
      </c>
      <c r="B460" s="79" t="s">
        <v>15</v>
      </c>
      <c r="C460" s="79" t="s">
        <v>11</v>
      </c>
      <c r="D460" s="9">
        <v>0.72960000000000003</v>
      </c>
      <c r="E460" s="8">
        <v>235.95933232742362</v>
      </c>
      <c r="F460" s="8">
        <v>172.15582496215771</v>
      </c>
      <c r="G460">
        <v>80</v>
      </c>
    </row>
    <row r="461" spans="1:7" hidden="1" x14ac:dyDescent="0.2">
      <c r="A461" s="2">
        <v>45932</v>
      </c>
      <c r="B461" s="79" t="s">
        <v>17</v>
      </c>
      <c r="C461" s="79" t="s">
        <v>11</v>
      </c>
      <c r="D461" s="9">
        <v>0.80739399999999995</v>
      </c>
      <c r="E461" s="8">
        <v>250.24260879445461</v>
      </c>
      <c r="F461" s="8">
        <v>202.04441998073438</v>
      </c>
      <c r="G461">
        <v>222</v>
      </c>
    </row>
    <row r="462" spans="1:7" hidden="1" x14ac:dyDescent="0.2">
      <c r="A462" s="2">
        <v>45933</v>
      </c>
      <c r="B462" s="79" t="s">
        <v>19</v>
      </c>
      <c r="C462" s="79" t="s">
        <v>11</v>
      </c>
      <c r="D462" s="9">
        <v>0.88532599999999995</v>
      </c>
      <c r="E462" s="8">
        <v>261.38186311590073</v>
      </c>
      <c r="F462" s="8">
        <v>231.40825374982799</v>
      </c>
      <c r="G462">
        <v>854</v>
      </c>
    </row>
    <row r="463" spans="1:7" hidden="1" x14ac:dyDescent="0.2">
      <c r="A463" s="2">
        <v>45934</v>
      </c>
      <c r="B463" s="79" t="s">
        <v>21</v>
      </c>
      <c r="C463" s="79" t="s">
        <v>11</v>
      </c>
      <c r="D463" s="9">
        <v>0.94018599999999997</v>
      </c>
      <c r="E463" s="8">
        <v>268.56121090891349</v>
      </c>
      <c r="F463" s="8">
        <v>252.49755240585293</v>
      </c>
      <c r="G463" s="4">
        <v>2024</v>
      </c>
    </row>
    <row r="464" spans="1:7" hidden="1" x14ac:dyDescent="0.2">
      <c r="A464" s="2">
        <v>45935</v>
      </c>
      <c r="B464" s="79" t="s">
        <v>23</v>
      </c>
      <c r="C464" s="79" t="s">
        <v>11</v>
      </c>
      <c r="D464" s="9">
        <v>0.86413499999999999</v>
      </c>
      <c r="E464" s="8">
        <v>282.37713307500348</v>
      </c>
      <c r="F464" s="8">
        <v>244.01187147378516</v>
      </c>
      <c r="G464" s="4">
        <v>4026</v>
      </c>
    </row>
    <row r="465" spans="1:7" hidden="1" x14ac:dyDescent="0.2">
      <c r="A465" s="2">
        <v>45936</v>
      </c>
      <c r="B465" s="79" t="s">
        <v>10</v>
      </c>
      <c r="C465" s="79" t="s">
        <v>11</v>
      </c>
      <c r="D465" s="9">
        <v>0.86973100000000003</v>
      </c>
      <c r="E465" s="8">
        <v>292.14594114234484</v>
      </c>
      <c r="F465" s="8">
        <v>254.08830741709099</v>
      </c>
      <c r="G465" s="4">
        <v>4730</v>
      </c>
    </row>
    <row r="466" spans="1:7" hidden="1" x14ac:dyDescent="0.2">
      <c r="A466" s="2">
        <v>45937</v>
      </c>
      <c r="B466" s="79" t="s">
        <v>13</v>
      </c>
      <c r="C466" s="79" t="s">
        <v>11</v>
      </c>
      <c r="D466" s="9">
        <v>0.90280300000000002</v>
      </c>
      <c r="E466" s="8">
        <v>298.09719642312768</v>
      </c>
      <c r="F466" s="8">
        <v>269.12293105820834</v>
      </c>
      <c r="G466" s="4">
        <v>4831</v>
      </c>
    </row>
    <row r="467" spans="1:7" hidden="1" x14ac:dyDescent="0.2">
      <c r="A467" s="2">
        <v>45938</v>
      </c>
      <c r="B467" s="79" t="s">
        <v>15</v>
      </c>
      <c r="C467" s="79" t="s">
        <v>11</v>
      </c>
      <c r="D467" s="9">
        <v>0.94009399999999999</v>
      </c>
      <c r="E467" s="8">
        <v>302.16071676018538</v>
      </c>
      <c r="F467" s="8">
        <v>284.05962524654831</v>
      </c>
      <c r="G467" s="4">
        <v>3872</v>
      </c>
    </row>
    <row r="468" spans="1:7" hidden="1" x14ac:dyDescent="0.2">
      <c r="A468" s="2">
        <v>45939</v>
      </c>
      <c r="B468" s="79" t="s">
        <v>17</v>
      </c>
      <c r="C468" s="79" t="s">
        <v>11</v>
      </c>
      <c r="D468" s="9">
        <v>0.93110400000000004</v>
      </c>
      <c r="E468" s="8">
        <v>294.07338243263166</v>
      </c>
      <c r="F468" s="8">
        <v>273.81292555387319</v>
      </c>
      <c r="G468" s="4">
        <v>1658</v>
      </c>
    </row>
    <row r="469" spans="1:7" hidden="1" x14ac:dyDescent="0.2">
      <c r="A469" s="2">
        <v>45940</v>
      </c>
      <c r="B469" s="79" t="s">
        <v>19</v>
      </c>
      <c r="C469" s="79" t="s">
        <v>11</v>
      </c>
      <c r="D469" s="9">
        <v>0.96390100000000001</v>
      </c>
      <c r="E469" s="8">
        <v>302.83093128390601</v>
      </c>
      <c r="F469" s="8">
        <v>291.89895830466492</v>
      </c>
      <c r="G469">
        <v>300</v>
      </c>
    </row>
    <row r="470" spans="1:7" hidden="1" x14ac:dyDescent="0.2">
      <c r="A470" s="2">
        <v>45941</v>
      </c>
      <c r="B470" s="79" t="s">
        <v>21</v>
      </c>
      <c r="C470" s="79" t="s">
        <v>11</v>
      </c>
      <c r="D470" s="9">
        <v>0.96348800000000001</v>
      </c>
      <c r="E470" s="8">
        <v>300.46844656034233</v>
      </c>
      <c r="F470" s="8">
        <v>289.49771661850332</v>
      </c>
      <c r="G470">
        <v>266</v>
      </c>
    </row>
    <row r="471" spans="1:7" hidden="1" x14ac:dyDescent="0.2">
      <c r="A471" s="2">
        <v>45942</v>
      </c>
      <c r="B471" s="79" t="s">
        <v>23</v>
      </c>
      <c r="C471" s="79" t="s">
        <v>11</v>
      </c>
      <c r="D471" s="9">
        <v>0.871614</v>
      </c>
      <c r="E471" s="8">
        <v>277.08550730063649</v>
      </c>
      <c r="F471" s="8">
        <v>241.51171180830733</v>
      </c>
      <c r="G471">
        <v>679</v>
      </c>
    </row>
    <row r="472" spans="1:7" hidden="1" x14ac:dyDescent="0.2">
      <c r="A472" s="2">
        <v>45943</v>
      </c>
      <c r="B472" s="79" t="s">
        <v>10</v>
      </c>
      <c r="C472" s="79" t="s">
        <v>11</v>
      </c>
      <c r="D472" s="9">
        <v>0.73828700000000003</v>
      </c>
      <c r="E472" s="8">
        <v>255.70221885458105</v>
      </c>
      <c r="F472" s="8">
        <v>188.78169036408559</v>
      </c>
      <c r="G472">
        <v>883</v>
      </c>
    </row>
    <row r="473" spans="1:7" hidden="1" x14ac:dyDescent="0.2">
      <c r="A473" s="2">
        <v>45944</v>
      </c>
      <c r="B473" s="79" t="s">
        <v>13</v>
      </c>
      <c r="C473" s="79" t="s">
        <v>11</v>
      </c>
      <c r="D473" s="9">
        <v>0.75161999999999995</v>
      </c>
      <c r="E473" s="8">
        <v>261.82553743099862</v>
      </c>
      <c r="F473" s="8">
        <v>196.79330287632234</v>
      </c>
      <c r="G473" s="4">
        <v>1863</v>
      </c>
    </row>
    <row r="474" spans="1:7" hidden="1" x14ac:dyDescent="0.2">
      <c r="A474" s="2">
        <v>45945</v>
      </c>
      <c r="B474" s="79" t="s">
        <v>15</v>
      </c>
      <c r="C474" s="79" t="s">
        <v>11</v>
      </c>
      <c r="D474" s="9">
        <v>0.83721000000000001</v>
      </c>
      <c r="E474" s="8">
        <v>300.21771256751492</v>
      </c>
      <c r="F474" s="8">
        <v>251.34538716143771</v>
      </c>
      <c r="G474" s="4">
        <v>4681</v>
      </c>
    </row>
    <row r="475" spans="1:7" hidden="1" x14ac:dyDescent="0.2">
      <c r="A475" s="2">
        <v>45946</v>
      </c>
      <c r="B475" s="79" t="s">
        <v>17</v>
      </c>
      <c r="C475" s="79" t="s">
        <v>11</v>
      </c>
      <c r="D475" s="9">
        <v>0.94494400000000001</v>
      </c>
      <c r="E475" s="8">
        <v>354.61523778983673</v>
      </c>
      <c r="F475" s="8">
        <v>335.09164467856931</v>
      </c>
      <c r="G475" s="4">
        <v>9504</v>
      </c>
    </row>
    <row r="476" spans="1:7" hidden="1" x14ac:dyDescent="0.2">
      <c r="A476" s="2">
        <v>45947</v>
      </c>
      <c r="B476" s="79" t="s">
        <v>19</v>
      </c>
      <c r="C476" s="79" t="s">
        <v>11</v>
      </c>
      <c r="D476" s="9">
        <v>0.95841699999999996</v>
      </c>
      <c r="E476" s="8">
        <v>358.76954521134297</v>
      </c>
      <c r="F476" s="8">
        <v>343.85077991702019</v>
      </c>
      <c r="G476" s="4">
        <v>9500</v>
      </c>
    </row>
    <row r="477" spans="1:7" hidden="1" x14ac:dyDescent="0.2">
      <c r="A477" s="2">
        <v>45948</v>
      </c>
      <c r="B477" s="79" t="s">
        <v>21</v>
      </c>
      <c r="C477" s="79" t="s">
        <v>11</v>
      </c>
      <c r="D477" s="9">
        <v>0.87319899999999995</v>
      </c>
      <c r="E477" s="8">
        <v>299.23507073834821</v>
      </c>
      <c r="F477" s="8">
        <v>261.29187963265116</v>
      </c>
      <c r="G477" s="4">
        <v>3323</v>
      </c>
    </row>
    <row r="478" spans="1:7" hidden="1" x14ac:dyDescent="0.2">
      <c r="A478" s="2">
        <v>45949</v>
      </c>
      <c r="B478" s="79" t="s">
        <v>23</v>
      </c>
      <c r="C478" s="79" t="s">
        <v>11</v>
      </c>
      <c r="D478" s="9">
        <v>0.59754799999999997</v>
      </c>
      <c r="E478" s="8">
        <v>167.58725542206273</v>
      </c>
      <c r="F478" s="8">
        <v>100.14141252156077</v>
      </c>
      <c r="G478">
        <v>176</v>
      </c>
    </row>
    <row r="479" spans="1:7" hidden="1" x14ac:dyDescent="0.2">
      <c r="A479" s="2">
        <v>45950</v>
      </c>
      <c r="B479" s="79" t="s">
        <v>10</v>
      </c>
      <c r="C479" s="79" t="s">
        <v>11</v>
      </c>
      <c r="D479" s="9">
        <v>0.60337499999999999</v>
      </c>
      <c r="E479" s="8">
        <v>166.16551381982075</v>
      </c>
      <c r="F479" s="8">
        <v>100.2601391715976</v>
      </c>
      <c r="G479">
        <v>65</v>
      </c>
    </row>
    <row r="480" spans="1:7" hidden="1" x14ac:dyDescent="0.2">
      <c r="A480" s="2">
        <v>45951</v>
      </c>
      <c r="B480" s="79" t="s">
        <v>13</v>
      </c>
      <c r="C480" s="79" t="s">
        <v>11</v>
      </c>
      <c r="D480" s="9">
        <v>0.63502899999999995</v>
      </c>
      <c r="E480" s="8">
        <v>174.101383394561</v>
      </c>
      <c r="F480" s="8">
        <v>110.55936994082839</v>
      </c>
      <c r="G480">
        <v>156</v>
      </c>
    </row>
    <row r="481" spans="1:7" hidden="1" x14ac:dyDescent="0.2">
      <c r="A481" s="2">
        <v>45952</v>
      </c>
      <c r="B481" s="79" t="s">
        <v>15</v>
      </c>
      <c r="C481" s="79" t="s">
        <v>11</v>
      </c>
      <c r="D481" s="9">
        <v>0.699268</v>
      </c>
      <c r="E481" s="8">
        <v>181.12953347364069</v>
      </c>
      <c r="F481" s="8">
        <v>126.65810461538437</v>
      </c>
      <c r="G481">
        <v>972</v>
      </c>
    </row>
    <row r="482" spans="1:7" hidden="1" x14ac:dyDescent="0.2">
      <c r="A482" s="2">
        <v>45953</v>
      </c>
      <c r="B482" s="79" t="s">
        <v>17</v>
      </c>
      <c r="C482" s="79" t="s">
        <v>11</v>
      </c>
      <c r="D482" s="9">
        <v>0.78220100000000004</v>
      </c>
      <c r="E482" s="8">
        <v>200.05123362236009</v>
      </c>
      <c r="F482" s="8">
        <v>156.48033420118315</v>
      </c>
      <c r="G482" s="4">
        <v>2463</v>
      </c>
    </row>
    <row r="483" spans="1:7" hidden="1" x14ac:dyDescent="0.2">
      <c r="A483" s="2">
        <v>45954</v>
      </c>
      <c r="B483" s="79" t="s">
        <v>19</v>
      </c>
      <c r="C483" s="79" t="s">
        <v>11</v>
      </c>
      <c r="D483" s="9">
        <v>0.863456</v>
      </c>
      <c r="E483" s="8">
        <v>214.70251486783337</v>
      </c>
      <c r="F483" s="8">
        <v>185.38622816568039</v>
      </c>
      <c r="G483" s="4">
        <v>2482</v>
      </c>
    </row>
    <row r="484" spans="1:7" hidden="1" x14ac:dyDescent="0.2">
      <c r="A484" s="2">
        <v>45955</v>
      </c>
      <c r="B484" s="79" t="s">
        <v>21</v>
      </c>
      <c r="C484" s="79" t="s">
        <v>11</v>
      </c>
      <c r="D484" s="9">
        <v>0.87776799999999999</v>
      </c>
      <c r="E484" s="8">
        <v>212.70265192555473</v>
      </c>
      <c r="F484" s="8">
        <v>186.70356781065078</v>
      </c>
      <c r="G484" s="4">
        <v>2172</v>
      </c>
    </row>
    <row r="485" spans="1:7" hidden="1" x14ac:dyDescent="0.2">
      <c r="A485" s="2">
        <v>45956</v>
      </c>
      <c r="B485" s="79" t="s">
        <v>23</v>
      </c>
      <c r="C485" s="79" t="s">
        <v>11</v>
      </c>
      <c r="D485" s="9">
        <v>0.72327600000000003</v>
      </c>
      <c r="E485" s="8">
        <v>184.44541411537222</v>
      </c>
      <c r="F485" s="8">
        <v>133.40499743601697</v>
      </c>
      <c r="G485">
        <v>960</v>
      </c>
    </row>
    <row r="486" spans="1:7" hidden="1" x14ac:dyDescent="0.2">
      <c r="A486" s="2">
        <v>45957</v>
      </c>
      <c r="B486" s="79" t="s">
        <v>10</v>
      </c>
      <c r="C486" s="79" t="s">
        <v>11</v>
      </c>
      <c r="D486" s="9">
        <v>0.71488499999999999</v>
      </c>
      <c r="E486" s="8">
        <v>195.79760482556244</v>
      </c>
      <c r="F486" s="8">
        <v>139.9727877488229</v>
      </c>
      <c r="G486" s="4">
        <v>2720</v>
      </c>
    </row>
    <row r="487" spans="1:7" hidden="1" x14ac:dyDescent="0.2">
      <c r="A487" s="2">
        <v>45958</v>
      </c>
      <c r="B487" s="79" t="s">
        <v>13</v>
      </c>
      <c r="C487" s="79" t="s">
        <v>11</v>
      </c>
      <c r="D487" s="9">
        <v>0.73269300000000004</v>
      </c>
      <c r="E487" s="8">
        <v>193.20381561366673</v>
      </c>
      <c r="F487" s="8">
        <v>141.55910540301153</v>
      </c>
      <c r="G487" s="4">
        <v>3230</v>
      </c>
    </row>
    <row r="488" spans="1:7" hidden="1" x14ac:dyDescent="0.2">
      <c r="A488" s="2">
        <v>45959</v>
      </c>
      <c r="B488" s="79" t="s">
        <v>15</v>
      </c>
      <c r="C488" s="79" t="s">
        <v>11</v>
      </c>
      <c r="D488" s="9">
        <v>0.63554100000000002</v>
      </c>
      <c r="E488" s="8">
        <v>175.71120883151178</v>
      </c>
      <c r="F488" s="8">
        <v>111.67175935853807</v>
      </c>
      <c r="G488" s="4">
        <v>2062</v>
      </c>
    </row>
    <row r="489" spans="1:7" hidden="1" x14ac:dyDescent="0.2">
      <c r="A489" s="2">
        <v>45960</v>
      </c>
      <c r="B489" s="79" t="s">
        <v>17</v>
      </c>
      <c r="C489" s="79" t="s">
        <v>11</v>
      </c>
      <c r="D489" s="9">
        <v>0.64006300000000005</v>
      </c>
      <c r="E489" s="8">
        <v>162.82742097596505</v>
      </c>
      <c r="F489" s="8">
        <v>104.21987273320592</v>
      </c>
      <c r="G489">
        <v>418</v>
      </c>
    </row>
    <row r="490" spans="1:7" hidden="1" x14ac:dyDescent="0.2">
      <c r="A490" s="2">
        <v>45961</v>
      </c>
      <c r="B490" s="79" t="s">
        <v>19</v>
      </c>
      <c r="C490" s="79" t="s">
        <v>11</v>
      </c>
      <c r="D490" s="9">
        <v>0.69451300000000005</v>
      </c>
      <c r="E490" s="8">
        <v>164.3272828567593</v>
      </c>
      <c r="F490" s="8">
        <v>114.12744673907976</v>
      </c>
      <c r="G490">
        <v>235</v>
      </c>
    </row>
    <row r="491" spans="1:7" hidden="1" x14ac:dyDescent="0.2">
      <c r="A491" s="2">
        <v>45962</v>
      </c>
      <c r="B491" s="79" t="s">
        <v>21</v>
      </c>
      <c r="C491" s="79" t="s">
        <v>11</v>
      </c>
      <c r="D491" s="9">
        <v>0.72775199999999995</v>
      </c>
      <c r="E491" s="8">
        <v>169.69100826340335</v>
      </c>
      <c r="F491" s="8">
        <v>123.49290615822059</v>
      </c>
      <c r="G491" s="4">
        <v>1000</v>
      </c>
    </row>
    <row r="492" spans="1:7" hidden="1" x14ac:dyDescent="0.2">
      <c r="A492" s="2">
        <v>45963</v>
      </c>
      <c r="B492" s="79" t="s">
        <v>23</v>
      </c>
      <c r="C492" s="79" t="s">
        <v>11</v>
      </c>
      <c r="D492" s="9">
        <v>0.64943399999999996</v>
      </c>
      <c r="E492" s="8">
        <v>226.23386189074728</v>
      </c>
      <c r="F492" s="8">
        <v>146.92386974966203</v>
      </c>
      <c r="G492" s="4">
        <v>1700</v>
      </c>
    </row>
    <row r="493" spans="1:7" hidden="1" x14ac:dyDescent="0.2">
      <c r="A493" s="2">
        <v>45964</v>
      </c>
      <c r="B493" s="79" t="s">
        <v>10</v>
      </c>
      <c r="C493" s="79" t="s">
        <v>11</v>
      </c>
      <c r="D493" s="9">
        <v>0.71800799999999998</v>
      </c>
      <c r="E493" s="8">
        <v>226.87990455784964</v>
      </c>
      <c r="F493" s="8">
        <v>162.90169642440912</v>
      </c>
      <c r="G493" s="4">
        <v>2950</v>
      </c>
    </row>
    <row r="494" spans="1:7" hidden="1" x14ac:dyDescent="0.2">
      <c r="A494" s="2">
        <v>45965</v>
      </c>
      <c r="B494" s="79" t="s">
        <v>13</v>
      </c>
      <c r="C494" s="79" t="s">
        <v>11</v>
      </c>
      <c r="D494" s="9">
        <v>0.73045499999999997</v>
      </c>
      <c r="E494" s="8">
        <v>232.11945242197908</v>
      </c>
      <c r="F494" s="8">
        <v>169.55292060976132</v>
      </c>
      <c r="G494" s="4">
        <v>3732</v>
      </c>
    </row>
    <row r="495" spans="1:7" hidden="1" x14ac:dyDescent="0.2">
      <c r="A495" s="2">
        <v>45966</v>
      </c>
      <c r="B495" s="79" t="s">
        <v>15</v>
      </c>
      <c r="C495" s="79" t="s">
        <v>11</v>
      </c>
      <c r="D495" s="9">
        <v>0.71469899999999997</v>
      </c>
      <c r="E495" s="8">
        <v>231.98875024460241</v>
      </c>
      <c r="F495" s="8">
        <v>165.80203859959909</v>
      </c>
      <c r="G495" s="4">
        <v>3228</v>
      </c>
    </row>
    <row r="496" spans="1:7" hidden="1" x14ac:dyDescent="0.2">
      <c r="A496" s="2">
        <v>45967</v>
      </c>
      <c r="B496" s="79" t="s">
        <v>17</v>
      </c>
      <c r="C496" s="79" t="s">
        <v>11</v>
      </c>
      <c r="D496" s="9">
        <v>0.68770699999999996</v>
      </c>
      <c r="E496" s="8">
        <v>224.2277887744028</v>
      </c>
      <c r="F496" s="8">
        <v>154.20299007039253</v>
      </c>
      <c r="G496" s="4">
        <v>2147</v>
      </c>
    </row>
    <row r="497" spans="1:7" hidden="1" x14ac:dyDescent="0.2">
      <c r="A497" s="2">
        <v>45968</v>
      </c>
      <c r="B497" s="79" t="s">
        <v>19</v>
      </c>
      <c r="C497" s="79" t="s">
        <v>11</v>
      </c>
      <c r="D497" s="9">
        <v>0.71768200000000004</v>
      </c>
      <c r="E497" s="8">
        <v>237.03414745047095</v>
      </c>
      <c r="F497" s="8">
        <v>170.1151787795441</v>
      </c>
      <c r="G497">
        <v>174</v>
      </c>
    </row>
    <row r="498" spans="1:7" hidden="1" x14ac:dyDescent="0.2">
      <c r="A498" s="2">
        <v>45969</v>
      </c>
      <c r="B498" s="79" t="s">
        <v>21</v>
      </c>
      <c r="C498" s="79" t="s">
        <v>11</v>
      </c>
      <c r="D498" s="9">
        <v>0.82112700000000005</v>
      </c>
      <c r="E498" s="8">
        <v>243.70122402634271</v>
      </c>
      <c r="F498" s="8">
        <v>200.10970863829195</v>
      </c>
      <c r="G498">
        <v>528</v>
      </c>
    </row>
    <row r="499" spans="1:7" hidden="1" x14ac:dyDescent="0.2">
      <c r="A499" s="2">
        <v>45970</v>
      </c>
      <c r="B499" s="79" t="s">
        <v>23</v>
      </c>
      <c r="C499" s="79" t="s">
        <v>11</v>
      </c>
      <c r="D499" s="9">
        <v>0.85921400000000003</v>
      </c>
      <c r="E499" s="8">
        <v>262.28538277901362</v>
      </c>
      <c r="F499" s="8">
        <v>225.35927882150014</v>
      </c>
      <c r="G499" s="4">
        <v>5588</v>
      </c>
    </row>
    <row r="500" spans="1:7" hidden="1" x14ac:dyDescent="0.2">
      <c r="A500" s="2">
        <v>45971</v>
      </c>
      <c r="B500" s="79" t="s">
        <v>10</v>
      </c>
      <c r="C500" s="79" t="s">
        <v>11</v>
      </c>
      <c r="D500" s="9">
        <v>0.860286</v>
      </c>
      <c r="E500" s="8">
        <v>260.38392922943535</v>
      </c>
      <c r="F500" s="8">
        <v>224.00470980373876</v>
      </c>
      <c r="G500" s="4">
        <v>5614</v>
      </c>
    </row>
    <row r="501" spans="1:7" hidden="1" x14ac:dyDescent="0.2">
      <c r="A501" s="2">
        <v>45972</v>
      </c>
      <c r="B501" s="79" t="s">
        <v>13</v>
      </c>
      <c r="C501" s="79" t="s">
        <v>11</v>
      </c>
      <c r="D501" s="9">
        <v>0.74234299999999998</v>
      </c>
      <c r="E501" s="8">
        <v>249.65100100477204</v>
      </c>
      <c r="F501" s="8">
        <v>185.3266766118125</v>
      </c>
      <c r="G501" s="4">
        <v>5749</v>
      </c>
    </row>
    <row r="502" spans="1:7" hidden="1" x14ac:dyDescent="0.2">
      <c r="A502" s="2">
        <v>45973</v>
      </c>
      <c r="B502" s="79" t="s">
        <v>15</v>
      </c>
      <c r="C502" s="79" t="s">
        <v>11</v>
      </c>
      <c r="D502" s="9">
        <v>0.767563</v>
      </c>
      <c r="E502" s="8">
        <v>243.61488065593682</v>
      </c>
      <c r="F502" s="8">
        <v>186.98983776980094</v>
      </c>
      <c r="G502" s="4">
        <v>5817</v>
      </c>
    </row>
    <row r="503" spans="1:7" hidden="1" x14ac:dyDescent="0.2">
      <c r="A503" s="2">
        <v>45974</v>
      </c>
      <c r="B503" s="79" t="s">
        <v>17</v>
      </c>
      <c r="C503" s="79" t="s">
        <v>11</v>
      </c>
      <c r="D503" s="9">
        <v>0.80126799999999998</v>
      </c>
      <c r="E503" s="8">
        <v>257.14901093786364</v>
      </c>
      <c r="F503" s="8">
        <v>206.04527527854179</v>
      </c>
      <c r="G503" s="4">
        <v>5650</v>
      </c>
    </row>
    <row r="504" spans="1:7" hidden="1" x14ac:dyDescent="0.2">
      <c r="A504" s="2">
        <v>45975</v>
      </c>
      <c r="B504" s="79" t="s">
        <v>19</v>
      </c>
      <c r="C504" s="79" t="s">
        <v>11</v>
      </c>
      <c r="D504" s="9">
        <v>0.80774800000000002</v>
      </c>
      <c r="E504" s="8">
        <v>248.38171351070585</v>
      </c>
      <c r="F504" s="8">
        <v>200.62980513728965</v>
      </c>
      <c r="G504">
        <v>304</v>
      </c>
    </row>
    <row r="505" spans="1:7" hidden="1" x14ac:dyDescent="0.2">
      <c r="A505" s="2">
        <v>45976</v>
      </c>
      <c r="B505" s="79" t="s">
        <v>21</v>
      </c>
      <c r="C505" s="79" t="s">
        <v>11</v>
      </c>
      <c r="D505" s="9">
        <v>0.84602100000000002</v>
      </c>
      <c r="E505" s="8">
        <v>240.36884670487106</v>
      </c>
      <c r="F505" s="8">
        <v>203.35713160225632</v>
      </c>
      <c r="G505">
        <v>632</v>
      </c>
    </row>
    <row r="506" spans="1:7" hidden="1" x14ac:dyDescent="0.2">
      <c r="A506" s="2">
        <v>45977</v>
      </c>
      <c r="B506" s="79" t="s">
        <v>23</v>
      </c>
      <c r="C506" s="79" t="s">
        <v>11</v>
      </c>
      <c r="D506" s="9">
        <v>0.70211199999999996</v>
      </c>
      <c r="E506" s="8">
        <v>232.28146803001064</v>
      </c>
      <c r="F506" s="8">
        <v>163.08755722343901</v>
      </c>
      <c r="G506">
        <v>34</v>
      </c>
    </row>
    <row r="507" spans="1:7" hidden="1" x14ac:dyDescent="0.2">
      <c r="A507" s="2">
        <v>45978</v>
      </c>
      <c r="B507" s="79" t="s">
        <v>10</v>
      </c>
      <c r="C507" s="79" t="s">
        <v>11</v>
      </c>
      <c r="D507" s="9">
        <v>0.70486199999999999</v>
      </c>
      <c r="E507" s="8">
        <v>237.28620965608468</v>
      </c>
      <c r="F507" s="8">
        <v>167.2540902522027</v>
      </c>
      <c r="G507">
        <v>34</v>
      </c>
    </row>
    <row r="508" spans="1:7" hidden="1" x14ac:dyDescent="0.2">
      <c r="A508" s="2">
        <v>45979</v>
      </c>
      <c r="B508" s="79" t="s">
        <v>13</v>
      </c>
      <c r="C508" s="79" t="s">
        <v>11</v>
      </c>
      <c r="D508" s="9">
        <v>0.73371900000000001</v>
      </c>
      <c r="E508" s="8">
        <v>233.28481224982528</v>
      </c>
      <c r="F508" s="8">
        <v>171.1654309822386</v>
      </c>
      <c r="G508">
        <v>34</v>
      </c>
    </row>
    <row r="509" spans="1:7" hidden="1" x14ac:dyDescent="0.2">
      <c r="A509" s="2">
        <v>45980</v>
      </c>
      <c r="B509" s="79" t="s">
        <v>15</v>
      </c>
      <c r="C509" s="79" t="s">
        <v>11</v>
      </c>
      <c r="D509" s="9">
        <v>0.70089999999999997</v>
      </c>
      <c r="E509" s="8">
        <v>228.77693182573992</v>
      </c>
      <c r="F509" s="8">
        <v>160.34968859260641</v>
      </c>
      <c r="G509">
        <v>0</v>
      </c>
    </row>
    <row r="510" spans="1:7" hidden="1" x14ac:dyDescent="0.2">
      <c r="A510" s="2">
        <v>45981</v>
      </c>
      <c r="B510" s="79" t="s">
        <v>17</v>
      </c>
      <c r="C510" s="79" t="s">
        <v>11</v>
      </c>
      <c r="D510" s="9">
        <v>0.70682</v>
      </c>
      <c r="E510" s="8">
        <v>257.00135404300221</v>
      </c>
      <c r="F510" s="8">
        <v>181.65374714465526</v>
      </c>
      <c r="G510">
        <v>0</v>
      </c>
    </row>
    <row r="511" spans="1:7" hidden="1" x14ac:dyDescent="0.2">
      <c r="A511" s="2">
        <v>45982</v>
      </c>
      <c r="B511" s="79" t="s">
        <v>19</v>
      </c>
      <c r="C511" s="79" t="s">
        <v>11</v>
      </c>
      <c r="D511" s="9">
        <v>0.827654</v>
      </c>
      <c r="E511" s="8">
        <v>248.40632139236229</v>
      </c>
      <c r="F511" s="8">
        <v>205.59441657731574</v>
      </c>
      <c r="G511">
        <v>80</v>
      </c>
    </row>
    <row r="512" spans="1:7" hidden="1" x14ac:dyDescent="0.2">
      <c r="A512" s="2">
        <v>45983</v>
      </c>
      <c r="B512" s="79" t="s">
        <v>21</v>
      </c>
      <c r="C512" s="79" t="s">
        <v>11</v>
      </c>
      <c r="D512" s="9">
        <v>0.90797600000000001</v>
      </c>
      <c r="E512" s="8">
        <v>258.47303126764854</v>
      </c>
      <c r="F512" s="8">
        <v>234.6873912638101</v>
      </c>
      <c r="G512">
        <v>80</v>
      </c>
    </row>
    <row r="513" spans="1:7" hidden="1" x14ac:dyDescent="0.2">
      <c r="A513" s="2">
        <v>45984</v>
      </c>
      <c r="B513" s="79" t="s">
        <v>23</v>
      </c>
      <c r="C513" s="79" t="s">
        <v>11</v>
      </c>
      <c r="D513" s="9">
        <v>0.82672100000000004</v>
      </c>
      <c r="E513" s="8">
        <v>255.26452915303938</v>
      </c>
      <c r="F513" s="8">
        <v>211.03263997016458</v>
      </c>
      <c r="G513">
        <v>5</v>
      </c>
    </row>
    <row r="514" spans="1:7" hidden="1" x14ac:dyDescent="0.2">
      <c r="A514" s="2">
        <v>45985</v>
      </c>
      <c r="B514" s="79" t="s">
        <v>10</v>
      </c>
      <c r="C514" s="79" t="s">
        <v>11</v>
      </c>
      <c r="D514" s="9">
        <v>0.80914600000000003</v>
      </c>
      <c r="E514" s="8">
        <v>257.37837068617847</v>
      </c>
      <c r="F514" s="8">
        <v>208.2567889608876</v>
      </c>
      <c r="G514">
        <v>10</v>
      </c>
    </row>
    <row r="515" spans="1:7" hidden="1" x14ac:dyDescent="0.2">
      <c r="A515" s="2">
        <v>45986</v>
      </c>
      <c r="B515" s="79" t="s">
        <v>13</v>
      </c>
      <c r="C515" s="79" t="s">
        <v>11</v>
      </c>
      <c r="D515" s="9">
        <v>0.77017400000000003</v>
      </c>
      <c r="E515" s="8">
        <v>258.99029598692573</v>
      </c>
      <c r="F515" s="8">
        <v>199.46756235140552</v>
      </c>
      <c r="G515">
        <v>65</v>
      </c>
    </row>
    <row r="516" spans="1:7" hidden="1" x14ac:dyDescent="0.2">
      <c r="A516" s="2">
        <v>45987</v>
      </c>
      <c r="B516" s="79" t="s">
        <v>15</v>
      </c>
      <c r="C516" s="79" t="s">
        <v>11</v>
      </c>
      <c r="D516" s="9">
        <v>0.81758399999999998</v>
      </c>
      <c r="E516" s="8">
        <v>257.71309841487056</v>
      </c>
      <c r="F516" s="8">
        <v>210.70217332525291</v>
      </c>
      <c r="G516">
        <v>263</v>
      </c>
    </row>
    <row r="517" spans="1:7" hidden="1" x14ac:dyDescent="0.2">
      <c r="A517" s="2">
        <v>45988</v>
      </c>
      <c r="B517" s="79" t="s">
        <v>17</v>
      </c>
      <c r="C517" s="79" t="s">
        <v>11</v>
      </c>
      <c r="D517" s="9">
        <v>0.88112400000000002</v>
      </c>
      <c r="E517" s="8">
        <v>259.88259615893338</v>
      </c>
      <c r="F517" s="8">
        <v>228.9889026152627</v>
      </c>
      <c r="G517">
        <v>862</v>
      </c>
    </row>
    <row r="518" spans="1:7" hidden="1" x14ac:dyDescent="0.2">
      <c r="A518" s="2">
        <v>45989</v>
      </c>
      <c r="B518" s="79" t="s">
        <v>19</v>
      </c>
      <c r="C518" s="79" t="s">
        <v>11</v>
      </c>
      <c r="D518" s="9">
        <v>0.90378099999999995</v>
      </c>
      <c r="E518" s="8">
        <v>257.71920823232011</v>
      </c>
      <c r="F518" s="8">
        <v>232.92164887417789</v>
      </c>
      <c r="G518">
        <v>957</v>
      </c>
    </row>
    <row r="519" spans="1:7" hidden="1" x14ac:dyDescent="0.2">
      <c r="A519" s="2">
        <v>45990</v>
      </c>
      <c r="B519" s="79" t="s">
        <v>21</v>
      </c>
      <c r="C519" s="79" t="s">
        <v>11</v>
      </c>
      <c r="D519" s="9">
        <v>0.83916800000000003</v>
      </c>
      <c r="E519" s="8">
        <v>237.1713521471024</v>
      </c>
      <c r="F519" s="8">
        <v>199.02668919863831</v>
      </c>
      <c r="G519">
        <v>967</v>
      </c>
    </row>
    <row r="520" spans="1:7" hidden="1" x14ac:dyDescent="0.2">
      <c r="A520" s="2">
        <v>45991</v>
      </c>
      <c r="B520" s="79" t="s">
        <v>23</v>
      </c>
      <c r="C520" s="79" t="s">
        <v>11</v>
      </c>
      <c r="D520" s="9">
        <v>0.61731400000000003</v>
      </c>
      <c r="E520" s="8">
        <v>250.81989805165307</v>
      </c>
      <c r="F520" s="8">
        <v>154.83460398116591</v>
      </c>
      <c r="G520">
        <v>154</v>
      </c>
    </row>
    <row r="521" spans="1:7" hidden="1" x14ac:dyDescent="0.2">
      <c r="A521" s="2">
        <v>45992</v>
      </c>
      <c r="B521" s="79" t="s">
        <v>10</v>
      </c>
      <c r="C521" s="79" t="s">
        <v>11</v>
      </c>
      <c r="D521" s="9">
        <v>0.71586399999999994</v>
      </c>
      <c r="E521" s="8">
        <v>251.39750976816882</v>
      </c>
      <c r="F521" s="8">
        <v>179.96644259008906</v>
      </c>
      <c r="G521">
        <v>135</v>
      </c>
    </row>
    <row r="522" spans="1:7" hidden="1" x14ac:dyDescent="0.2">
      <c r="A522" s="2">
        <v>45993</v>
      </c>
      <c r="B522" s="79" t="s">
        <v>13</v>
      </c>
      <c r="C522" s="79" t="s">
        <v>11</v>
      </c>
      <c r="D522" s="9">
        <v>0.77185199999999998</v>
      </c>
      <c r="E522" s="8">
        <v>256.73272392341607</v>
      </c>
      <c r="F522" s="8">
        <v>198.15969931471727</v>
      </c>
      <c r="G522">
        <v>420</v>
      </c>
    </row>
    <row r="523" spans="1:7" hidden="1" x14ac:dyDescent="0.2">
      <c r="A523" s="2">
        <v>45994</v>
      </c>
      <c r="B523" s="79" t="s">
        <v>15</v>
      </c>
      <c r="C523" s="79" t="s">
        <v>11</v>
      </c>
      <c r="D523" s="9">
        <v>0.82634799999999997</v>
      </c>
      <c r="E523" s="8">
        <v>261.0590104930605</v>
      </c>
      <c r="F523" s="8">
        <v>215.72570136590323</v>
      </c>
      <c r="G523">
        <v>695</v>
      </c>
    </row>
    <row r="524" spans="1:7" hidden="1" x14ac:dyDescent="0.2">
      <c r="A524" s="2">
        <v>45995</v>
      </c>
      <c r="B524" s="79" t="s">
        <v>17</v>
      </c>
      <c r="C524" s="79" t="s">
        <v>11</v>
      </c>
      <c r="D524" s="9">
        <v>0.87571699999999997</v>
      </c>
      <c r="E524" s="8">
        <v>270.98835773223317</v>
      </c>
      <c r="F524" s="8">
        <v>237.30904386741875</v>
      </c>
      <c r="G524">
        <v>922</v>
      </c>
    </row>
    <row r="525" spans="1:7" hidden="1" x14ac:dyDescent="0.2">
      <c r="A525" s="2">
        <v>45996</v>
      </c>
      <c r="B525" s="79" t="s">
        <v>19</v>
      </c>
      <c r="C525" s="79" t="s">
        <v>11</v>
      </c>
      <c r="D525" s="9">
        <v>0.91739300000000001</v>
      </c>
      <c r="E525" s="8">
        <v>281.16941562071241</v>
      </c>
      <c r="F525" s="8">
        <v>257.94288984196538</v>
      </c>
      <c r="G525" s="4">
        <v>1039</v>
      </c>
    </row>
    <row r="526" spans="1:7" hidden="1" x14ac:dyDescent="0.2">
      <c r="A526" s="2">
        <v>45997</v>
      </c>
      <c r="B526" s="79" t="s">
        <v>21</v>
      </c>
      <c r="C526" s="79" t="s">
        <v>11</v>
      </c>
      <c r="D526" s="9">
        <v>0.89730100000000002</v>
      </c>
      <c r="E526" s="8">
        <v>277.35127337905237</v>
      </c>
      <c r="F526" s="8">
        <v>248.86752645564309</v>
      </c>
      <c r="G526" s="4">
        <v>1336</v>
      </c>
    </row>
    <row r="527" spans="1:7" hidden="1" x14ac:dyDescent="0.2">
      <c r="A527" s="2">
        <v>45998</v>
      </c>
      <c r="B527" s="79" t="s">
        <v>23</v>
      </c>
      <c r="C527" s="79" t="s">
        <v>11</v>
      </c>
      <c r="D527" s="9">
        <v>0.77903100000000003</v>
      </c>
      <c r="E527" s="8">
        <v>255.87718030040034</v>
      </c>
      <c r="F527" s="8">
        <v>199.33632744394154</v>
      </c>
      <c r="G527" s="4">
        <v>2530</v>
      </c>
    </row>
    <row r="528" spans="1:7" hidden="1" x14ac:dyDescent="0.2">
      <c r="A528" s="2">
        <v>45999</v>
      </c>
      <c r="B528" s="79" t="s">
        <v>10</v>
      </c>
      <c r="C528" s="79" t="s">
        <v>11</v>
      </c>
      <c r="D528" s="9">
        <v>0.81408800000000003</v>
      </c>
      <c r="E528" s="8">
        <v>259.89446486857929</v>
      </c>
      <c r="F528" s="8">
        <v>211.5769446645844</v>
      </c>
      <c r="G528" s="4">
        <v>3282</v>
      </c>
    </row>
    <row r="529" spans="1:7" hidden="1" x14ac:dyDescent="0.2">
      <c r="A529" s="2">
        <v>46000</v>
      </c>
      <c r="B529" s="79" t="s">
        <v>13</v>
      </c>
      <c r="C529" s="79" t="s">
        <v>11</v>
      </c>
      <c r="D529" s="9">
        <v>0.79325000000000001</v>
      </c>
      <c r="E529" s="8">
        <v>256.23110307945467</v>
      </c>
      <c r="F529" s="8">
        <v>203.25525383432009</v>
      </c>
      <c r="G529" s="4">
        <v>2736</v>
      </c>
    </row>
    <row r="530" spans="1:7" hidden="1" x14ac:dyDescent="0.2">
      <c r="A530" s="2">
        <v>46001</v>
      </c>
      <c r="B530" s="79" t="s">
        <v>15</v>
      </c>
      <c r="C530" s="79" t="s">
        <v>11</v>
      </c>
      <c r="D530" s="9">
        <v>0.76579200000000003</v>
      </c>
      <c r="E530" s="8">
        <v>250.64742679734582</v>
      </c>
      <c r="F530" s="8">
        <v>191.94374527994032</v>
      </c>
      <c r="G530" s="4">
        <v>1303</v>
      </c>
    </row>
    <row r="531" spans="1:7" hidden="1" x14ac:dyDescent="0.2">
      <c r="A531" s="2">
        <v>46002</v>
      </c>
      <c r="B531" s="79" t="s">
        <v>17</v>
      </c>
      <c r="C531" s="79" t="s">
        <v>11</v>
      </c>
      <c r="D531" s="9">
        <v>0.79483499999999996</v>
      </c>
      <c r="E531" s="8">
        <v>245.95524281524928</v>
      </c>
      <c r="F531" s="8">
        <v>195.49377138594937</v>
      </c>
      <c r="G531" s="4">
        <v>1027</v>
      </c>
    </row>
    <row r="532" spans="1:7" hidden="1" x14ac:dyDescent="0.2">
      <c r="A532" s="2">
        <v>46003</v>
      </c>
      <c r="B532" s="79" t="s">
        <v>19</v>
      </c>
      <c r="C532" s="79" t="s">
        <v>11</v>
      </c>
      <c r="D532" s="9">
        <v>0.89865300000000004</v>
      </c>
      <c r="E532" s="8">
        <v>258.56275302173577</v>
      </c>
      <c r="F532" s="8">
        <v>232.35812736002987</v>
      </c>
      <c r="G532" s="4">
        <v>1669</v>
      </c>
    </row>
    <row r="533" spans="1:7" hidden="1" x14ac:dyDescent="0.2">
      <c r="A533" s="2">
        <v>46004</v>
      </c>
      <c r="B533" s="79" t="s">
        <v>21</v>
      </c>
      <c r="C533" s="79" t="s">
        <v>11</v>
      </c>
      <c r="D533" s="9">
        <v>0.90522599999999998</v>
      </c>
      <c r="E533" s="8">
        <v>263.77608765063292</v>
      </c>
      <c r="F533" s="8">
        <v>238.77693673954548</v>
      </c>
      <c r="G533" s="4">
        <v>2169</v>
      </c>
    </row>
    <row r="534" spans="1:7" hidden="1" x14ac:dyDescent="0.2">
      <c r="A534" s="2">
        <v>46005</v>
      </c>
      <c r="B534" s="79" t="s">
        <v>23</v>
      </c>
      <c r="C534" s="79" t="s">
        <v>11</v>
      </c>
      <c r="D534" s="9">
        <v>0.72695900000000002</v>
      </c>
      <c r="E534" s="8">
        <v>239.77865845838141</v>
      </c>
      <c r="F534" s="8">
        <v>174.30928161857256</v>
      </c>
      <c r="G534">
        <v>834</v>
      </c>
    </row>
    <row r="535" spans="1:7" hidden="1" x14ac:dyDescent="0.2">
      <c r="A535" s="2">
        <v>46006</v>
      </c>
      <c r="B535" s="79" t="s">
        <v>10</v>
      </c>
      <c r="C535" s="79" t="s">
        <v>11</v>
      </c>
      <c r="D535" s="9">
        <v>0.65581999999999996</v>
      </c>
      <c r="E535" s="8">
        <v>231.58130366789877</v>
      </c>
      <c r="F535" s="8">
        <v>151.87570649386973</v>
      </c>
      <c r="G535">
        <v>500</v>
      </c>
    </row>
    <row r="536" spans="1:7" hidden="1" x14ac:dyDescent="0.2">
      <c r="A536" s="2">
        <v>46007</v>
      </c>
      <c r="B536" s="79" t="s">
        <v>13</v>
      </c>
      <c r="C536" s="79" t="s">
        <v>11</v>
      </c>
      <c r="D536" s="9">
        <v>0.60817699999999997</v>
      </c>
      <c r="E536" s="8">
        <v>234.60467652920434</v>
      </c>
      <c r="F536" s="8">
        <v>142.6811155657079</v>
      </c>
      <c r="G536" s="4">
        <v>1400</v>
      </c>
    </row>
    <row r="537" spans="1:7" hidden="1" x14ac:dyDescent="0.2">
      <c r="A537" s="2">
        <v>46008</v>
      </c>
      <c r="B537" s="79" t="s">
        <v>15</v>
      </c>
      <c r="C537" s="79" t="s">
        <v>11</v>
      </c>
      <c r="D537" s="9">
        <v>0.59628899999999996</v>
      </c>
      <c r="E537" s="8">
        <v>227.42831131264168</v>
      </c>
      <c r="F537" s="8">
        <v>135.6130497412708</v>
      </c>
      <c r="G537" s="4">
        <v>2650</v>
      </c>
    </row>
    <row r="538" spans="1:7" hidden="1" x14ac:dyDescent="0.2">
      <c r="A538" s="2">
        <v>46009</v>
      </c>
      <c r="B538" s="79" t="s">
        <v>17</v>
      </c>
      <c r="C538" s="79" t="s">
        <v>11</v>
      </c>
      <c r="D538" s="9">
        <v>0.62929500000000005</v>
      </c>
      <c r="E538" s="8">
        <v>231.29849396251575</v>
      </c>
      <c r="F538" s="8">
        <v>145.55490979441518</v>
      </c>
      <c r="G538" s="4">
        <v>2650</v>
      </c>
    </row>
    <row r="539" spans="1:7" hidden="1" x14ac:dyDescent="0.2">
      <c r="A539" s="2">
        <v>46010</v>
      </c>
      <c r="B539" s="79" t="s">
        <v>19</v>
      </c>
      <c r="C539" s="79" t="s">
        <v>11</v>
      </c>
      <c r="D539" s="9">
        <v>0.77049999999999996</v>
      </c>
      <c r="E539" s="8">
        <v>247.57300338818973</v>
      </c>
      <c r="F539" s="8">
        <v>190.75505104657125</v>
      </c>
      <c r="G539" s="4">
        <v>2600</v>
      </c>
    </row>
    <row r="540" spans="1:7" hidden="1" x14ac:dyDescent="0.2">
      <c r="A540" s="2">
        <v>46011</v>
      </c>
      <c r="B540" s="79" t="s">
        <v>21</v>
      </c>
      <c r="C540" s="79" t="s">
        <v>11</v>
      </c>
      <c r="D540" s="9">
        <v>0.84094000000000002</v>
      </c>
      <c r="E540" s="8">
        <v>262.8463822828316</v>
      </c>
      <c r="F540" s="8">
        <v>221.0379884387674</v>
      </c>
      <c r="G540" s="4">
        <v>1550</v>
      </c>
    </row>
    <row r="541" spans="1:7" hidden="1" x14ac:dyDescent="0.2">
      <c r="A541" s="2">
        <v>46012</v>
      </c>
      <c r="B541" s="79" t="s">
        <v>23</v>
      </c>
      <c r="C541" s="79" t="s">
        <v>11</v>
      </c>
      <c r="D541" s="9">
        <v>0.76462600000000003</v>
      </c>
      <c r="E541" s="8">
        <v>264.85913973905622</v>
      </c>
      <c r="F541" s="8">
        <v>202.51827933429678</v>
      </c>
      <c r="G541">
        <v>350</v>
      </c>
    </row>
    <row r="542" spans="1:7" hidden="1" x14ac:dyDescent="0.2">
      <c r="A542" s="2">
        <v>46013</v>
      </c>
      <c r="B542" s="79" t="s">
        <v>10</v>
      </c>
      <c r="C542" s="79" t="s">
        <v>11</v>
      </c>
      <c r="D542" s="9">
        <v>0.70416299999999998</v>
      </c>
      <c r="E542" s="8">
        <v>262.68812048990401</v>
      </c>
      <c r="F542" s="8">
        <v>184.97524870635402</v>
      </c>
      <c r="G542">
        <v>60</v>
      </c>
    </row>
    <row r="543" spans="1:7" hidden="1" x14ac:dyDescent="0.2">
      <c r="A543" s="2">
        <v>46014</v>
      </c>
      <c r="B543" s="79" t="s">
        <v>13</v>
      </c>
      <c r="C543" s="79" t="s">
        <v>11</v>
      </c>
      <c r="D543" s="9">
        <v>0.615869</v>
      </c>
      <c r="E543" s="8">
        <v>247.93889031867386</v>
      </c>
      <c r="F543" s="8">
        <v>152.6978080275978</v>
      </c>
      <c r="G543">
        <v>5</v>
      </c>
    </row>
    <row r="544" spans="1:7" hidden="1" x14ac:dyDescent="0.2">
      <c r="A544" s="2">
        <v>46015</v>
      </c>
      <c r="B544" s="79" t="s">
        <v>15</v>
      </c>
      <c r="C544" s="79" t="s">
        <v>11</v>
      </c>
      <c r="D544" s="9">
        <v>0.63544800000000001</v>
      </c>
      <c r="E544" s="8">
        <v>250.17095370845865</v>
      </c>
      <c r="F544" s="8">
        <v>158.97068994452474</v>
      </c>
      <c r="G544">
        <v>0</v>
      </c>
    </row>
    <row r="545" spans="1:7" hidden="1" x14ac:dyDescent="0.2">
      <c r="A545" s="2">
        <v>46016</v>
      </c>
      <c r="B545" s="79" t="s">
        <v>17</v>
      </c>
      <c r="C545" s="79" t="s">
        <v>11</v>
      </c>
      <c r="D545" s="9">
        <v>0.73674899999999999</v>
      </c>
      <c r="E545" s="8">
        <v>261.52693178941979</v>
      </c>
      <c r="F545" s="8">
        <v>192.67967134399282</v>
      </c>
      <c r="G545">
        <v>0</v>
      </c>
    </row>
    <row r="546" spans="1:7" hidden="1" x14ac:dyDescent="0.2">
      <c r="A546" s="2">
        <v>46017</v>
      </c>
      <c r="B546" s="79" t="s">
        <v>19</v>
      </c>
      <c r="C546" s="79" t="s">
        <v>11</v>
      </c>
      <c r="D546" s="9">
        <v>0.83968100000000001</v>
      </c>
      <c r="E546" s="8">
        <v>280.77313513213358</v>
      </c>
      <c r="F546" s="8">
        <v>235.75990443335928</v>
      </c>
      <c r="G546">
        <v>0</v>
      </c>
    </row>
    <row r="547" spans="1:7" hidden="1" x14ac:dyDescent="0.2">
      <c r="A547" s="2">
        <v>46018</v>
      </c>
      <c r="B547" s="79" t="s">
        <v>21</v>
      </c>
      <c r="C547" s="79" t="s">
        <v>11</v>
      </c>
      <c r="D547" s="9">
        <v>0.90023799999999998</v>
      </c>
      <c r="E547" s="8">
        <v>293.00571125265395</v>
      </c>
      <c r="F547" s="8">
        <v>263.7748025733066</v>
      </c>
      <c r="G547">
        <v>0</v>
      </c>
    </row>
    <row r="548" spans="1:7" hidden="1" x14ac:dyDescent="0.2">
      <c r="A548" s="2">
        <v>46019</v>
      </c>
      <c r="B548" s="79" t="s">
        <v>23</v>
      </c>
      <c r="C548" s="79" t="s">
        <v>11</v>
      </c>
      <c r="D548" s="9">
        <v>0.87040200000000001</v>
      </c>
      <c r="E548" s="8">
        <v>292.53680895506398</v>
      </c>
      <c r="F548" s="8">
        <v>254.6247149317048</v>
      </c>
      <c r="G548">
        <v>0</v>
      </c>
    </row>
    <row r="549" spans="1:7" hidden="1" x14ac:dyDescent="0.2">
      <c r="A549" s="2">
        <v>46020</v>
      </c>
      <c r="B549" s="79" t="s">
        <v>10</v>
      </c>
      <c r="C549" s="79" t="s">
        <v>11</v>
      </c>
      <c r="D549" s="9">
        <v>0.85473900000000003</v>
      </c>
      <c r="E549" s="8">
        <v>292.21075920370873</v>
      </c>
      <c r="F549" s="8">
        <v>249.76384644072536</v>
      </c>
      <c r="G549">
        <v>0</v>
      </c>
    </row>
    <row r="550" spans="1:7" hidden="1" x14ac:dyDescent="0.2">
      <c r="A550" s="2">
        <v>46021</v>
      </c>
      <c r="B550" s="79" t="s">
        <v>13</v>
      </c>
      <c r="C550" s="79" t="s">
        <v>11</v>
      </c>
      <c r="D550" s="9">
        <v>0.80369199999999996</v>
      </c>
      <c r="E550" s="8">
        <v>289.59585092807424</v>
      </c>
      <c r="F550" s="8">
        <v>232.74590788308237</v>
      </c>
      <c r="G550">
        <v>0</v>
      </c>
    </row>
    <row r="551" spans="1:7" hidden="1" x14ac:dyDescent="0.2">
      <c r="A551" s="2">
        <v>46022</v>
      </c>
      <c r="B551" s="79" t="s">
        <v>15</v>
      </c>
      <c r="C551" s="79" t="s">
        <v>11</v>
      </c>
      <c r="D551" s="9">
        <v>0.88000599999999995</v>
      </c>
      <c r="E551" s="8">
        <v>299.9569894580701</v>
      </c>
      <c r="F551" s="8">
        <v>263.96382872593301</v>
      </c>
      <c r="G551">
        <v>3</v>
      </c>
    </row>
    <row r="552" spans="1:7" hidden="1" x14ac:dyDescent="0.2">
      <c r="A552" s="2">
        <v>46023</v>
      </c>
      <c r="B552" s="79" t="s">
        <v>17</v>
      </c>
      <c r="C552" s="79" t="s">
        <v>11</v>
      </c>
      <c r="D552" s="10"/>
      <c r="E552" s="11"/>
      <c r="F552" s="11"/>
      <c r="G552">
        <v>172</v>
      </c>
    </row>
    <row r="553" spans="1:7" hidden="1" x14ac:dyDescent="0.2">
      <c r="A553" s="2">
        <v>46024</v>
      </c>
      <c r="B553" s="79" t="s">
        <v>19</v>
      </c>
      <c r="C553" s="79" t="s">
        <v>11</v>
      </c>
      <c r="D553" s="10"/>
      <c r="E553" s="11"/>
      <c r="F553" s="11"/>
      <c r="G553">
        <v>722</v>
      </c>
    </row>
    <row r="554" spans="1:7" hidden="1" x14ac:dyDescent="0.2">
      <c r="A554" s="2">
        <v>46025</v>
      </c>
      <c r="B554" s="79" t="s">
        <v>21</v>
      </c>
      <c r="C554" s="79" t="s">
        <v>11</v>
      </c>
      <c r="D554" s="10"/>
      <c r="E554" s="11"/>
      <c r="F554" s="11"/>
      <c r="G554">
        <v>722</v>
      </c>
    </row>
    <row r="555" spans="1:7" hidden="1" x14ac:dyDescent="0.2">
      <c r="A555" s="2">
        <v>46026</v>
      </c>
      <c r="B555" s="79" t="s">
        <v>23</v>
      </c>
      <c r="C555" s="79" t="s">
        <v>11</v>
      </c>
      <c r="D555" s="10"/>
      <c r="E555" s="11"/>
      <c r="F555" s="11"/>
      <c r="G555">
        <v>497</v>
      </c>
    </row>
    <row r="556" spans="1:7" hidden="1" x14ac:dyDescent="0.2">
      <c r="A556" s="2">
        <v>46027</v>
      </c>
      <c r="B556" s="79" t="s">
        <v>10</v>
      </c>
      <c r="C556" s="79" t="s">
        <v>11</v>
      </c>
      <c r="D556" s="10"/>
      <c r="E556" s="11"/>
      <c r="F556" s="11"/>
      <c r="G556">
        <v>322</v>
      </c>
    </row>
    <row r="557" spans="1:7" hidden="1" x14ac:dyDescent="0.2">
      <c r="A557" s="2">
        <v>46028</v>
      </c>
      <c r="B557" s="79" t="s">
        <v>13</v>
      </c>
      <c r="C557" s="79" t="s">
        <v>11</v>
      </c>
      <c r="D557" s="10"/>
      <c r="E557" s="11"/>
      <c r="F557" s="11"/>
      <c r="G557">
        <v>890</v>
      </c>
    </row>
    <row r="558" spans="1:7" hidden="1" x14ac:dyDescent="0.2">
      <c r="A558" s="2">
        <v>46029</v>
      </c>
      <c r="B558" s="79" t="s">
        <v>15</v>
      </c>
      <c r="C558" s="79" t="s">
        <v>11</v>
      </c>
      <c r="D558" s="10"/>
      <c r="E558" s="11"/>
      <c r="F558" s="11"/>
      <c r="G558" s="4">
        <v>1140</v>
      </c>
    </row>
    <row r="559" spans="1:7" hidden="1" x14ac:dyDescent="0.2">
      <c r="A559" s="2">
        <v>46030</v>
      </c>
      <c r="B559" s="79" t="s">
        <v>17</v>
      </c>
      <c r="C559" s="79" t="s">
        <v>11</v>
      </c>
      <c r="D559" s="10"/>
      <c r="E559" s="11"/>
      <c r="F559" s="11"/>
      <c r="G559" s="4">
        <v>1145</v>
      </c>
    </row>
    <row r="560" spans="1:7" hidden="1" x14ac:dyDescent="0.2">
      <c r="A560" s="2">
        <v>46031</v>
      </c>
      <c r="B560" s="79" t="s">
        <v>19</v>
      </c>
      <c r="C560" s="79" t="s">
        <v>11</v>
      </c>
      <c r="D560" s="10"/>
      <c r="E560" s="11"/>
      <c r="F560" s="11"/>
      <c r="G560" s="4">
        <v>2454</v>
      </c>
    </row>
    <row r="561" spans="1:7" hidden="1" x14ac:dyDescent="0.2">
      <c r="A561" s="2">
        <v>46032</v>
      </c>
      <c r="B561" s="79" t="s">
        <v>21</v>
      </c>
      <c r="C561" s="79" t="s">
        <v>11</v>
      </c>
      <c r="D561" s="10"/>
      <c r="E561" s="11"/>
      <c r="F561" s="11"/>
      <c r="G561" s="4">
        <v>3418</v>
      </c>
    </row>
    <row r="562" spans="1:7" hidden="1" x14ac:dyDescent="0.2">
      <c r="A562" s="2">
        <v>46033</v>
      </c>
      <c r="B562" s="79" t="s">
        <v>23</v>
      </c>
      <c r="C562" s="79" t="s">
        <v>11</v>
      </c>
      <c r="D562" s="10"/>
      <c r="E562" s="11"/>
      <c r="F562" s="11"/>
      <c r="G562" s="4">
        <v>3410</v>
      </c>
    </row>
    <row r="563" spans="1:7" hidden="1" x14ac:dyDescent="0.2">
      <c r="A563" s="2">
        <v>46034</v>
      </c>
      <c r="B563" s="79" t="s">
        <v>10</v>
      </c>
      <c r="C563" s="79" t="s">
        <v>11</v>
      </c>
      <c r="D563" s="10"/>
      <c r="E563" s="11"/>
      <c r="F563" s="11"/>
      <c r="G563" s="4">
        <v>2580</v>
      </c>
    </row>
    <row r="564" spans="1:7" hidden="1" x14ac:dyDescent="0.2">
      <c r="A564" s="2">
        <v>46035</v>
      </c>
      <c r="B564" s="79" t="s">
        <v>13</v>
      </c>
      <c r="C564" s="79" t="s">
        <v>11</v>
      </c>
      <c r="D564" s="10"/>
      <c r="E564" s="11"/>
      <c r="F564" s="11"/>
      <c r="G564" s="4">
        <v>1680</v>
      </c>
    </row>
    <row r="565" spans="1:7" hidden="1" x14ac:dyDescent="0.2">
      <c r="A565" s="2">
        <v>46036</v>
      </c>
      <c r="B565" s="79" t="s">
        <v>15</v>
      </c>
      <c r="C565" s="79" t="s">
        <v>11</v>
      </c>
      <c r="D565" s="10"/>
      <c r="E565" s="11"/>
      <c r="F565" s="11"/>
      <c r="G565">
        <v>163</v>
      </c>
    </row>
    <row r="566" spans="1:7" hidden="1" x14ac:dyDescent="0.2">
      <c r="A566" s="2">
        <v>46037</v>
      </c>
      <c r="B566" s="79" t="s">
        <v>17</v>
      </c>
      <c r="C566" s="79" t="s">
        <v>11</v>
      </c>
      <c r="D566" s="10"/>
      <c r="E566" s="11"/>
      <c r="F566" s="11"/>
      <c r="G566">
        <v>181</v>
      </c>
    </row>
    <row r="567" spans="1:7" hidden="1" x14ac:dyDescent="0.2">
      <c r="A567" s="2">
        <v>46038</v>
      </c>
      <c r="B567" s="79" t="s">
        <v>19</v>
      </c>
      <c r="C567" s="79" t="s">
        <v>11</v>
      </c>
      <c r="D567" s="10"/>
      <c r="E567" s="11"/>
      <c r="F567" s="11"/>
      <c r="G567">
        <v>451</v>
      </c>
    </row>
    <row r="568" spans="1:7" hidden="1" x14ac:dyDescent="0.2">
      <c r="A568" s="2">
        <v>46039</v>
      </c>
      <c r="B568" s="79" t="s">
        <v>21</v>
      </c>
      <c r="C568" s="79" t="s">
        <v>11</v>
      </c>
      <c r="D568" s="10"/>
      <c r="E568" s="11"/>
      <c r="F568" s="11"/>
      <c r="G568">
        <v>683</v>
      </c>
    </row>
    <row r="569" spans="1:7" hidden="1" x14ac:dyDescent="0.2">
      <c r="A569" s="2">
        <v>46040</v>
      </c>
      <c r="B569" s="79" t="s">
        <v>23</v>
      </c>
      <c r="C569" s="79" t="s">
        <v>11</v>
      </c>
      <c r="D569" s="10"/>
      <c r="E569" s="11"/>
      <c r="F569" s="11"/>
      <c r="G569" s="4">
        <v>1145</v>
      </c>
    </row>
    <row r="570" spans="1:7" hidden="1" x14ac:dyDescent="0.2">
      <c r="A570" s="2">
        <v>46041</v>
      </c>
      <c r="B570" s="79" t="s">
        <v>10</v>
      </c>
      <c r="C570" s="79" t="s">
        <v>11</v>
      </c>
      <c r="D570" s="10"/>
      <c r="E570" s="11"/>
      <c r="F570" s="11"/>
      <c r="G570" s="4">
        <v>1741</v>
      </c>
    </row>
    <row r="571" spans="1:7" hidden="1" x14ac:dyDescent="0.2">
      <c r="A571" s="2">
        <v>46042</v>
      </c>
      <c r="B571" s="79" t="s">
        <v>13</v>
      </c>
      <c r="C571" s="79" t="s">
        <v>11</v>
      </c>
      <c r="D571" s="10"/>
      <c r="E571" s="11"/>
      <c r="F571" s="11"/>
      <c r="G571" s="4">
        <v>3350</v>
      </c>
    </row>
    <row r="572" spans="1:7" hidden="1" x14ac:dyDescent="0.2">
      <c r="A572" s="2">
        <v>46043</v>
      </c>
      <c r="B572" s="79" t="s">
        <v>15</v>
      </c>
      <c r="C572" s="79" t="s">
        <v>11</v>
      </c>
      <c r="D572" s="10"/>
      <c r="E572" s="11"/>
      <c r="F572" s="11"/>
      <c r="G572" s="4">
        <v>5541</v>
      </c>
    </row>
    <row r="573" spans="1:7" hidden="1" x14ac:dyDescent="0.2">
      <c r="A573" s="2">
        <v>46044</v>
      </c>
      <c r="B573" s="79" t="s">
        <v>17</v>
      </c>
      <c r="C573" s="79" t="s">
        <v>11</v>
      </c>
      <c r="D573" s="10"/>
      <c r="E573" s="11"/>
      <c r="F573" s="11"/>
      <c r="G573" s="4">
        <v>6510</v>
      </c>
    </row>
    <row r="574" spans="1:7" hidden="1" x14ac:dyDescent="0.2">
      <c r="A574" s="2">
        <v>46045</v>
      </c>
      <c r="B574" s="79" t="s">
        <v>19</v>
      </c>
      <c r="C574" s="79" t="s">
        <v>11</v>
      </c>
      <c r="D574" s="10"/>
      <c r="E574" s="11"/>
      <c r="F574" s="11"/>
      <c r="G574" s="4">
        <v>5338</v>
      </c>
    </row>
    <row r="575" spans="1:7" hidden="1" x14ac:dyDescent="0.2">
      <c r="A575" s="2">
        <v>46046</v>
      </c>
      <c r="B575" s="79" t="s">
        <v>21</v>
      </c>
      <c r="C575" s="79" t="s">
        <v>11</v>
      </c>
      <c r="D575" s="10"/>
      <c r="E575" s="11"/>
      <c r="F575" s="11"/>
      <c r="G575" s="4">
        <v>4159</v>
      </c>
    </row>
    <row r="576" spans="1:7" hidden="1" x14ac:dyDescent="0.2">
      <c r="A576" s="2">
        <v>46047</v>
      </c>
      <c r="B576" s="79" t="s">
        <v>23</v>
      </c>
      <c r="C576" s="79" t="s">
        <v>11</v>
      </c>
      <c r="D576" s="10"/>
      <c r="E576" s="11"/>
      <c r="F576" s="11"/>
      <c r="G576">
        <v>926</v>
      </c>
    </row>
    <row r="577" spans="1:7" hidden="1" x14ac:dyDescent="0.2">
      <c r="A577" s="2">
        <v>46048</v>
      </c>
      <c r="B577" s="79" t="s">
        <v>10</v>
      </c>
      <c r="C577" s="79" t="s">
        <v>11</v>
      </c>
      <c r="D577" s="10"/>
      <c r="E577" s="11"/>
      <c r="F577" s="11"/>
      <c r="G577" s="4">
        <v>1813</v>
      </c>
    </row>
    <row r="578" spans="1:7" hidden="1" x14ac:dyDescent="0.2">
      <c r="A578" s="2">
        <v>46049</v>
      </c>
      <c r="B578" s="79" t="s">
        <v>13</v>
      </c>
      <c r="C578" s="79" t="s">
        <v>11</v>
      </c>
      <c r="D578" s="10"/>
      <c r="E578" s="11"/>
      <c r="F578" s="11"/>
      <c r="G578" s="4">
        <v>1996</v>
      </c>
    </row>
    <row r="579" spans="1:7" hidden="1" x14ac:dyDescent="0.2">
      <c r="A579" s="2">
        <v>46050</v>
      </c>
      <c r="B579" s="79" t="s">
        <v>15</v>
      </c>
      <c r="C579" s="79" t="s">
        <v>11</v>
      </c>
      <c r="D579" s="10"/>
      <c r="E579" s="11"/>
      <c r="F579" s="11"/>
      <c r="G579" s="4">
        <v>2031</v>
      </c>
    </row>
    <row r="580" spans="1:7" hidden="1" x14ac:dyDescent="0.2">
      <c r="A580" s="2">
        <v>46051</v>
      </c>
      <c r="B580" s="79" t="s">
        <v>17</v>
      </c>
      <c r="C580" s="79" t="s">
        <v>11</v>
      </c>
      <c r="D580" s="10"/>
      <c r="E580" s="11"/>
      <c r="F580" s="11"/>
      <c r="G580" s="4">
        <v>1988</v>
      </c>
    </row>
    <row r="581" spans="1:7" hidden="1" x14ac:dyDescent="0.2">
      <c r="A581" s="2">
        <v>46052</v>
      </c>
      <c r="B581" s="79" t="s">
        <v>19</v>
      </c>
      <c r="C581" s="79" t="s">
        <v>11</v>
      </c>
      <c r="D581" s="10"/>
      <c r="E581" s="11"/>
      <c r="F581" s="11"/>
      <c r="G581">
        <v>325</v>
      </c>
    </row>
    <row r="582" spans="1:7" hidden="1" x14ac:dyDescent="0.2">
      <c r="A582" s="2">
        <v>46053</v>
      </c>
      <c r="B582" s="79" t="s">
        <v>21</v>
      </c>
      <c r="C582" s="79" t="s">
        <v>11</v>
      </c>
      <c r="D582" s="10"/>
      <c r="E582" s="11"/>
      <c r="F582" s="11"/>
      <c r="G582">
        <v>757</v>
      </c>
    </row>
    <row r="583" spans="1:7" hidden="1" x14ac:dyDescent="0.2">
      <c r="A583" s="2">
        <v>46054</v>
      </c>
      <c r="B583" s="79" t="s">
        <v>23</v>
      </c>
      <c r="C583" s="79" t="s">
        <v>11</v>
      </c>
      <c r="D583" s="10"/>
      <c r="E583" s="11"/>
      <c r="F583" s="11"/>
      <c r="G583" s="4">
        <v>1891</v>
      </c>
    </row>
    <row r="584" spans="1:7" hidden="1" x14ac:dyDescent="0.2">
      <c r="A584" s="2">
        <v>46055</v>
      </c>
      <c r="B584" s="79" t="s">
        <v>10</v>
      </c>
      <c r="C584" s="79" t="s">
        <v>11</v>
      </c>
      <c r="D584" s="10"/>
      <c r="E584" s="11"/>
      <c r="F584" s="11"/>
      <c r="G584" s="4">
        <v>4180</v>
      </c>
    </row>
    <row r="585" spans="1:7" hidden="1" x14ac:dyDescent="0.2">
      <c r="A585" s="2">
        <v>46056</v>
      </c>
      <c r="B585" s="79" t="s">
        <v>13</v>
      </c>
      <c r="C585" s="79" t="s">
        <v>11</v>
      </c>
      <c r="D585" s="10"/>
      <c r="E585" s="11"/>
      <c r="F585" s="11"/>
      <c r="G585" s="4">
        <v>4515</v>
      </c>
    </row>
    <row r="586" spans="1:7" hidden="1" x14ac:dyDescent="0.2">
      <c r="A586" s="2">
        <v>46057</v>
      </c>
      <c r="B586" s="79" t="s">
        <v>15</v>
      </c>
      <c r="C586" s="79" t="s">
        <v>11</v>
      </c>
      <c r="D586" s="10"/>
      <c r="E586" s="11"/>
      <c r="F586" s="11"/>
      <c r="G586" s="4">
        <v>4136</v>
      </c>
    </row>
    <row r="587" spans="1:7" hidden="1" x14ac:dyDescent="0.2">
      <c r="A587" s="2">
        <v>46058</v>
      </c>
      <c r="B587" s="79" t="s">
        <v>17</v>
      </c>
      <c r="C587" s="79" t="s">
        <v>11</v>
      </c>
      <c r="D587" s="10"/>
      <c r="E587" s="11"/>
      <c r="F587" s="11"/>
      <c r="G587" s="4">
        <v>2023</v>
      </c>
    </row>
    <row r="588" spans="1:7" hidden="1" x14ac:dyDescent="0.2">
      <c r="A588" s="2">
        <v>46059</v>
      </c>
      <c r="B588" s="79" t="s">
        <v>19</v>
      </c>
      <c r="C588" s="79" t="s">
        <v>11</v>
      </c>
      <c r="D588" s="10"/>
      <c r="E588" s="11"/>
      <c r="F588" s="11"/>
      <c r="G588">
        <v>310</v>
      </c>
    </row>
    <row r="589" spans="1:7" hidden="1" x14ac:dyDescent="0.2">
      <c r="A589" s="2">
        <v>46060</v>
      </c>
      <c r="B589" s="79" t="s">
        <v>21</v>
      </c>
      <c r="C589" s="79" t="s">
        <v>11</v>
      </c>
      <c r="D589" s="10"/>
      <c r="E589" s="11"/>
      <c r="F589" s="11"/>
      <c r="G589">
        <v>165</v>
      </c>
    </row>
    <row r="590" spans="1:7" hidden="1" x14ac:dyDescent="0.2">
      <c r="A590" s="2">
        <v>46061</v>
      </c>
      <c r="B590" s="79" t="s">
        <v>23</v>
      </c>
      <c r="C590" s="79" t="s">
        <v>11</v>
      </c>
      <c r="D590" s="10"/>
      <c r="E590" s="11"/>
      <c r="F590" s="11"/>
      <c r="G590">
        <v>165</v>
      </c>
    </row>
    <row r="591" spans="1:7" hidden="1" x14ac:dyDescent="0.2">
      <c r="A591" s="2">
        <v>46062</v>
      </c>
      <c r="B591" s="79" t="s">
        <v>10</v>
      </c>
      <c r="C591" s="79" t="s">
        <v>11</v>
      </c>
      <c r="D591" s="10"/>
      <c r="E591" s="11"/>
      <c r="F591" s="11"/>
      <c r="G591">
        <v>880</v>
      </c>
    </row>
    <row r="592" spans="1:7" hidden="1" x14ac:dyDescent="0.2">
      <c r="A592" s="2">
        <v>46063</v>
      </c>
      <c r="B592" s="79" t="s">
        <v>13</v>
      </c>
      <c r="C592" s="79" t="s">
        <v>11</v>
      </c>
      <c r="D592" s="10"/>
      <c r="E592" s="11"/>
      <c r="F592" s="11"/>
      <c r="G592" s="4">
        <v>3035</v>
      </c>
    </row>
    <row r="593" spans="1:7" hidden="1" x14ac:dyDescent="0.2">
      <c r="A593" s="2">
        <v>46064</v>
      </c>
      <c r="B593" s="79" t="s">
        <v>15</v>
      </c>
      <c r="C593" s="79" t="s">
        <v>11</v>
      </c>
      <c r="D593" s="10"/>
      <c r="E593" s="11"/>
      <c r="F593" s="11"/>
      <c r="G593" s="4">
        <v>5525</v>
      </c>
    </row>
    <row r="594" spans="1:7" hidden="1" x14ac:dyDescent="0.2">
      <c r="A594" s="2">
        <v>46065</v>
      </c>
      <c r="B594" s="79" t="s">
        <v>17</v>
      </c>
      <c r="C594" s="79" t="s">
        <v>11</v>
      </c>
      <c r="D594" s="10"/>
      <c r="E594" s="11"/>
      <c r="F594" s="11"/>
      <c r="G594" s="4">
        <v>5550</v>
      </c>
    </row>
    <row r="595" spans="1:7" hidden="1" x14ac:dyDescent="0.2">
      <c r="A595" s="2">
        <v>46066</v>
      </c>
      <c r="B595" s="79" t="s">
        <v>19</v>
      </c>
      <c r="C595" s="79" t="s">
        <v>11</v>
      </c>
      <c r="D595" s="10"/>
      <c r="E595" s="11"/>
      <c r="F595" s="11"/>
      <c r="G595" s="4">
        <v>5533</v>
      </c>
    </row>
    <row r="596" spans="1:7" hidden="1" x14ac:dyDescent="0.2">
      <c r="A596" s="2">
        <v>46067</v>
      </c>
      <c r="B596" s="79" t="s">
        <v>21</v>
      </c>
      <c r="C596" s="79" t="s">
        <v>11</v>
      </c>
      <c r="D596" s="10"/>
      <c r="E596" s="11"/>
      <c r="F596" s="11"/>
      <c r="G596" s="4">
        <v>2815</v>
      </c>
    </row>
    <row r="597" spans="1:7" hidden="1" x14ac:dyDescent="0.2">
      <c r="A597" s="2">
        <v>46068</v>
      </c>
      <c r="B597" s="79" t="s">
        <v>23</v>
      </c>
      <c r="C597" s="79" t="s">
        <v>11</v>
      </c>
      <c r="D597" s="10"/>
      <c r="E597" s="11"/>
      <c r="F597" s="11"/>
      <c r="G597" s="4">
        <v>1435</v>
      </c>
    </row>
    <row r="598" spans="1:7" hidden="1" x14ac:dyDescent="0.2">
      <c r="A598" s="2">
        <v>46069</v>
      </c>
      <c r="B598" s="79" t="s">
        <v>10</v>
      </c>
      <c r="C598" s="79" t="s">
        <v>11</v>
      </c>
      <c r="D598" s="10"/>
      <c r="E598" s="11"/>
      <c r="F598" s="11"/>
      <c r="G598" s="4">
        <v>1880</v>
      </c>
    </row>
    <row r="599" spans="1:7" hidden="1" x14ac:dyDescent="0.2">
      <c r="A599" s="2">
        <v>46070</v>
      </c>
      <c r="B599" s="79" t="s">
        <v>13</v>
      </c>
      <c r="C599" s="79" t="s">
        <v>11</v>
      </c>
      <c r="D599" s="10"/>
      <c r="E599" s="11"/>
      <c r="F599" s="11"/>
      <c r="G599" s="4">
        <v>2250</v>
      </c>
    </row>
    <row r="600" spans="1:7" hidden="1" x14ac:dyDescent="0.2">
      <c r="A600" s="2">
        <v>46071</v>
      </c>
      <c r="B600" s="79" t="s">
        <v>15</v>
      </c>
      <c r="C600" s="79" t="s">
        <v>11</v>
      </c>
      <c r="D600" s="10"/>
      <c r="E600" s="11"/>
      <c r="F600" s="11"/>
      <c r="G600" s="4">
        <v>2097</v>
      </c>
    </row>
    <row r="601" spans="1:7" hidden="1" x14ac:dyDescent="0.2">
      <c r="A601" s="2">
        <v>46072</v>
      </c>
      <c r="B601" s="79" t="s">
        <v>17</v>
      </c>
      <c r="C601" s="79" t="s">
        <v>11</v>
      </c>
      <c r="D601" s="10"/>
      <c r="E601" s="11"/>
      <c r="F601" s="11"/>
      <c r="G601" s="4">
        <v>4250</v>
      </c>
    </row>
    <row r="602" spans="1:7" hidden="1" x14ac:dyDescent="0.2">
      <c r="A602" s="2">
        <v>46073</v>
      </c>
      <c r="B602" s="79" t="s">
        <v>19</v>
      </c>
      <c r="C602" s="79" t="s">
        <v>11</v>
      </c>
      <c r="D602" s="10"/>
      <c r="E602" s="11"/>
      <c r="F602" s="11"/>
      <c r="G602" s="4">
        <v>5270</v>
      </c>
    </row>
    <row r="603" spans="1:7" hidden="1" x14ac:dyDescent="0.2">
      <c r="A603" s="2">
        <v>46074</v>
      </c>
      <c r="B603" s="79" t="s">
        <v>21</v>
      </c>
      <c r="C603" s="79" t="s">
        <v>11</v>
      </c>
      <c r="D603" s="10"/>
      <c r="E603" s="11"/>
      <c r="F603" s="11"/>
      <c r="G603" s="4">
        <v>4368</v>
      </c>
    </row>
    <row r="604" spans="1:7" hidden="1" x14ac:dyDescent="0.2">
      <c r="A604" s="2">
        <v>46075</v>
      </c>
      <c r="B604" s="79" t="s">
        <v>23</v>
      </c>
      <c r="C604" s="79" t="s">
        <v>11</v>
      </c>
      <c r="D604" s="10"/>
      <c r="E604" s="11"/>
      <c r="F604" s="11"/>
      <c r="G604" s="4">
        <v>1418</v>
      </c>
    </row>
    <row r="605" spans="1:7" hidden="1" x14ac:dyDescent="0.2">
      <c r="A605" s="2">
        <v>46076</v>
      </c>
      <c r="B605" s="79" t="s">
        <v>10</v>
      </c>
      <c r="C605" s="79" t="s">
        <v>11</v>
      </c>
      <c r="D605" s="10"/>
      <c r="E605" s="11"/>
      <c r="F605" s="11"/>
      <c r="G605" s="4">
        <v>1634</v>
      </c>
    </row>
    <row r="606" spans="1:7" hidden="1" x14ac:dyDescent="0.2">
      <c r="A606" s="2">
        <v>46077</v>
      </c>
      <c r="B606" s="79" t="s">
        <v>13</v>
      </c>
      <c r="C606" s="79" t="s">
        <v>11</v>
      </c>
      <c r="D606" s="10"/>
      <c r="E606" s="11"/>
      <c r="F606" s="11"/>
      <c r="G606" s="4">
        <v>1302</v>
      </c>
    </row>
    <row r="607" spans="1:7" hidden="1" x14ac:dyDescent="0.2">
      <c r="A607" s="2">
        <v>46078</v>
      </c>
      <c r="B607" s="79" t="s">
        <v>15</v>
      </c>
      <c r="C607" s="79" t="s">
        <v>11</v>
      </c>
      <c r="D607" s="10"/>
      <c r="E607" s="11"/>
      <c r="F607" s="11"/>
      <c r="G607" s="4">
        <v>1017</v>
      </c>
    </row>
    <row r="608" spans="1:7" hidden="1" x14ac:dyDescent="0.2">
      <c r="A608" s="2">
        <v>46079</v>
      </c>
      <c r="B608" s="79" t="s">
        <v>17</v>
      </c>
      <c r="C608" s="79" t="s">
        <v>11</v>
      </c>
      <c r="D608" s="10"/>
      <c r="E608" s="11"/>
      <c r="F608" s="11"/>
      <c r="G608">
        <v>632</v>
      </c>
    </row>
    <row r="609" spans="1:7" hidden="1" x14ac:dyDescent="0.2">
      <c r="A609" s="2">
        <v>46080</v>
      </c>
      <c r="B609" s="79" t="s">
        <v>19</v>
      </c>
      <c r="C609" s="79" t="s">
        <v>11</v>
      </c>
      <c r="D609" s="10"/>
      <c r="E609" s="11"/>
      <c r="F609" s="11"/>
      <c r="G609">
        <v>669</v>
      </c>
    </row>
    <row r="610" spans="1:7" hidden="1" x14ac:dyDescent="0.2">
      <c r="A610" s="2">
        <v>46081</v>
      </c>
      <c r="B610" s="79" t="s">
        <v>21</v>
      </c>
      <c r="C610" s="79" t="s">
        <v>11</v>
      </c>
      <c r="D610" s="10"/>
      <c r="E610" s="11"/>
      <c r="F610" s="11"/>
      <c r="G610" s="4">
        <v>1083</v>
      </c>
    </row>
    <row r="611" spans="1:7" hidden="1" x14ac:dyDescent="0.2">
      <c r="A611" s="2">
        <v>46082</v>
      </c>
      <c r="B611" s="79" t="s">
        <v>23</v>
      </c>
      <c r="C611" s="79" t="s">
        <v>11</v>
      </c>
      <c r="D611" s="10"/>
      <c r="E611" s="11"/>
      <c r="F611" s="11"/>
      <c r="G611" s="4">
        <v>2113</v>
      </c>
    </row>
    <row r="612" spans="1:7" hidden="1" x14ac:dyDescent="0.2">
      <c r="A612" s="2">
        <v>46083</v>
      </c>
      <c r="B612" s="79" t="s">
        <v>10</v>
      </c>
      <c r="C612" s="79" t="s">
        <v>11</v>
      </c>
      <c r="D612" s="10"/>
      <c r="E612" s="11"/>
      <c r="F612" s="11"/>
      <c r="G612" s="4">
        <v>8825</v>
      </c>
    </row>
    <row r="613" spans="1:7" hidden="1" x14ac:dyDescent="0.2">
      <c r="A613" s="2">
        <v>46084</v>
      </c>
      <c r="B613" s="79" t="s">
        <v>13</v>
      </c>
      <c r="C613" s="79" t="s">
        <v>11</v>
      </c>
      <c r="D613" s="10"/>
      <c r="E613" s="11"/>
      <c r="F613" s="11"/>
      <c r="G613" s="4">
        <v>14040</v>
      </c>
    </row>
    <row r="614" spans="1:7" hidden="1" x14ac:dyDescent="0.2">
      <c r="A614" s="2">
        <v>46085</v>
      </c>
      <c r="B614" s="79" t="s">
        <v>15</v>
      </c>
      <c r="C614" s="79" t="s">
        <v>11</v>
      </c>
      <c r="D614" s="10"/>
      <c r="E614" s="11"/>
      <c r="F614" s="11"/>
      <c r="G614" s="4">
        <v>14090</v>
      </c>
    </row>
    <row r="615" spans="1:7" hidden="1" x14ac:dyDescent="0.2">
      <c r="A615" s="2">
        <v>46086</v>
      </c>
      <c r="B615" s="79" t="s">
        <v>17</v>
      </c>
      <c r="C615" s="79" t="s">
        <v>11</v>
      </c>
      <c r="D615" s="10"/>
      <c r="E615" s="11"/>
      <c r="F615" s="11"/>
      <c r="G615" s="4">
        <v>13390</v>
      </c>
    </row>
    <row r="616" spans="1:7" hidden="1" x14ac:dyDescent="0.2">
      <c r="A616" s="2">
        <v>46087</v>
      </c>
      <c r="B616" s="79" t="s">
        <v>19</v>
      </c>
      <c r="C616" s="79" t="s">
        <v>11</v>
      </c>
      <c r="D616" s="10"/>
      <c r="E616" s="11"/>
      <c r="F616" s="11"/>
      <c r="G616" s="4">
        <v>4950</v>
      </c>
    </row>
    <row r="617" spans="1:7" hidden="1" x14ac:dyDescent="0.2">
      <c r="A617" s="2">
        <v>46088</v>
      </c>
      <c r="B617" s="79" t="s">
        <v>21</v>
      </c>
      <c r="C617" s="79" t="s">
        <v>11</v>
      </c>
      <c r="D617" s="10"/>
      <c r="E617" s="11"/>
      <c r="F617" s="11"/>
      <c r="G617">
        <v>710</v>
      </c>
    </row>
    <row r="618" spans="1:7" hidden="1" x14ac:dyDescent="0.2">
      <c r="A618" s="2">
        <v>46089</v>
      </c>
      <c r="B618" s="79" t="s">
        <v>23</v>
      </c>
      <c r="C618" s="79" t="s">
        <v>11</v>
      </c>
      <c r="D618" s="10"/>
      <c r="E618" s="11"/>
      <c r="F618" s="11"/>
      <c r="G618">
        <v>140</v>
      </c>
    </row>
    <row r="619" spans="1:7" hidden="1" x14ac:dyDescent="0.2">
      <c r="A619" s="2">
        <v>46090</v>
      </c>
      <c r="B619" s="79" t="s">
        <v>10</v>
      </c>
      <c r="C619" s="79" t="s">
        <v>11</v>
      </c>
      <c r="D619" s="10"/>
      <c r="E619" s="11"/>
      <c r="F619" s="11"/>
      <c r="G619">
        <v>60</v>
      </c>
    </row>
    <row r="620" spans="1:7" hidden="1" x14ac:dyDescent="0.2">
      <c r="A620" s="2">
        <v>46091</v>
      </c>
      <c r="B620" s="79" t="s">
        <v>13</v>
      </c>
      <c r="C620" s="79" t="s">
        <v>11</v>
      </c>
      <c r="D620" s="10"/>
      <c r="E620" s="11"/>
      <c r="F620" s="11"/>
      <c r="G620">
        <v>296</v>
      </c>
    </row>
    <row r="621" spans="1:7" hidden="1" x14ac:dyDescent="0.2">
      <c r="A621" s="2">
        <v>46092</v>
      </c>
      <c r="B621" s="79" t="s">
        <v>15</v>
      </c>
      <c r="C621" s="79" t="s">
        <v>11</v>
      </c>
      <c r="D621" s="10"/>
      <c r="E621" s="11"/>
      <c r="F621" s="11"/>
      <c r="G621">
        <v>511</v>
      </c>
    </row>
    <row r="622" spans="1:7" hidden="1" x14ac:dyDescent="0.2">
      <c r="A622" s="2">
        <v>46093</v>
      </c>
      <c r="B622" s="79" t="s">
        <v>17</v>
      </c>
      <c r="C622" s="79" t="s">
        <v>11</v>
      </c>
      <c r="D622" s="10"/>
      <c r="E622" s="11"/>
      <c r="F622" s="11"/>
      <c r="G622">
        <v>965</v>
      </c>
    </row>
    <row r="623" spans="1:7" hidden="1" x14ac:dyDescent="0.2">
      <c r="A623" s="2">
        <v>46094</v>
      </c>
      <c r="B623" s="79" t="s">
        <v>19</v>
      </c>
      <c r="C623" s="79" t="s">
        <v>11</v>
      </c>
      <c r="D623" s="10"/>
      <c r="E623" s="11"/>
      <c r="F623" s="11"/>
      <c r="G623" s="4">
        <v>2002</v>
      </c>
    </row>
    <row r="624" spans="1:7" hidden="1" x14ac:dyDescent="0.2">
      <c r="A624" s="2">
        <v>46095</v>
      </c>
      <c r="B624" s="79" t="s">
        <v>21</v>
      </c>
      <c r="C624" s="79" t="s">
        <v>11</v>
      </c>
      <c r="D624" s="10"/>
      <c r="E624" s="11"/>
      <c r="F624" s="11"/>
      <c r="G624" s="4">
        <v>2418</v>
      </c>
    </row>
    <row r="625" spans="1:7" hidden="1" x14ac:dyDescent="0.2">
      <c r="A625" s="2">
        <v>46096</v>
      </c>
      <c r="B625" s="79" t="s">
        <v>23</v>
      </c>
      <c r="C625" s="79" t="s">
        <v>11</v>
      </c>
      <c r="D625" s="10"/>
      <c r="E625" s="11"/>
      <c r="F625" s="11"/>
      <c r="G625" s="4">
        <v>1383</v>
      </c>
    </row>
    <row r="626" spans="1:7" hidden="1" x14ac:dyDescent="0.2">
      <c r="A626" s="2">
        <v>46097</v>
      </c>
      <c r="B626" s="79" t="s">
        <v>10</v>
      </c>
      <c r="C626" s="79" t="s">
        <v>11</v>
      </c>
      <c r="D626" s="10"/>
      <c r="E626" s="11"/>
      <c r="F626" s="11"/>
      <c r="G626" s="4">
        <v>2177</v>
      </c>
    </row>
    <row r="627" spans="1:7" hidden="1" x14ac:dyDescent="0.2">
      <c r="A627" s="2">
        <v>46098</v>
      </c>
      <c r="B627" s="79" t="s">
        <v>13</v>
      </c>
      <c r="C627" s="79" t="s">
        <v>11</v>
      </c>
      <c r="D627" s="10"/>
      <c r="E627" s="11"/>
      <c r="F627" s="11"/>
      <c r="G627" s="4">
        <v>2417</v>
      </c>
    </row>
    <row r="628" spans="1:7" hidden="1" x14ac:dyDescent="0.2">
      <c r="A628" s="2">
        <v>46099</v>
      </c>
      <c r="B628" s="79" t="s">
        <v>15</v>
      </c>
      <c r="C628" s="79" t="s">
        <v>11</v>
      </c>
      <c r="D628" s="10"/>
      <c r="E628" s="11"/>
      <c r="F628" s="11"/>
      <c r="G628" s="4">
        <v>2182</v>
      </c>
    </row>
    <row r="629" spans="1:7" hidden="1" x14ac:dyDescent="0.2">
      <c r="A629" s="2">
        <v>46100</v>
      </c>
      <c r="B629" s="79" t="s">
        <v>17</v>
      </c>
      <c r="C629" s="79" t="s">
        <v>11</v>
      </c>
      <c r="D629" s="10"/>
      <c r="E629" s="11"/>
      <c r="F629" s="11"/>
      <c r="G629" s="4">
        <v>1201</v>
      </c>
    </row>
    <row r="630" spans="1:7" hidden="1" x14ac:dyDescent="0.2">
      <c r="A630" s="2">
        <v>46101</v>
      </c>
      <c r="B630" s="79" t="s">
        <v>19</v>
      </c>
      <c r="C630" s="79" t="s">
        <v>11</v>
      </c>
      <c r="D630" s="10"/>
      <c r="E630" s="11"/>
      <c r="F630" s="11"/>
      <c r="G630">
        <v>361</v>
      </c>
    </row>
    <row r="631" spans="1:7" hidden="1" x14ac:dyDescent="0.2">
      <c r="A631" s="2">
        <v>46102</v>
      </c>
      <c r="B631" s="79" t="s">
        <v>21</v>
      </c>
      <c r="C631" s="79" t="s">
        <v>11</v>
      </c>
      <c r="D631" s="10"/>
      <c r="E631" s="11"/>
      <c r="F631" s="11"/>
      <c r="G631">
        <v>157</v>
      </c>
    </row>
    <row r="632" spans="1:7" hidden="1" x14ac:dyDescent="0.2">
      <c r="A632" s="2">
        <v>46103</v>
      </c>
      <c r="B632" s="79" t="s">
        <v>23</v>
      </c>
      <c r="C632" s="79" t="s">
        <v>11</v>
      </c>
      <c r="D632" s="10"/>
      <c r="E632" s="11"/>
      <c r="F632" s="11"/>
      <c r="G632">
        <v>13</v>
      </c>
    </row>
    <row r="633" spans="1:7" hidden="1" x14ac:dyDescent="0.2">
      <c r="A633" s="2">
        <v>46104</v>
      </c>
      <c r="B633" s="79" t="s">
        <v>10</v>
      </c>
      <c r="C633" s="79" t="s">
        <v>11</v>
      </c>
      <c r="D633" s="10"/>
      <c r="E633" s="11"/>
      <c r="F633" s="11"/>
      <c r="G633">
        <v>67</v>
      </c>
    </row>
    <row r="634" spans="1:7" hidden="1" x14ac:dyDescent="0.2">
      <c r="A634" s="2">
        <v>46105</v>
      </c>
      <c r="B634" s="79" t="s">
        <v>13</v>
      </c>
      <c r="C634" s="79" t="s">
        <v>11</v>
      </c>
      <c r="D634" s="10"/>
      <c r="E634" s="11"/>
      <c r="F634" s="11"/>
      <c r="G634">
        <v>242</v>
      </c>
    </row>
    <row r="635" spans="1:7" hidden="1" x14ac:dyDescent="0.2">
      <c r="A635" s="2">
        <v>46106</v>
      </c>
      <c r="B635" s="79" t="s">
        <v>15</v>
      </c>
      <c r="C635" s="79" t="s">
        <v>11</v>
      </c>
      <c r="D635" s="10"/>
      <c r="E635" s="11"/>
      <c r="F635" s="11"/>
      <c r="G635" s="4">
        <v>1406</v>
      </c>
    </row>
    <row r="636" spans="1:7" hidden="1" x14ac:dyDescent="0.2">
      <c r="A636" s="2">
        <v>46107</v>
      </c>
      <c r="B636" s="79" t="s">
        <v>17</v>
      </c>
      <c r="C636" s="79" t="s">
        <v>11</v>
      </c>
      <c r="D636" s="10"/>
      <c r="E636" s="11"/>
      <c r="F636" s="11"/>
      <c r="G636" s="4">
        <v>2455</v>
      </c>
    </row>
    <row r="637" spans="1:7" hidden="1" x14ac:dyDescent="0.2">
      <c r="A637" s="2">
        <v>46108</v>
      </c>
      <c r="B637" s="79" t="s">
        <v>19</v>
      </c>
      <c r="C637" s="79" t="s">
        <v>11</v>
      </c>
      <c r="D637" s="10"/>
      <c r="E637" s="11"/>
      <c r="F637" s="11"/>
      <c r="G637" s="4">
        <v>3115</v>
      </c>
    </row>
    <row r="638" spans="1:7" hidden="1" x14ac:dyDescent="0.2">
      <c r="A638" s="2">
        <v>46109</v>
      </c>
      <c r="B638" s="79" t="s">
        <v>21</v>
      </c>
      <c r="C638" s="79" t="s">
        <v>11</v>
      </c>
      <c r="D638" s="10"/>
      <c r="E638" s="11"/>
      <c r="F638" s="11"/>
      <c r="G638" s="4">
        <v>2760</v>
      </c>
    </row>
    <row r="639" spans="1:7" hidden="1" x14ac:dyDescent="0.2">
      <c r="A639" s="2">
        <v>46110</v>
      </c>
      <c r="B639" s="79" t="s">
        <v>23</v>
      </c>
      <c r="C639" s="79" t="s">
        <v>11</v>
      </c>
      <c r="D639" s="10"/>
      <c r="E639" s="11"/>
      <c r="F639" s="11"/>
      <c r="G639">
        <v>557</v>
      </c>
    </row>
    <row r="640" spans="1:7" hidden="1" x14ac:dyDescent="0.2">
      <c r="A640" s="2">
        <v>46111</v>
      </c>
      <c r="B640" s="79" t="s">
        <v>10</v>
      </c>
      <c r="C640" s="79" t="s">
        <v>11</v>
      </c>
      <c r="D640" s="10"/>
      <c r="E640" s="11"/>
      <c r="F640" s="11"/>
      <c r="G640">
        <v>89</v>
      </c>
    </row>
    <row r="641" spans="1:7" hidden="1" x14ac:dyDescent="0.2">
      <c r="A641" s="2">
        <v>46112</v>
      </c>
      <c r="B641" s="79" t="s">
        <v>13</v>
      </c>
      <c r="C641" s="79" t="s">
        <v>11</v>
      </c>
      <c r="D641" s="10"/>
      <c r="E641" s="11"/>
      <c r="F641" s="11"/>
      <c r="G641">
        <v>140</v>
      </c>
    </row>
    <row r="642" spans="1:7" hidden="1" x14ac:dyDescent="0.2">
      <c r="A642" s="2">
        <v>46113</v>
      </c>
      <c r="B642" s="79" t="s">
        <v>15</v>
      </c>
      <c r="C642" s="79" t="s">
        <v>11</v>
      </c>
      <c r="D642" s="10"/>
      <c r="E642" s="11"/>
      <c r="F642" s="11"/>
      <c r="G642" s="4">
        <v>3400</v>
      </c>
    </row>
    <row r="643" spans="1:7" hidden="1" x14ac:dyDescent="0.2">
      <c r="A643" s="2">
        <v>46114</v>
      </c>
      <c r="B643" s="79" t="s">
        <v>17</v>
      </c>
      <c r="C643" s="79" t="s">
        <v>11</v>
      </c>
      <c r="D643" s="10"/>
      <c r="E643" s="11"/>
      <c r="F643" s="11"/>
      <c r="G643" s="4">
        <v>3500</v>
      </c>
    </row>
    <row r="644" spans="1:7" hidden="1" x14ac:dyDescent="0.2">
      <c r="A644" s="2">
        <v>46115</v>
      </c>
      <c r="B644" s="79" t="s">
        <v>19</v>
      </c>
      <c r="C644" s="79" t="s">
        <v>11</v>
      </c>
      <c r="D644" s="10"/>
      <c r="E644" s="11"/>
      <c r="F644" s="11"/>
      <c r="G644" s="4">
        <v>3500</v>
      </c>
    </row>
    <row r="645" spans="1:7" hidden="1" x14ac:dyDescent="0.2">
      <c r="A645" s="2">
        <v>46116</v>
      </c>
      <c r="B645" s="79" t="s">
        <v>21</v>
      </c>
      <c r="C645" s="79" t="s">
        <v>11</v>
      </c>
      <c r="D645" s="10"/>
      <c r="E645" s="11"/>
      <c r="F645" s="11"/>
      <c r="G645">
        <v>550</v>
      </c>
    </row>
    <row r="646" spans="1:7" hidden="1" x14ac:dyDescent="0.2">
      <c r="A646" s="2">
        <v>46117</v>
      </c>
      <c r="B646" s="79" t="s">
        <v>23</v>
      </c>
      <c r="C646" s="79" t="s">
        <v>11</v>
      </c>
      <c r="D646" s="10"/>
      <c r="E646" s="11"/>
      <c r="F646" s="11"/>
      <c r="G646">
        <v>24</v>
      </c>
    </row>
    <row r="647" spans="1:7" hidden="1" x14ac:dyDescent="0.2">
      <c r="A647" s="2">
        <v>46118</v>
      </c>
      <c r="B647" s="79" t="s">
        <v>10</v>
      </c>
      <c r="C647" s="79" t="s">
        <v>11</v>
      </c>
      <c r="D647" s="10"/>
      <c r="E647" s="11"/>
      <c r="F647" s="11"/>
      <c r="G647">
        <v>58</v>
      </c>
    </row>
    <row r="648" spans="1:7" hidden="1" x14ac:dyDescent="0.2">
      <c r="A648" s="2">
        <v>46119</v>
      </c>
      <c r="B648" s="79" t="s">
        <v>13</v>
      </c>
      <c r="C648" s="79" t="s">
        <v>11</v>
      </c>
      <c r="D648" s="10"/>
      <c r="E648" s="11"/>
      <c r="F648" s="11"/>
      <c r="G648">
        <v>100</v>
      </c>
    </row>
    <row r="649" spans="1:7" hidden="1" x14ac:dyDescent="0.2">
      <c r="A649" s="2">
        <v>46120</v>
      </c>
      <c r="B649" s="79" t="s">
        <v>15</v>
      </c>
      <c r="C649" s="79" t="s">
        <v>11</v>
      </c>
      <c r="D649" s="10"/>
      <c r="E649" s="11"/>
      <c r="F649" s="11"/>
      <c r="G649">
        <v>353</v>
      </c>
    </row>
    <row r="650" spans="1:7" hidden="1" x14ac:dyDescent="0.2">
      <c r="A650" s="2">
        <v>46121</v>
      </c>
      <c r="B650" s="79" t="s">
        <v>17</v>
      </c>
      <c r="C650" s="79" t="s">
        <v>11</v>
      </c>
      <c r="D650" s="10"/>
      <c r="E650" s="11"/>
      <c r="F650" s="11"/>
      <c r="G650">
        <v>705</v>
      </c>
    </row>
    <row r="651" spans="1:7" hidden="1" x14ac:dyDescent="0.2">
      <c r="A651" s="2">
        <v>46122</v>
      </c>
      <c r="B651" s="79" t="s">
        <v>19</v>
      </c>
      <c r="C651" s="79" t="s">
        <v>11</v>
      </c>
      <c r="D651" s="10"/>
      <c r="E651" s="11"/>
      <c r="F651" s="11"/>
      <c r="G651" s="4">
        <v>1220</v>
      </c>
    </row>
    <row r="652" spans="1:7" hidden="1" x14ac:dyDescent="0.2">
      <c r="A652" s="2">
        <v>46123</v>
      </c>
      <c r="B652" s="79" t="s">
        <v>21</v>
      </c>
      <c r="C652" s="79" t="s">
        <v>11</v>
      </c>
      <c r="D652" s="10"/>
      <c r="E652" s="11"/>
      <c r="F652" s="11"/>
      <c r="G652" s="4">
        <v>1055</v>
      </c>
    </row>
    <row r="653" spans="1:7" hidden="1" x14ac:dyDescent="0.2">
      <c r="A653" s="2">
        <v>46124</v>
      </c>
      <c r="B653" s="79" t="s">
        <v>23</v>
      </c>
      <c r="C653" s="79" t="s">
        <v>11</v>
      </c>
      <c r="D653" s="10"/>
      <c r="E653" s="11"/>
      <c r="F653" s="11"/>
      <c r="G653">
        <v>530</v>
      </c>
    </row>
    <row r="654" spans="1:7" hidden="1" x14ac:dyDescent="0.2">
      <c r="A654" s="2">
        <v>46125</v>
      </c>
      <c r="B654" s="79" t="s">
        <v>10</v>
      </c>
      <c r="C654" s="79" t="s">
        <v>11</v>
      </c>
      <c r="D654" s="10"/>
      <c r="E654" s="11"/>
      <c r="F654" s="11"/>
      <c r="G654">
        <v>250</v>
      </c>
    </row>
    <row r="655" spans="1:7" hidden="1" x14ac:dyDescent="0.2">
      <c r="A655" s="2">
        <v>46126</v>
      </c>
      <c r="B655" s="79" t="s">
        <v>13</v>
      </c>
      <c r="C655" s="79" t="s">
        <v>11</v>
      </c>
      <c r="D655" s="10"/>
      <c r="E655" s="11"/>
      <c r="F655" s="11"/>
      <c r="G655" s="4">
        <v>1730</v>
      </c>
    </row>
    <row r="656" spans="1:7" hidden="1" x14ac:dyDescent="0.2">
      <c r="A656" s="2">
        <v>46127</v>
      </c>
      <c r="B656" s="79" t="s">
        <v>15</v>
      </c>
      <c r="C656" s="79" t="s">
        <v>11</v>
      </c>
      <c r="D656" s="10"/>
      <c r="E656" s="11"/>
      <c r="F656" s="11"/>
      <c r="G656" s="4">
        <v>4420</v>
      </c>
    </row>
    <row r="657" spans="1:7" hidden="1" x14ac:dyDescent="0.2">
      <c r="A657" s="2">
        <v>46128</v>
      </c>
      <c r="B657" s="79" t="s">
        <v>17</v>
      </c>
      <c r="C657" s="79" t="s">
        <v>11</v>
      </c>
      <c r="D657" s="10"/>
      <c r="E657" s="11"/>
      <c r="F657" s="11"/>
      <c r="G657" s="4">
        <v>4000</v>
      </c>
    </row>
    <row r="658" spans="1:7" hidden="1" x14ac:dyDescent="0.2">
      <c r="A658" s="2">
        <v>46129</v>
      </c>
      <c r="B658" s="79" t="s">
        <v>19</v>
      </c>
      <c r="C658" s="79" t="s">
        <v>11</v>
      </c>
      <c r="D658" s="10"/>
      <c r="E658" s="11"/>
      <c r="F658" s="11"/>
      <c r="G658" s="4">
        <v>3760</v>
      </c>
    </row>
    <row r="659" spans="1:7" hidden="1" x14ac:dyDescent="0.2">
      <c r="A659" s="2">
        <v>46130</v>
      </c>
      <c r="B659" s="79" t="s">
        <v>21</v>
      </c>
      <c r="C659" s="79" t="s">
        <v>11</v>
      </c>
      <c r="D659" s="10"/>
      <c r="E659" s="11"/>
      <c r="F659" s="11"/>
      <c r="G659" s="4">
        <v>1530</v>
      </c>
    </row>
    <row r="660" spans="1:7" hidden="1" x14ac:dyDescent="0.2">
      <c r="A660" s="2">
        <v>46131</v>
      </c>
      <c r="B660" s="79" t="s">
        <v>23</v>
      </c>
      <c r="C660" s="79" t="s">
        <v>11</v>
      </c>
      <c r="D660" s="10"/>
      <c r="E660" s="11"/>
      <c r="F660" s="11"/>
      <c r="G660">
        <v>337</v>
      </c>
    </row>
    <row r="661" spans="1:7" hidden="1" x14ac:dyDescent="0.2">
      <c r="A661" s="2">
        <v>46132</v>
      </c>
      <c r="B661" s="79" t="s">
        <v>10</v>
      </c>
      <c r="C661" s="79" t="s">
        <v>11</v>
      </c>
      <c r="D661" s="10"/>
      <c r="E661" s="11"/>
      <c r="F661" s="11"/>
      <c r="G661" s="4">
        <v>1147</v>
      </c>
    </row>
    <row r="662" spans="1:7" hidden="1" x14ac:dyDescent="0.2">
      <c r="A662" s="2">
        <v>46133</v>
      </c>
      <c r="B662" s="79" t="s">
        <v>13</v>
      </c>
      <c r="C662" s="79" t="s">
        <v>11</v>
      </c>
      <c r="D662" s="10"/>
      <c r="E662" s="11"/>
      <c r="F662" s="11"/>
      <c r="G662" s="4">
        <v>1652</v>
      </c>
    </row>
    <row r="663" spans="1:7" hidden="1" x14ac:dyDescent="0.2">
      <c r="A663" s="2">
        <v>46134</v>
      </c>
      <c r="B663" s="79" t="s">
        <v>15</v>
      </c>
      <c r="C663" s="79" t="s">
        <v>11</v>
      </c>
      <c r="D663" s="10"/>
      <c r="E663" s="11"/>
      <c r="F663" s="11"/>
      <c r="G663" s="4">
        <v>3062</v>
      </c>
    </row>
    <row r="664" spans="1:7" hidden="1" x14ac:dyDescent="0.2">
      <c r="A664" s="2">
        <v>46135</v>
      </c>
      <c r="B664" s="79" t="s">
        <v>17</v>
      </c>
      <c r="C664" s="79" t="s">
        <v>11</v>
      </c>
      <c r="D664" s="10"/>
      <c r="E664" s="11"/>
      <c r="F664" s="11"/>
      <c r="G664" s="4">
        <v>3940</v>
      </c>
    </row>
    <row r="665" spans="1:7" hidden="1" x14ac:dyDescent="0.2">
      <c r="A665" s="2">
        <v>46136</v>
      </c>
      <c r="B665" s="79" t="s">
        <v>19</v>
      </c>
      <c r="C665" s="79" t="s">
        <v>11</v>
      </c>
      <c r="D665" s="10"/>
      <c r="E665" s="11"/>
      <c r="F665" s="11"/>
      <c r="G665" s="4">
        <v>3870</v>
      </c>
    </row>
    <row r="666" spans="1:7" hidden="1" x14ac:dyDescent="0.2">
      <c r="A666" s="2">
        <v>46137</v>
      </c>
      <c r="B666" s="79" t="s">
        <v>21</v>
      </c>
      <c r="C666" s="79" t="s">
        <v>11</v>
      </c>
      <c r="D666" s="10"/>
      <c r="E666" s="11"/>
      <c r="F666" s="11"/>
      <c r="G666" s="4">
        <v>2523</v>
      </c>
    </row>
    <row r="667" spans="1:7" hidden="1" x14ac:dyDescent="0.2">
      <c r="A667" s="2">
        <v>46138</v>
      </c>
      <c r="B667" s="79" t="s">
        <v>23</v>
      </c>
      <c r="C667" s="79" t="s">
        <v>11</v>
      </c>
      <c r="D667" s="10"/>
      <c r="E667" s="11"/>
      <c r="F667" s="11"/>
      <c r="G667">
        <v>479</v>
      </c>
    </row>
    <row r="668" spans="1:7" hidden="1" x14ac:dyDescent="0.2">
      <c r="A668" s="2">
        <v>46139</v>
      </c>
      <c r="B668" s="79" t="s">
        <v>10</v>
      </c>
      <c r="C668" s="79" t="s">
        <v>11</v>
      </c>
      <c r="D668" s="10"/>
      <c r="E668" s="11"/>
      <c r="F668" s="11"/>
      <c r="G668" s="4">
        <v>1453</v>
      </c>
    </row>
    <row r="669" spans="1:7" hidden="1" x14ac:dyDescent="0.2">
      <c r="A669" s="2">
        <v>46140</v>
      </c>
      <c r="B669" s="79" t="s">
        <v>13</v>
      </c>
      <c r="C669" s="79" t="s">
        <v>11</v>
      </c>
      <c r="D669" s="10"/>
      <c r="E669" s="11"/>
      <c r="F669" s="11"/>
      <c r="G669" s="4">
        <v>2248</v>
      </c>
    </row>
    <row r="670" spans="1:7" hidden="1" x14ac:dyDescent="0.2">
      <c r="A670" s="2">
        <v>46141</v>
      </c>
      <c r="B670" s="79" t="s">
        <v>15</v>
      </c>
      <c r="C670" s="79" t="s">
        <v>11</v>
      </c>
      <c r="D670" s="10"/>
      <c r="E670" s="11"/>
      <c r="F670" s="11"/>
      <c r="G670" s="4">
        <v>2255</v>
      </c>
    </row>
    <row r="671" spans="1:7" hidden="1" x14ac:dyDescent="0.2">
      <c r="A671" s="2">
        <v>46142</v>
      </c>
      <c r="B671" s="79" t="s">
        <v>17</v>
      </c>
      <c r="C671" s="79" t="s">
        <v>11</v>
      </c>
      <c r="D671" s="10"/>
      <c r="E671" s="11"/>
      <c r="F671" s="11"/>
      <c r="G671" s="4">
        <v>1620</v>
      </c>
    </row>
    <row r="672" spans="1:7" hidden="1" x14ac:dyDescent="0.2">
      <c r="A672" s="2">
        <v>46143</v>
      </c>
      <c r="B672" s="79" t="s">
        <v>19</v>
      </c>
      <c r="C672" s="79" t="s">
        <v>11</v>
      </c>
      <c r="D672" s="10"/>
      <c r="E672" s="11"/>
      <c r="F672" s="11"/>
      <c r="G672" s="4">
        <v>1166</v>
      </c>
    </row>
    <row r="673" spans="1:7" hidden="1" x14ac:dyDescent="0.2">
      <c r="A673" s="2">
        <v>46144</v>
      </c>
      <c r="B673" s="79" t="s">
        <v>21</v>
      </c>
      <c r="C673" s="79" t="s">
        <v>11</v>
      </c>
      <c r="D673" s="10"/>
      <c r="E673" s="11"/>
      <c r="F673" s="11"/>
      <c r="G673" s="4">
        <v>1113</v>
      </c>
    </row>
    <row r="674" spans="1:7" hidden="1" x14ac:dyDescent="0.2">
      <c r="A674" s="2">
        <v>46145</v>
      </c>
      <c r="B674" s="79" t="s">
        <v>23</v>
      </c>
      <c r="C674" s="79" t="s">
        <v>11</v>
      </c>
      <c r="D674" s="10"/>
      <c r="E674" s="11"/>
      <c r="F674" s="11"/>
      <c r="G674" s="4">
        <v>1236</v>
      </c>
    </row>
    <row r="675" spans="1:7" hidden="1" x14ac:dyDescent="0.2">
      <c r="A675" s="2">
        <v>46146</v>
      </c>
      <c r="B675" s="79" t="s">
        <v>10</v>
      </c>
      <c r="C675" s="79" t="s">
        <v>11</v>
      </c>
      <c r="D675" s="10"/>
      <c r="E675" s="11"/>
      <c r="F675" s="11"/>
      <c r="G675" s="4">
        <v>3135</v>
      </c>
    </row>
    <row r="676" spans="1:7" hidden="1" x14ac:dyDescent="0.2">
      <c r="A676" s="2">
        <v>46147</v>
      </c>
      <c r="B676" s="79" t="s">
        <v>13</v>
      </c>
      <c r="C676" s="79" t="s">
        <v>11</v>
      </c>
      <c r="D676" s="10"/>
      <c r="E676" s="11"/>
      <c r="F676" s="11"/>
      <c r="G676" s="4">
        <v>3720</v>
      </c>
    </row>
    <row r="677" spans="1:7" hidden="1" x14ac:dyDescent="0.2">
      <c r="A677" s="2">
        <v>46148</v>
      </c>
      <c r="B677" s="79" t="s">
        <v>15</v>
      </c>
      <c r="C677" s="79" t="s">
        <v>11</v>
      </c>
      <c r="D677" s="10"/>
      <c r="E677" s="11"/>
      <c r="F677" s="11"/>
      <c r="G677" s="4">
        <v>3720</v>
      </c>
    </row>
    <row r="678" spans="1:7" hidden="1" x14ac:dyDescent="0.2">
      <c r="A678" s="2">
        <v>46149</v>
      </c>
      <c r="B678" s="79" t="s">
        <v>17</v>
      </c>
      <c r="C678" s="79" t="s">
        <v>11</v>
      </c>
      <c r="D678" s="10"/>
      <c r="E678" s="11"/>
      <c r="F678" s="11"/>
      <c r="G678" s="4">
        <v>3120</v>
      </c>
    </row>
    <row r="679" spans="1:7" hidden="1" x14ac:dyDescent="0.2">
      <c r="A679" s="2">
        <v>46150</v>
      </c>
      <c r="B679" s="79" t="s">
        <v>19</v>
      </c>
      <c r="C679" s="79" t="s">
        <v>11</v>
      </c>
      <c r="D679" s="10"/>
      <c r="E679" s="11"/>
      <c r="F679" s="11"/>
      <c r="G679">
        <v>0</v>
      </c>
    </row>
    <row r="680" spans="1:7" hidden="1" x14ac:dyDescent="0.2">
      <c r="A680" s="2">
        <v>46151</v>
      </c>
      <c r="B680" s="79" t="s">
        <v>21</v>
      </c>
      <c r="C680" s="79" t="s">
        <v>11</v>
      </c>
      <c r="D680" s="10"/>
      <c r="E680" s="11"/>
      <c r="F680" s="11"/>
      <c r="G680">
        <v>21</v>
      </c>
    </row>
    <row r="681" spans="1:7" hidden="1" x14ac:dyDescent="0.2">
      <c r="A681" s="2">
        <v>46152</v>
      </c>
      <c r="B681" s="79" t="s">
        <v>23</v>
      </c>
      <c r="C681" s="79" t="s">
        <v>11</v>
      </c>
      <c r="D681" s="10"/>
      <c r="E681" s="11"/>
      <c r="F681" s="11"/>
      <c r="G681">
        <v>180</v>
      </c>
    </row>
    <row r="682" spans="1:7" hidden="1" x14ac:dyDescent="0.2">
      <c r="A682" s="2">
        <v>46153</v>
      </c>
      <c r="B682" s="79" t="s">
        <v>10</v>
      </c>
      <c r="C682" s="79" t="s">
        <v>11</v>
      </c>
      <c r="D682" s="10"/>
      <c r="E682" s="11"/>
      <c r="F682" s="11"/>
      <c r="G682">
        <v>910</v>
      </c>
    </row>
    <row r="683" spans="1:7" hidden="1" x14ac:dyDescent="0.2">
      <c r="A683" s="2">
        <v>46154</v>
      </c>
      <c r="B683" s="79" t="s">
        <v>13</v>
      </c>
      <c r="C683" s="79" t="s">
        <v>11</v>
      </c>
      <c r="D683" s="10"/>
      <c r="E683" s="11"/>
      <c r="F683" s="11"/>
      <c r="G683" s="4">
        <v>1092</v>
      </c>
    </row>
    <row r="684" spans="1:7" hidden="1" x14ac:dyDescent="0.2">
      <c r="A684" s="2">
        <v>46155</v>
      </c>
      <c r="B684" s="79" t="s">
        <v>15</v>
      </c>
      <c r="C684" s="79" t="s">
        <v>11</v>
      </c>
      <c r="D684" s="10"/>
      <c r="E684" s="11"/>
      <c r="F684" s="11"/>
      <c r="G684" s="4">
        <v>1750</v>
      </c>
    </row>
    <row r="685" spans="1:7" hidden="1" x14ac:dyDescent="0.2">
      <c r="A685" s="2">
        <v>46156</v>
      </c>
      <c r="B685" s="79" t="s">
        <v>17</v>
      </c>
      <c r="C685" s="79" t="s">
        <v>11</v>
      </c>
      <c r="D685" s="10"/>
      <c r="E685" s="11"/>
      <c r="F685" s="11"/>
      <c r="G685" s="4">
        <v>2854</v>
      </c>
    </row>
    <row r="686" spans="1:7" hidden="1" x14ac:dyDescent="0.2">
      <c r="A686" s="2">
        <v>46157</v>
      </c>
      <c r="B686" s="79" t="s">
        <v>19</v>
      </c>
      <c r="C686" s="79" t="s">
        <v>11</v>
      </c>
      <c r="D686" s="10"/>
      <c r="E686" s="11"/>
      <c r="F686" s="11"/>
      <c r="G686" s="4">
        <v>3235</v>
      </c>
    </row>
    <row r="687" spans="1:7" hidden="1" x14ac:dyDescent="0.2">
      <c r="A687" s="2">
        <v>46158</v>
      </c>
      <c r="B687" s="79" t="s">
        <v>21</v>
      </c>
      <c r="C687" s="79" t="s">
        <v>11</v>
      </c>
      <c r="D687" s="10"/>
      <c r="E687" s="11"/>
      <c r="F687" s="11"/>
      <c r="G687" s="4">
        <v>3215</v>
      </c>
    </row>
    <row r="688" spans="1:7" hidden="1" x14ac:dyDescent="0.2">
      <c r="A688" s="2">
        <v>46159</v>
      </c>
      <c r="B688" s="79" t="s">
        <v>23</v>
      </c>
      <c r="C688" s="79" t="s">
        <v>11</v>
      </c>
      <c r="D688" s="10"/>
      <c r="E688" s="11"/>
      <c r="F688" s="11"/>
      <c r="G688">
        <v>920</v>
      </c>
    </row>
    <row r="689" spans="1:7" hidden="1" x14ac:dyDescent="0.2">
      <c r="A689" s="2">
        <v>46160</v>
      </c>
      <c r="B689" s="79" t="s">
        <v>10</v>
      </c>
      <c r="C689" s="79" t="s">
        <v>11</v>
      </c>
      <c r="D689" s="10"/>
      <c r="E689" s="11"/>
      <c r="F689" s="11"/>
      <c r="G689">
        <v>940</v>
      </c>
    </row>
    <row r="690" spans="1:7" hidden="1" x14ac:dyDescent="0.2">
      <c r="A690" s="2">
        <v>46161</v>
      </c>
      <c r="B690" s="79" t="s">
        <v>13</v>
      </c>
      <c r="C690" s="79" t="s">
        <v>11</v>
      </c>
      <c r="D690" s="10"/>
      <c r="E690" s="11"/>
      <c r="F690" s="11"/>
      <c r="G690">
        <v>700</v>
      </c>
    </row>
    <row r="691" spans="1:7" hidden="1" x14ac:dyDescent="0.2">
      <c r="A691" s="2">
        <v>46162</v>
      </c>
      <c r="B691" s="79" t="s">
        <v>15</v>
      </c>
      <c r="C691" s="79" t="s">
        <v>11</v>
      </c>
      <c r="D691" s="10"/>
      <c r="E691" s="11"/>
      <c r="F691" s="11"/>
      <c r="G691">
        <v>990</v>
      </c>
    </row>
    <row r="692" spans="1:7" hidden="1" x14ac:dyDescent="0.2">
      <c r="A692" s="2">
        <v>46163</v>
      </c>
      <c r="B692" s="79" t="s">
        <v>17</v>
      </c>
      <c r="C692" s="79" t="s">
        <v>11</v>
      </c>
      <c r="D692" s="10"/>
      <c r="E692" s="11"/>
      <c r="F692" s="11"/>
      <c r="G692">
        <v>840</v>
      </c>
    </row>
    <row r="693" spans="1:7" hidden="1" x14ac:dyDescent="0.2">
      <c r="A693" s="2">
        <v>46164</v>
      </c>
      <c r="B693" s="79" t="s">
        <v>19</v>
      </c>
      <c r="C693" s="79" t="s">
        <v>11</v>
      </c>
      <c r="D693" s="10"/>
      <c r="E693" s="11"/>
      <c r="F693" s="11"/>
      <c r="G693" s="4">
        <v>1000</v>
      </c>
    </row>
    <row r="694" spans="1:7" hidden="1" x14ac:dyDescent="0.2">
      <c r="A694" s="2">
        <v>46165</v>
      </c>
      <c r="B694" s="79" t="s">
        <v>21</v>
      </c>
      <c r="C694" s="79" t="s">
        <v>11</v>
      </c>
      <c r="D694" s="10"/>
      <c r="E694" s="11"/>
      <c r="F694" s="11"/>
      <c r="G694" s="4">
        <v>1000</v>
      </c>
    </row>
    <row r="695" spans="1:7" hidden="1" x14ac:dyDescent="0.2">
      <c r="A695" s="2">
        <v>46166</v>
      </c>
      <c r="B695" s="79" t="s">
        <v>23</v>
      </c>
      <c r="C695" s="79" t="s">
        <v>11</v>
      </c>
      <c r="D695" s="10"/>
      <c r="E695" s="11"/>
      <c r="F695" s="11"/>
      <c r="G695">
        <v>600</v>
      </c>
    </row>
    <row r="696" spans="1:7" hidden="1" x14ac:dyDescent="0.2">
      <c r="A696" s="2">
        <v>46167</v>
      </c>
      <c r="B696" s="79" t="s">
        <v>10</v>
      </c>
      <c r="C696" s="79" t="s">
        <v>11</v>
      </c>
      <c r="D696" s="10"/>
      <c r="E696" s="11"/>
      <c r="F696" s="11"/>
      <c r="G696">
        <v>0</v>
      </c>
    </row>
    <row r="697" spans="1:7" hidden="1" x14ac:dyDescent="0.2">
      <c r="A697" s="2">
        <v>46168</v>
      </c>
      <c r="B697" s="79" t="s">
        <v>13</v>
      </c>
      <c r="C697" s="79" t="s">
        <v>11</v>
      </c>
      <c r="D697" s="10"/>
      <c r="E697" s="11"/>
      <c r="F697" s="11"/>
      <c r="G697">
        <v>0</v>
      </c>
    </row>
    <row r="698" spans="1:7" hidden="1" x14ac:dyDescent="0.2">
      <c r="A698" s="2">
        <v>46169</v>
      </c>
      <c r="B698" s="79" t="s">
        <v>15</v>
      </c>
      <c r="C698" s="79" t="s">
        <v>11</v>
      </c>
      <c r="D698" s="10"/>
      <c r="E698" s="11"/>
      <c r="F698" s="11"/>
      <c r="G698">
        <v>650</v>
      </c>
    </row>
    <row r="699" spans="1:7" hidden="1" x14ac:dyDescent="0.2">
      <c r="A699" s="2">
        <v>46170</v>
      </c>
      <c r="B699" s="79" t="s">
        <v>17</v>
      </c>
      <c r="C699" s="79" t="s">
        <v>11</v>
      </c>
      <c r="D699" s="10"/>
      <c r="E699" s="11"/>
      <c r="F699" s="11"/>
      <c r="G699" s="4">
        <v>1500</v>
      </c>
    </row>
    <row r="700" spans="1:7" hidden="1" x14ac:dyDescent="0.2">
      <c r="A700" s="2">
        <v>46171</v>
      </c>
      <c r="B700" s="79" t="s">
        <v>19</v>
      </c>
      <c r="C700" s="79" t="s">
        <v>11</v>
      </c>
      <c r="D700" s="10"/>
      <c r="E700" s="11"/>
      <c r="F700" s="11"/>
      <c r="G700" s="4">
        <v>1500</v>
      </c>
    </row>
    <row r="701" spans="1:7" hidden="1" x14ac:dyDescent="0.2">
      <c r="A701" s="2">
        <v>46172</v>
      </c>
      <c r="B701" s="79" t="s">
        <v>21</v>
      </c>
      <c r="C701" s="79" t="s">
        <v>11</v>
      </c>
      <c r="D701" s="10"/>
      <c r="E701" s="11"/>
      <c r="F701" s="11"/>
      <c r="G701" s="4">
        <v>1500</v>
      </c>
    </row>
    <row r="702" spans="1:7" hidden="1" x14ac:dyDescent="0.2">
      <c r="A702" s="2">
        <v>46173</v>
      </c>
      <c r="B702" s="79" t="s">
        <v>23</v>
      </c>
      <c r="C702" s="79" t="s">
        <v>11</v>
      </c>
      <c r="D702" s="10"/>
      <c r="E702" s="11"/>
      <c r="F702" s="11"/>
      <c r="G702">
        <v>125</v>
      </c>
    </row>
    <row r="703" spans="1:7" hidden="1" x14ac:dyDescent="0.2">
      <c r="A703" s="2">
        <v>46174</v>
      </c>
      <c r="B703" s="79" t="s">
        <v>10</v>
      </c>
      <c r="C703" s="79" t="s">
        <v>11</v>
      </c>
      <c r="D703" s="10"/>
      <c r="E703" s="11"/>
      <c r="F703" s="11"/>
      <c r="G703">
        <v>115</v>
      </c>
    </row>
    <row r="704" spans="1:7" hidden="1" x14ac:dyDescent="0.2">
      <c r="A704" s="2">
        <v>46175</v>
      </c>
      <c r="B704" s="79" t="s">
        <v>13</v>
      </c>
      <c r="C704" s="79" t="s">
        <v>11</v>
      </c>
      <c r="D704" s="10"/>
      <c r="E704" s="11"/>
      <c r="F704" s="11"/>
      <c r="G704">
        <v>460</v>
      </c>
    </row>
    <row r="705" spans="1:7" hidden="1" x14ac:dyDescent="0.2">
      <c r="A705" s="2">
        <v>46176</v>
      </c>
      <c r="B705" s="79" t="s">
        <v>15</v>
      </c>
      <c r="C705" s="79" t="s">
        <v>11</v>
      </c>
      <c r="D705" s="10"/>
      <c r="E705" s="11"/>
      <c r="F705" s="11"/>
      <c r="G705" s="4">
        <v>1010</v>
      </c>
    </row>
    <row r="706" spans="1:7" hidden="1" x14ac:dyDescent="0.2">
      <c r="A706" s="2">
        <v>46177</v>
      </c>
      <c r="B706" s="79" t="s">
        <v>17</v>
      </c>
      <c r="C706" s="79" t="s">
        <v>11</v>
      </c>
      <c r="D706" s="10"/>
      <c r="E706" s="11"/>
      <c r="F706" s="11"/>
      <c r="G706">
        <v>890</v>
      </c>
    </row>
    <row r="707" spans="1:7" hidden="1" x14ac:dyDescent="0.2">
      <c r="A707" s="2">
        <v>46178</v>
      </c>
      <c r="B707" s="79" t="s">
        <v>19</v>
      </c>
      <c r="C707" s="79" t="s">
        <v>11</v>
      </c>
      <c r="D707" s="10"/>
      <c r="E707" s="11"/>
      <c r="F707" s="11"/>
      <c r="G707">
        <v>615</v>
      </c>
    </row>
    <row r="708" spans="1:7" hidden="1" x14ac:dyDescent="0.2">
      <c r="A708" s="2">
        <v>46179</v>
      </c>
      <c r="B708" s="79" t="s">
        <v>21</v>
      </c>
      <c r="C708" s="79" t="s">
        <v>11</v>
      </c>
      <c r="D708" s="10"/>
      <c r="E708" s="11"/>
      <c r="F708" s="11"/>
      <c r="G708">
        <v>995</v>
      </c>
    </row>
    <row r="709" spans="1:7" hidden="1" x14ac:dyDescent="0.2">
      <c r="A709" s="2">
        <v>46180</v>
      </c>
      <c r="B709" s="79" t="s">
        <v>23</v>
      </c>
      <c r="C709" s="79" t="s">
        <v>11</v>
      </c>
      <c r="D709" s="10"/>
      <c r="E709" s="11"/>
      <c r="F709" s="11"/>
      <c r="G709" s="4">
        <v>1600</v>
      </c>
    </row>
    <row r="710" spans="1:7" hidden="1" x14ac:dyDescent="0.2">
      <c r="A710" s="2">
        <v>46181</v>
      </c>
      <c r="B710" s="79" t="s">
        <v>10</v>
      </c>
      <c r="C710" s="79" t="s">
        <v>11</v>
      </c>
      <c r="D710" s="10"/>
      <c r="E710" s="11"/>
      <c r="F710" s="11"/>
      <c r="G710" s="4">
        <v>1625</v>
      </c>
    </row>
    <row r="711" spans="1:7" hidden="1" x14ac:dyDescent="0.2">
      <c r="A711" s="2">
        <v>46182</v>
      </c>
      <c r="B711" s="79" t="s">
        <v>13</v>
      </c>
      <c r="C711" s="79" t="s">
        <v>11</v>
      </c>
      <c r="D711" s="10"/>
      <c r="E711" s="11"/>
      <c r="F711" s="11"/>
      <c r="G711" s="4">
        <v>1595</v>
      </c>
    </row>
    <row r="712" spans="1:7" hidden="1" x14ac:dyDescent="0.2">
      <c r="A712" s="2">
        <v>46183</v>
      </c>
      <c r="B712" s="79" t="s">
        <v>15</v>
      </c>
      <c r="C712" s="79" t="s">
        <v>11</v>
      </c>
      <c r="D712" s="10"/>
      <c r="E712" s="11"/>
      <c r="F712" s="11"/>
      <c r="G712">
        <v>948</v>
      </c>
    </row>
    <row r="713" spans="1:7" hidden="1" x14ac:dyDescent="0.2">
      <c r="A713" s="2">
        <v>46184</v>
      </c>
      <c r="B713" s="79" t="s">
        <v>17</v>
      </c>
      <c r="C713" s="79" t="s">
        <v>11</v>
      </c>
      <c r="D713" s="10"/>
      <c r="E713" s="11"/>
      <c r="F713" s="11"/>
      <c r="G713">
        <v>354</v>
      </c>
    </row>
    <row r="714" spans="1:7" hidden="1" x14ac:dyDescent="0.2">
      <c r="A714" s="2">
        <v>46185</v>
      </c>
      <c r="B714" s="79" t="s">
        <v>19</v>
      </c>
      <c r="C714" s="79" t="s">
        <v>11</v>
      </c>
      <c r="D714" s="10"/>
      <c r="E714" s="11"/>
      <c r="F714" s="11"/>
      <c r="G714">
        <v>918</v>
      </c>
    </row>
    <row r="715" spans="1:7" hidden="1" x14ac:dyDescent="0.2">
      <c r="A715" s="2">
        <v>46186</v>
      </c>
      <c r="B715" s="79" t="s">
        <v>21</v>
      </c>
      <c r="C715" s="79" t="s">
        <v>11</v>
      </c>
      <c r="D715" s="10"/>
      <c r="E715" s="11"/>
      <c r="F715" s="11"/>
      <c r="G715" s="4">
        <v>1948</v>
      </c>
    </row>
    <row r="716" spans="1:7" hidden="1" x14ac:dyDescent="0.2">
      <c r="A716" s="2">
        <v>46187</v>
      </c>
      <c r="B716" s="79" t="s">
        <v>23</v>
      </c>
      <c r="C716" s="79" t="s">
        <v>11</v>
      </c>
      <c r="D716" s="10"/>
      <c r="E716" s="11"/>
      <c r="F716" s="11"/>
      <c r="G716" s="4">
        <v>4875</v>
      </c>
    </row>
    <row r="717" spans="1:7" hidden="1" x14ac:dyDescent="0.2">
      <c r="A717" s="2">
        <v>46188</v>
      </c>
      <c r="B717" s="79" t="s">
        <v>10</v>
      </c>
      <c r="C717" s="79" t="s">
        <v>11</v>
      </c>
      <c r="D717" s="10"/>
      <c r="E717" s="11"/>
      <c r="F717" s="11"/>
      <c r="G717" s="4">
        <v>5025</v>
      </c>
    </row>
    <row r="718" spans="1:7" hidden="1" x14ac:dyDescent="0.2">
      <c r="A718" s="2">
        <v>46189</v>
      </c>
      <c r="B718" s="79" t="s">
        <v>13</v>
      </c>
      <c r="C718" s="79" t="s">
        <v>11</v>
      </c>
      <c r="D718" s="10"/>
      <c r="E718" s="11"/>
      <c r="F718" s="11"/>
      <c r="G718" s="4">
        <v>4937</v>
      </c>
    </row>
    <row r="719" spans="1:7" hidden="1" x14ac:dyDescent="0.2">
      <c r="A719" s="2">
        <v>46190</v>
      </c>
      <c r="B719" s="79" t="s">
        <v>15</v>
      </c>
      <c r="C719" s="79" t="s">
        <v>11</v>
      </c>
      <c r="D719" s="10"/>
      <c r="E719" s="11"/>
      <c r="F719" s="11"/>
      <c r="G719" s="4">
        <v>2356</v>
      </c>
    </row>
    <row r="720" spans="1:7" hidden="1" x14ac:dyDescent="0.2">
      <c r="A720" s="2">
        <v>46191</v>
      </c>
      <c r="B720" s="79" t="s">
        <v>17</v>
      </c>
      <c r="C720" s="79" t="s">
        <v>11</v>
      </c>
      <c r="D720" s="10"/>
      <c r="E720" s="11"/>
      <c r="F720" s="11"/>
      <c r="G720">
        <v>704</v>
      </c>
    </row>
    <row r="721" spans="1:7" hidden="1" x14ac:dyDescent="0.2">
      <c r="A721" s="2">
        <v>46192</v>
      </c>
      <c r="B721" s="79" t="s">
        <v>19</v>
      </c>
      <c r="C721" s="79" t="s">
        <v>11</v>
      </c>
      <c r="D721" s="10"/>
      <c r="E721" s="11"/>
      <c r="F721" s="11"/>
      <c r="G721">
        <v>339</v>
      </c>
    </row>
    <row r="722" spans="1:7" hidden="1" x14ac:dyDescent="0.2">
      <c r="A722" s="2">
        <v>46193</v>
      </c>
      <c r="B722" s="79" t="s">
        <v>21</v>
      </c>
      <c r="C722" s="79" t="s">
        <v>11</v>
      </c>
      <c r="D722" s="10"/>
      <c r="E722" s="11"/>
      <c r="F722" s="11"/>
      <c r="G722">
        <v>295</v>
      </c>
    </row>
    <row r="723" spans="1:7" hidden="1" x14ac:dyDescent="0.2">
      <c r="A723" s="2">
        <v>46194</v>
      </c>
      <c r="B723" s="79" t="s">
        <v>23</v>
      </c>
      <c r="C723" s="79" t="s">
        <v>11</v>
      </c>
      <c r="D723" s="10"/>
      <c r="E723" s="11"/>
      <c r="F723" s="11"/>
      <c r="G723">
        <v>95</v>
      </c>
    </row>
    <row r="724" spans="1:7" hidden="1" x14ac:dyDescent="0.2">
      <c r="A724" s="2">
        <v>46195</v>
      </c>
      <c r="B724" s="79" t="s">
        <v>10</v>
      </c>
      <c r="C724" s="79" t="s">
        <v>11</v>
      </c>
      <c r="D724" s="10"/>
      <c r="E724" s="11"/>
      <c r="F724" s="11"/>
      <c r="G724">
        <v>575</v>
      </c>
    </row>
    <row r="725" spans="1:7" hidden="1" x14ac:dyDescent="0.2">
      <c r="A725" s="2">
        <v>46196</v>
      </c>
      <c r="B725" s="79" t="s">
        <v>13</v>
      </c>
      <c r="C725" s="79" t="s">
        <v>11</v>
      </c>
      <c r="D725" s="10"/>
      <c r="E725" s="11"/>
      <c r="F725" s="11"/>
      <c r="G725">
        <v>915</v>
      </c>
    </row>
    <row r="726" spans="1:7" hidden="1" x14ac:dyDescent="0.2">
      <c r="A726" s="2">
        <v>46197</v>
      </c>
      <c r="B726" s="79" t="s">
        <v>15</v>
      </c>
      <c r="C726" s="79" t="s">
        <v>11</v>
      </c>
      <c r="D726" s="10"/>
      <c r="E726" s="11"/>
      <c r="F726" s="11"/>
      <c r="G726" s="4">
        <v>1790</v>
      </c>
    </row>
    <row r="727" spans="1:7" hidden="1" x14ac:dyDescent="0.2">
      <c r="A727" s="2">
        <v>46198</v>
      </c>
      <c r="B727" s="79" t="s">
        <v>17</v>
      </c>
      <c r="C727" s="79" t="s">
        <v>11</v>
      </c>
      <c r="D727" s="10"/>
      <c r="E727" s="11"/>
      <c r="F727" s="11"/>
      <c r="G727" s="4">
        <v>1620</v>
      </c>
    </row>
    <row r="728" spans="1:7" hidden="1" x14ac:dyDescent="0.2">
      <c r="A728" s="2">
        <v>46199</v>
      </c>
      <c r="B728" s="79" t="s">
        <v>19</v>
      </c>
      <c r="C728" s="79" t="s">
        <v>11</v>
      </c>
      <c r="D728" s="10"/>
      <c r="E728" s="11"/>
      <c r="F728" s="11"/>
      <c r="G728" s="4">
        <v>1520</v>
      </c>
    </row>
    <row r="729" spans="1:7" hidden="1" x14ac:dyDescent="0.2">
      <c r="A729" s="2">
        <v>46200</v>
      </c>
      <c r="B729" s="79" t="s">
        <v>21</v>
      </c>
      <c r="C729" s="79" t="s">
        <v>11</v>
      </c>
      <c r="D729" s="10"/>
      <c r="E729" s="11"/>
      <c r="F729" s="11"/>
      <c r="G729">
        <v>350</v>
      </c>
    </row>
    <row r="730" spans="1:7" hidden="1" x14ac:dyDescent="0.2">
      <c r="A730" s="2">
        <v>46201</v>
      </c>
      <c r="B730" s="79" t="s">
        <v>23</v>
      </c>
      <c r="C730" s="79" t="s">
        <v>11</v>
      </c>
      <c r="D730" s="10"/>
      <c r="E730" s="11"/>
      <c r="F730" s="11"/>
      <c r="G730">
        <v>25</v>
      </c>
    </row>
    <row r="731" spans="1:7" hidden="1" x14ac:dyDescent="0.2">
      <c r="A731" s="2">
        <v>46202</v>
      </c>
      <c r="B731" s="79" t="s">
        <v>10</v>
      </c>
      <c r="C731" s="79" t="s">
        <v>11</v>
      </c>
      <c r="D731" s="10"/>
      <c r="E731" s="11"/>
      <c r="F731" s="11"/>
      <c r="G731">
        <v>0</v>
      </c>
    </row>
    <row r="732" spans="1:7" hidden="1" x14ac:dyDescent="0.2">
      <c r="A732" s="2">
        <v>46203</v>
      </c>
      <c r="B732" s="79" t="s">
        <v>13</v>
      </c>
      <c r="C732" s="79" t="s">
        <v>11</v>
      </c>
      <c r="D732" s="10"/>
      <c r="E732" s="11"/>
      <c r="F732" s="11"/>
      <c r="G732">
        <v>0</v>
      </c>
    </row>
    <row r="733" spans="1:7" hidden="1" x14ac:dyDescent="0.2">
      <c r="A733" s="2">
        <v>46204</v>
      </c>
      <c r="B733" s="79" t="s">
        <v>15</v>
      </c>
      <c r="C733" s="79" t="s">
        <v>11</v>
      </c>
      <c r="D733" s="10"/>
      <c r="E733" s="11"/>
      <c r="F733" s="11"/>
      <c r="G733">
        <v>0</v>
      </c>
    </row>
    <row r="734" spans="1:7" hidden="1" x14ac:dyDescent="0.2">
      <c r="A734" s="2">
        <v>46205</v>
      </c>
      <c r="B734" s="79" t="s">
        <v>17</v>
      </c>
      <c r="C734" s="79" t="s">
        <v>11</v>
      </c>
      <c r="D734" s="10"/>
      <c r="E734" s="11"/>
      <c r="F734" s="11"/>
      <c r="G734">
        <v>0</v>
      </c>
    </row>
    <row r="735" spans="1:7" hidden="1" x14ac:dyDescent="0.2">
      <c r="A735" s="2">
        <v>46206</v>
      </c>
      <c r="B735" s="79" t="s">
        <v>19</v>
      </c>
      <c r="C735" s="79" t="s">
        <v>11</v>
      </c>
      <c r="D735" s="10"/>
      <c r="E735" s="11"/>
      <c r="F735" s="11"/>
      <c r="G735">
        <v>0</v>
      </c>
    </row>
    <row r="736" spans="1:7" hidden="1" x14ac:dyDescent="0.2">
      <c r="A736" s="2">
        <v>46207</v>
      </c>
      <c r="B736" s="79" t="s">
        <v>21</v>
      </c>
      <c r="C736" s="79" t="s">
        <v>11</v>
      </c>
      <c r="D736" s="10"/>
      <c r="E736" s="11"/>
      <c r="F736" s="11"/>
      <c r="G736">
        <v>0</v>
      </c>
    </row>
    <row r="737" spans="1:7" hidden="1" x14ac:dyDescent="0.2">
      <c r="A737" s="2">
        <v>46208</v>
      </c>
      <c r="B737" s="79" t="s">
        <v>23</v>
      </c>
      <c r="C737" s="79" t="s">
        <v>11</v>
      </c>
      <c r="D737" s="10"/>
      <c r="E737" s="11"/>
      <c r="F737" s="11"/>
      <c r="G737">
        <v>1</v>
      </c>
    </row>
    <row r="738" spans="1:7" hidden="1" x14ac:dyDescent="0.2">
      <c r="A738" s="2">
        <v>46209</v>
      </c>
      <c r="B738" s="79" t="s">
        <v>10</v>
      </c>
      <c r="C738" s="79" t="s">
        <v>11</v>
      </c>
      <c r="D738" s="10"/>
      <c r="E738" s="11"/>
      <c r="F738" s="11"/>
      <c r="G738">
        <v>14</v>
      </c>
    </row>
    <row r="739" spans="1:7" hidden="1" x14ac:dyDescent="0.2">
      <c r="A739" s="2">
        <v>46210</v>
      </c>
      <c r="B739" s="79" t="s">
        <v>13</v>
      </c>
      <c r="C739" s="79" t="s">
        <v>11</v>
      </c>
      <c r="D739" s="10"/>
      <c r="E739" s="11"/>
      <c r="F739" s="11"/>
      <c r="G739">
        <v>209</v>
      </c>
    </row>
    <row r="740" spans="1:7" hidden="1" x14ac:dyDescent="0.2">
      <c r="A740" s="2">
        <v>46211</v>
      </c>
      <c r="B740" s="79" t="s">
        <v>15</v>
      </c>
      <c r="C740" s="79" t="s">
        <v>11</v>
      </c>
      <c r="D740" s="10"/>
      <c r="E740" s="11"/>
      <c r="F740" s="11"/>
      <c r="G740">
        <v>590</v>
      </c>
    </row>
    <row r="741" spans="1:7" hidden="1" x14ac:dyDescent="0.2">
      <c r="A741" s="2">
        <v>46212</v>
      </c>
      <c r="B741" s="79" t="s">
        <v>17</v>
      </c>
      <c r="C741" s="79" t="s">
        <v>11</v>
      </c>
      <c r="D741" s="10"/>
      <c r="E741" s="11"/>
      <c r="F741" s="11"/>
      <c r="G741" s="4">
        <v>1086</v>
      </c>
    </row>
    <row r="742" spans="1:7" hidden="1" x14ac:dyDescent="0.2">
      <c r="A742" s="2">
        <v>46213</v>
      </c>
      <c r="B742" s="79" t="s">
        <v>19</v>
      </c>
      <c r="C742" s="79" t="s">
        <v>11</v>
      </c>
      <c r="D742" s="10"/>
      <c r="E742" s="11"/>
      <c r="F742" s="11"/>
      <c r="G742" s="4">
        <v>3053</v>
      </c>
    </row>
    <row r="743" spans="1:7" hidden="1" x14ac:dyDescent="0.2">
      <c r="A743" s="2">
        <v>46214</v>
      </c>
      <c r="B743" s="79" t="s">
        <v>21</v>
      </c>
      <c r="C743" s="79" t="s">
        <v>11</v>
      </c>
      <c r="D743" s="10"/>
      <c r="E743" s="11"/>
      <c r="F743" s="11"/>
      <c r="G743" s="4">
        <v>3223</v>
      </c>
    </row>
    <row r="744" spans="1:7" hidden="1" x14ac:dyDescent="0.2">
      <c r="A744" s="2">
        <v>46215</v>
      </c>
      <c r="B744" s="79" t="s">
        <v>23</v>
      </c>
      <c r="C744" s="79" t="s">
        <v>11</v>
      </c>
      <c r="D744" s="10"/>
      <c r="E744" s="11"/>
      <c r="F744" s="11"/>
      <c r="G744" s="4">
        <v>3166</v>
      </c>
    </row>
    <row r="745" spans="1:7" hidden="1" x14ac:dyDescent="0.2">
      <c r="A745" s="2">
        <v>46216</v>
      </c>
      <c r="B745" s="79" t="s">
        <v>10</v>
      </c>
      <c r="C745" s="79" t="s">
        <v>11</v>
      </c>
      <c r="D745" s="10"/>
      <c r="E745" s="11"/>
      <c r="F745" s="11"/>
      <c r="G745" s="4">
        <v>3134</v>
      </c>
    </row>
    <row r="746" spans="1:7" hidden="1" x14ac:dyDescent="0.2">
      <c r="A746" s="2">
        <v>46217</v>
      </c>
      <c r="B746" s="79" t="s">
        <v>13</v>
      </c>
      <c r="C746" s="79" t="s">
        <v>11</v>
      </c>
      <c r="D746" s="10"/>
      <c r="E746" s="11"/>
      <c r="F746" s="11"/>
      <c r="G746" s="4">
        <v>3297</v>
      </c>
    </row>
    <row r="747" spans="1:7" hidden="1" x14ac:dyDescent="0.2">
      <c r="A747" s="2">
        <v>46218</v>
      </c>
      <c r="B747" s="79" t="s">
        <v>15</v>
      </c>
      <c r="C747" s="79" t="s">
        <v>11</v>
      </c>
      <c r="D747" s="10"/>
      <c r="E747" s="11"/>
      <c r="F747" s="11"/>
      <c r="G747" s="4">
        <v>2486</v>
      </c>
    </row>
    <row r="748" spans="1:7" hidden="1" x14ac:dyDescent="0.2">
      <c r="A748" s="2">
        <v>46219</v>
      </c>
      <c r="B748" s="79" t="s">
        <v>17</v>
      </c>
      <c r="C748" s="79" t="s">
        <v>11</v>
      </c>
      <c r="D748" s="10"/>
      <c r="E748" s="11"/>
      <c r="F748" s="11"/>
      <c r="G748" s="4">
        <v>2465</v>
      </c>
    </row>
    <row r="749" spans="1:7" hidden="1" x14ac:dyDescent="0.2">
      <c r="A749" s="2">
        <v>46220</v>
      </c>
      <c r="B749" s="79" t="s">
        <v>19</v>
      </c>
      <c r="C749" s="79" t="s">
        <v>11</v>
      </c>
      <c r="D749" s="10"/>
      <c r="E749" s="11"/>
      <c r="F749" s="11"/>
      <c r="G749" s="4">
        <v>1721</v>
      </c>
    </row>
    <row r="750" spans="1:7" hidden="1" x14ac:dyDescent="0.2">
      <c r="A750" s="2">
        <v>46221</v>
      </c>
      <c r="B750" s="79" t="s">
        <v>21</v>
      </c>
      <c r="C750" s="79" t="s">
        <v>11</v>
      </c>
      <c r="D750" s="10"/>
      <c r="E750" s="11"/>
      <c r="F750" s="11"/>
      <c r="G750" s="4">
        <v>2436</v>
      </c>
    </row>
    <row r="751" spans="1:7" hidden="1" x14ac:dyDescent="0.2">
      <c r="A751" s="2">
        <v>46222</v>
      </c>
      <c r="B751" s="79" t="s">
        <v>23</v>
      </c>
      <c r="C751" s="79" t="s">
        <v>11</v>
      </c>
      <c r="D751" s="10"/>
      <c r="E751" s="11"/>
      <c r="F751" s="11"/>
      <c r="G751" s="4">
        <v>1981</v>
      </c>
    </row>
    <row r="752" spans="1:7" hidden="1" x14ac:dyDescent="0.2">
      <c r="A752" s="2">
        <v>46223</v>
      </c>
      <c r="B752" s="79" t="s">
        <v>10</v>
      </c>
      <c r="C752" s="79" t="s">
        <v>11</v>
      </c>
      <c r="D752" s="10"/>
      <c r="E752" s="11"/>
      <c r="F752" s="11"/>
      <c r="G752" s="4">
        <v>1639</v>
      </c>
    </row>
    <row r="753" spans="1:7" hidden="1" x14ac:dyDescent="0.2">
      <c r="A753" s="2">
        <v>46224</v>
      </c>
      <c r="B753" s="79" t="s">
        <v>13</v>
      </c>
      <c r="C753" s="79" t="s">
        <v>11</v>
      </c>
      <c r="D753" s="10"/>
      <c r="E753" s="11"/>
      <c r="F753" s="11"/>
      <c r="G753">
        <v>614</v>
      </c>
    </row>
    <row r="754" spans="1:7" hidden="1" x14ac:dyDescent="0.2">
      <c r="A754" s="2">
        <v>46225</v>
      </c>
      <c r="B754" s="79" t="s">
        <v>15</v>
      </c>
      <c r="C754" s="79" t="s">
        <v>11</v>
      </c>
      <c r="D754" s="10"/>
      <c r="E754" s="11"/>
      <c r="F754" s="11"/>
      <c r="G754">
        <v>306</v>
      </c>
    </row>
    <row r="755" spans="1:7" hidden="1" x14ac:dyDescent="0.2">
      <c r="A755" s="2">
        <v>46226</v>
      </c>
      <c r="B755" s="79" t="s">
        <v>17</v>
      </c>
      <c r="C755" s="79" t="s">
        <v>11</v>
      </c>
      <c r="D755" s="10"/>
      <c r="E755" s="11"/>
      <c r="F755" s="11"/>
      <c r="G755">
        <v>536</v>
      </c>
    </row>
    <row r="756" spans="1:7" hidden="1" x14ac:dyDescent="0.2">
      <c r="A756" s="2">
        <v>46227</v>
      </c>
      <c r="B756" s="79" t="s">
        <v>19</v>
      </c>
      <c r="C756" s="79" t="s">
        <v>11</v>
      </c>
      <c r="D756" s="10"/>
      <c r="E756" s="11"/>
      <c r="F756" s="11"/>
      <c r="G756" s="4">
        <v>1105</v>
      </c>
    </row>
    <row r="757" spans="1:7" hidden="1" x14ac:dyDescent="0.2">
      <c r="A757" s="2">
        <v>46228</v>
      </c>
      <c r="B757" s="79" t="s">
        <v>21</v>
      </c>
      <c r="C757" s="79" t="s">
        <v>11</v>
      </c>
      <c r="D757" s="10"/>
      <c r="E757" s="11"/>
      <c r="F757" s="11"/>
      <c r="G757" s="4">
        <v>2003</v>
      </c>
    </row>
    <row r="758" spans="1:7" hidden="1" x14ac:dyDescent="0.2">
      <c r="A758" s="2">
        <v>46229</v>
      </c>
      <c r="B758" s="79" t="s">
        <v>23</v>
      </c>
      <c r="C758" s="79" t="s">
        <v>11</v>
      </c>
      <c r="D758" s="10"/>
      <c r="E758" s="11"/>
      <c r="F758" s="11"/>
      <c r="G758" s="4">
        <v>4607</v>
      </c>
    </row>
    <row r="759" spans="1:7" hidden="1" x14ac:dyDescent="0.2">
      <c r="A759" s="2">
        <v>46230</v>
      </c>
      <c r="B759" s="79" t="s">
        <v>10</v>
      </c>
      <c r="C759" s="79" t="s">
        <v>11</v>
      </c>
      <c r="D759" s="10"/>
      <c r="E759" s="11"/>
      <c r="F759" s="11"/>
      <c r="G759" s="4">
        <v>7633</v>
      </c>
    </row>
    <row r="760" spans="1:7" hidden="1" x14ac:dyDescent="0.2">
      <c r="A760" s="2">
        <v>46231</v>
      </c>
      <c r="B760" s="79" t="s">
        <v>13</v>
      </c>
      <c r="C760" s="79" t="s">
        <v>11</v>
      </c>
      <c r="D760" s="10"/>
      <c r="E760" s="11"/>
      <c r="F760" s="11"/>
      <c r="G760" s="4">
        <v>8372</v>
      </c>
    </row>
    <row r="761" spans="1:7" hidden="1" x14ac:dyDescent="0.2">
      <c r="A761" s="2">
        <v>46232</v>
      </c>
      <c r="B761" s="79" t="s">
        <v>15</v>
      </c>
      <c r="C761" s="79" t="s">
        <v>11</v>
      </c>
      <c r="D761" s="10"/>
      <c r="E761" s="11"/>
      <c r="F761" s="11"/>
      <c r="G761" s="4">
        <v>6705</v>
      </c>
    </row>
    <row r="762" spans="1:7" hidden="1" x14ac:dyDescent="0.2">
      <c r="A762" s="2">
        <v>46233</v>
      </c>
      <c r="B762" s="79" t="s">
        <v>17</v>
      </c>
      <c r="C762" s="79" t="s">
        <v>11</v>
      </c>
      <c r="D762" s="10"/>
      <c r="E762" s="11"/>
      <c r="F762" s="11"/>
      <c r="G762" s="4">
        <v>1992</v>
      </c>
    </row>
    <row r="763" spans="1:7" hidden="1" x14ac:dyDescent="0.2">
      <c r="A763" s="2">
        <v>46234</v>
      </c>
      <c r="B763" s="79" t="s">
        <v>19</v>
      </c>
      <c r="C763" s="79" t="s">
        <v>11</v>
      </c>
      <c r="D763" s="10"/>
      <c r="E763" s="11"/>
      <c r="F763" s="11"/>
      <c r="G763">
        <v>409</v>
      </c>
    </row>
    <row r="764" spans="1:7" hidden="1" x14ac:dyDescent="0.2">
      <c r="A764" s="2">
        <v>46235</v>
      </c>
      <c r="B764" s="79" t="s">
        <v>21</v>
      </c>
      <c r="C764" s="79" t="s">
        <v>11</v>
      </c>
      <c r="D764" s="10"/>
      <c r="E764" s="11"/>
      <c r="F764" s="11"/>
      <c r="G764">
        <v>511</v>
      </c>
    </row>
    <row r="765" spans="1:7" hidden="1" x14ac:dyDescent="0.2">
      <c r="A765" s="2">
        <v>46236</v>
      </c>
      <c r="B765" s="79" t="s">
        <v>23</v>
      </c>
      <c r="C765" s="79" t="s">
        <v>11</v>
      </c>
      <c r="D765" s="10"/>
      <c r="E765" s="11"/>
      <c r="F765" s="11"/>
      <c r="G765" s="4">
        <v>1306</v>
      </c>
    </row>
    <row r="766" spans="1:7" hidden="1" x14ac:dyDescent="0.2">
      <c r="A766" s="2">
        <v>46237</v>
      </c>
      <c r="B766" s="79" t="s">
        <v>10</v>
      </c>
      <c r="C766" s="79" t="s">
        <v>11</v>
      </c>
      <c r="D766" s="10"/>
      <c r="E766" s="11"/>
      <c r="F766" s="11"/>
      <c r="G766" s="4">
        <v>1300</v>
      </c>
    </row>
    <row r="767" spans="1:7" hidden="1" x14ac:dyDescent="0.2">
      <c r="A767" s="2">
        <v>46238</v>
      </c>
      <c r="B767" s="79" t="s">
        <v>13</v>
      </c>
      <c r="C767" s="79" t="s">
        <v>11</v>
      </c>
      <c r="D767" s="10"/>
      <c r="E767" s="11"/>
      <c r="F767" s="11"/>
      <c r="G767" s="4">
        <v>1300</v>
      </c>
    </row>
    <row r="768" spans="1:7" hidden="1" x14ac:dyDescent="0.2">
      <c r="A768" s="2">
        <v>46239</v>
      </c>
      <c r="B768" s="79" t="s">
        <v>15</v>
      </c>
      <c r="C768" s="79" t="s">
        <v>11</v>
      </c>
      <c r="D768" s="10"/>
      <c r="E768" s="11"/>
      <c r="F768" s="11"/>
      <c r="G768">
        <v>468</v>
      </c>
    </row>
    <row r="769" spans="1:7" hidden="1" x14ac:dyDescent="0.2">
      <c r="A769" s="2">
        <v>46240</v>
      </c>
      <c r="B769" s="79" t="s">
        <v>17</v>
      </c>
      <c r="C769" s="79" t="s">
        <v>11</v>
      </c>
      <c r="D769" s="10"/>
      <c r="E769" s="11"/>
      <c r="F769" s="11"/>
      <c r="G769">
        <v>62</v>
      </c>
    </row>
    <row r="770" spans="1:7" hidden="1" x14ac:dyDescent="0.2">
      <c r="A770" s="2">
        <v>46241</v>
      </c>
      <c r="B770" s="79" t="s">
        <v>19</v>
      </c>
      <c r="C770" s="79" t="s">
        <v>11</v>
      </c>
      <c r="D770" s="10"/>
      <c r="E770" s="11"/>
      <c r="F770" s="11"/>
      <c r="G770">
        <v>40</v>
      </c>
    </row>
    <row r="771" spans="1:7" hidden="1" x14ac:dyDescent="0.2">
      <c r="A771" s="2">
        <v>46242</v>
      </c>
      <c r="B771" s="79" t="s">
        <v>21</v>
      </c>
      <c r="C771" s="79" t="s">
        <v>11</v>
      </c>
      <c r="D771" s="10"/>
      <c r="E771" s="11"/>
      <c r="F771" s="11"/>
      <c r="G771">
        <v>120</v>
      </c>
    </row>
    <row r="772" spans="1:7" hidden="1" x14ac:dyDescent="0.2">
      <c r="A772" s="2">
        <v>46243</v>
      </c>
      <c r="B772" s="79" t="s">
        <v>23</v>
      </c>
      <c r="C772" s="79" t="s">
        <v>11</v>
      </c>
      <c r="D772" s="10"/>
      <c r="E772" s="11"/>
      <c r="F772" s="11"/>
      <c r="G772">
        <v>310</v>
      </c>
    </row>
    <row r="773" spans="1:7" hidden="1" x14ac:dyDescent="0.2">
      <c r="A773" s="2">
        <v>46244</v>
      </c>
      <c r="B773" s="79" t="s">
        <v>10</v>
      </c>
      <c r="C773" s="79" t="s">
        <v>11</v>
      </c>
      <c r="D773" s="10"/>
      <c r="E773" s="11"/>
      <c r="F773" s="11"/>
      <c r="G773">
        <v>450</v>
      </c>
    </row>
    <row r="774" spans="1:7" hidden="1" x14ac:dyDescent="0.2">
      <c r="A774" s="2">
        <v>46245</v>
      </c>
      <c r="B774" s="79" t="s">
        <v>13</v>
      </c>
      <c r="C774" s="79" t="s">
        <v>11</v>
      </c>
      <c r="D774" s="10"/>
      <c r="E774" s="11"/>
      <c r="F774" s="11"/>
      <c r="G774">
        <v>625</v>
      </c>
    </row>
    <row r="775" spans="1:7" hidden="1" x14ac:dyDescent="0.2">
      <c r="A775" s="2">
        <v>46246</v>
      </c>
      <c r="B775" s="79" t="s">
        <v>15</v>
      </c>
      <c r="C775" s="79" t="s">
        <v>11</v>
      </c>
      <c r="D775" s="10"/>
      <c r="E775" s="11"/>
      <c r="F775" s="11"/>
      <c r="G775" s="4">
        <v>1010</v>
      </c>
    </row>
    <row r="776" spans="1:7" hidden="1" x14ac:dyDescent="0.2">
      <c r="A776" s="2">
        <v>46247</v>
      </c>
      <c r="B776" s="79" t="s">
        <v>17</v>
      </c>
      <c r="C776" s="79" t="s">
        <v>11</v>
      </c>
      <c r="D776" s="10"/>
      <c r="E776" s="11"/>
      <c r="F776" s="11"/>
      <c r="G776" s="4">
        <v>2510</v>
      </c>
    </row>
    <row r="777" spans="1:7" hidden="1" x14ac:dyDescent="0.2">
      <c r="A777" s="2">
        <v>46248</v>
      </c>
      <c r="B777" s="79" t="s">
        <v>19</v>
      </c>
      <c r="C777" s="79" t="s">
        <v>11</v>
      </c>
      <c r="D777" s="10"/>
      <c r="E777" s="11"/>
      <c r="F777" s="11"/>
      <c r="G777" s="4">
        <v>2800</v>
      </c>
    </row>
    <row r="778" spans="1:7" hidden="1" x14ac:dyDescent="0.2">
      <c r="A778" s="2">
        <v>46249</v>
      </c>
      <c r="B778" s="79" t="s">
        <v>21</v>
      </c>
      <c r="C778" s="79" t="s">
        <v>11</v>
      </c>
      <c r="D778" s="10"/>
      <c r="E778" s="11"/>
      <c r="F778" s="11"/>
      <c r="G778" s="4">
        <v>2400</v>
      </c>
    </row>
    <row r="779" spans="1:7" hidden="1" x14ac:dyDescent="0.2">
      <c r="A779" s="2">
        <v>46250</v>
      </c>
      <c r="B779" s="79" t="s">
        <v>23</v>
      </c>
      <c r="C779" s="79" t="s">
        <v>11</v>
      </c>
      <c r="D779" s="10"/>
      <c r="E779" s="11"/>
      <c r="F779" s="11"/>
      <c r="G779" s="4">
        <v>1225</v>
      </c>
    </row>
    <row r="780" spans="1:7" hidden="1" x14ac:dyDescent="0.2">
      <c r="A780" s="2">
        <v>46251</v>
      </c>
      <c r="B780" s="79" t="s">
        <v>10</v>
      </c>
      <c r="C780" s="79" t="s">
        <v>11</v>
      </c>
      <c r="D780" s="10"/>
      <c r="E780" s="11"/>
      <c r="F780" s="11"/>
      <c r="G780">
        <v>354</v>
      </c>
    </row>
    <row r="781" spans="1:7" hidden="1" x14ac:dyDescent="0.2">
      <c r="A781" s="2">
        <v>46252</v>
      </c>
      <c r="B781" s="79" t="s">
        <v>13</v>
      </c>
      <c r="C781" s="79" t="s">
        <v>11</v>
      </c>
      <c r="D781" s="10"/>
      <c r="E781" s="11"/>
      <c r="F781" s="11"/>
      <c r="G781">
        <v>160</v>
      </c>
    </row>
    <row r="782" spans="1:7" hidden="1" x14ac:dyDescent="0.2">
      <c r="A782" s="2">
        <v>46253</v>
      </c>
      <c r="B782" s="79" t="s">
        <v>15</v>
      </c>
      <c r="C782" s="79" t="s">
        <v>11</v>
      </c>
      <c r="D782" s="10"/>
      <c r="E782" s="11"/>
      <c r="F782" s="11"/>
      <c r="G782">
        <v>360</v>
      </c>
    </row>
    <row r="783" spans="1:7" hidden="1" x14ac:dyDescent="0.2">
      <c r="A783" s="2">
        <v>46254</v>
      </c>
      <c r="B783" s="79" t="s">
        <v>17</v>
      </c>
      <c r="C783" s="79" t="s">
        <v>11</v>
      </c>
      <c r="D783" s="10"/>
      <c r="E783" s="11"/>
      <c r="F783" s="11"/>
      <c r="G783">
        <v>941</v>
      </c>
    </row>
    <row r="784" spans="1:7" hidden="1" x14ac:dyDescent="0.2">
      <c r="A784" s="2">
        <v>46255</v>
      </c>
      <c r="B784" s="79" t="s">
        <v>19</v>
      </c>
      <c r="C784" s="79" t="s">
        <v>11</v>
      </c>
      <c r="D784" s="10"/>
      <c r="E784" s="11"/>
      <c r="F784" s="11"/>
      <c r="G784" s="4">
        <v>1188</v>
      </c>
    </row>
    <row r="785" spans="1:7" hidden="1" x14ac:dyDescent="0.2">
      <c r="A785" s="2">
        <v>46256</v>
      </c>
      <c r="B785" s="79" t="s">
        <v>21</v>
      </c>
      <c r="C785" s="79" t="s">
        <v>11</v>
      </c>
      <c r="D785" s="10"/>
      <c r="E785" s="11"/>
      <c r="F785" s="11"/>
      <c r="G785">
        <v>983</v>
      </c>
    </row>
    <row r="786" spans="1:7" hidden="1" x14ac:dyDescent="0.2">
      <c r="A786" s="2">
        <v>46257</v>
      </c>
      <c r="B786" s="79" t="s">
        <v>23</v>
      </c>
      <c r="C786" s="79" t="s">
        <v>11</v>
      </c>
      <c r="D786" s="10"/>
      <c r="E786" s="11"/>
      <c r="F786" s="11"/>
      <c r="G786">
        <v>395</v>
      </c>
    </row>
    <row r="787" spans="1:7" hidden="1" x14ac:dyDescent="0.2">
      <c r="A787" s="2">
        <v>46258</v>
      </c>
      <c r="B787" s="79" t="s">
        <v>10</v>
      </c>
      <c r="C787" s="79" t="s">
        <v>11</v>
      </c>
      <c r="D787" s="10"/>
      <c r="E787" s="11"/>
      <c r="F787" s="11"/>
      <c r="G787">
        <v>161</v>
      </c>
    </row>
    <row r="788" spans="1:7" hidden="1" x14ac:dyDescent="0.2">
      <c r="A788" s="2">
        <v>46259</v>
      </c>
      <c r="B788" s="79" t="s">
        <v>13</v>
      </c>
      <c r="C788" s="79" t="s">
        <v>11</v>
      </c>
      <c r="D788" s="10"/>
      <c r="E788" s="11"/>
      <c r="F788" s="11"/>
      <c r="G788">
        <v>460</v>
      </c>
    </row>
    <row r="789" spans="1:7" hidden="1" x14ac:dyDescent="0.2">
      <c r="A789" s="2">
        <v>46260</v>
      </c>
      <c r="B789" s="79" t="s">
        <v>15</v>
      </c>
      <c r="C789" s="79" t="s">
        <v>11</v>
      </c>
      <c r="D789" s="10"/>
      <c r="E789" s="11"/>
      <c r="F789" s="11"/>
      <c r="G789">
        <v>875</v>
      </c>
    </row>
    <row r="790" spans="1:7" hidden="1" x14ac:dyDescent="0.2">
      <c r="A790" s="2">
        <v>46261</v>
      </c>
      <c r="B790" s="79" t="s">
        <v>17</v>
      </c>
      <c r="C790" s="79" t="s">
        <v>11</v>
      </c>
      <c r="D790" s="10"/>
      <c r="E790" s="11"/>
      <c r="F790" s="11"/>
      <c r="G790" s="4">
        <v>1460</v>
      </c>
    </row>
    <row r="791" spans="1:7" hidden="1" x14ac:dyDescent="0.2">
      <c r="A791" s="2">
        <v>46262</v>
      </c>
      <c r="B791" s="79" t="s">
        <v>19</v>
      </c>
      <c r="C791" s="79" t="s">
        <v>11</v>
      </c>
      <c r="D791" s="10"/>
      <c r="E791" s="11"/>
      <c r="F791" s="11"/>
      <c r="G791" s="4">
        <v>1600</v>
      </c>
    </row>
    <row r="792" spans="1:7" hidden="1" x14ac:dyDescent="0.2">
      <c r="A792" s="2">
        <v>46263</v>
      </c>
      <c r="B792" s="79" t="s">
        <v>21</v>
      </c>
      <c r="C792" s="79" t="s">
        <v>11</v>
      </c>
      <c r="D792" s="10"/>
      <c r="E792" s="11"/>
      <c r="F792" s="11"/>
      <c r="G792" s="4">
        <v>1600</v>
      </c>
    </row>
    <row r="793" spans="1:7" hidden="1" x14ac:dyDescent="0.2">
      <c r="A793" s="2">
        <v>46264</v>
      </c>
      <c r="B793" s="79" t="s">
        <v>23</v>
      </c>
      <c r="C793" s="79" t="s">
        <v>11</v>
      </c>
      <c r="D793" s="10"/>
      <c r="E793" s="11"/>
      <c r="F793" s="11"/>
      <c r="G793" s="4">
        <v>1440</v>
      </c>
    </row>
    <row r="794" spans="1:7" hidden="1" x14ac:dyDescent="0.2">
      <c r="A794" s="2">
        <v>46265</v>
      </c>
      <c r="B794" s="79" t="s">
        <v>10</v>
      </c>
      <c r="C794" s="79" t="s">
        <v>11</v>
      </c>
      <c r="D794" s="10"/>
      <c r="E794" s="11"/>
      <c r="F794" s="11"/>
      <c r="G794">
        <v>810</v>
      </c>
    </row>
    <row r="795" spans="1:7" hidden="1" x14ac:dyDescent="0.2">
      <c r="A795" s="2">
        <v>46266</v>
      </c>
      <c r="B795" s="79" t="s">
        <v>13</v>
      </c>
      <c r="C795" s="79" t="s">
        <v>11</v>
      </c>
      <c r="D795" s="10"/>
      <c r="E795" s="11"/>
      <c r="F795" s="11"/>
      <c r="G795">
        <v>170</v>
      </c>
    </row>
    <row r="796" spans="1:7" hidden="1" x14ac:dyDescent="0.2">
      <c r="A796" s="2">
        <v>46267</v>
      </c>
      <c r="B796" s="79" t="s">
        <v>15</v>
      </c>
      <c r="C796" s="79" t="s">
        <v>11</v>
      </c>
      <c r="D796" s="10"/>
      <c r="E796" s="11"/>
      <c r="F796" s="11"/>
      <c r="G796">
        <v>0</v>
      </c>
    </row>
    <row r="797" spans="1:7" hidden="1" x14ac:dyDescent="0.2">
      <c r="A797" s="2">
        <v>46268</v>
      </c>
      <c r="B797" s="79" t="s">
        <v>17</v>
      </c>
      <c r="C797" s="79" t="s">
        <v>11</v>
      </c>
      <c r="D797" s="10"/>
      <c r="E797" s="11"/>
      <c r="F797" s="11"/>
      <c r="G797">
        <v>0</v>
      </c>
    </row>
    <row r="798" spans="1:7" hidden="1" x14ac:dyDescent="0.2">
      <c r="A798" s="2">
        <v>46269</v>
      </c>
      <c r="B798" s="79" t="s">
        <v>19</v>
      </c>
      <c r="C798" s="79" t="s">
        <v>11</v>
      </c>
      <c r="D798" s="10"/>
      <c r="E798" s="11"/>
      <c r="F798" s="11"/>
      <c r="G798">
        <v>0</v>
      </c>
    </row>
    <row r="799" spans="1:7" hidden="1" x14ac:dyDescent="0.2">
      <c r="A799" s="2">
        <v>46270</v>
      </c>
      <c r="B799" s="79" t="s">
        <v>21</v>
      </c>
      <c r="C799" s="79" t="s">
        <v>11</v>
      </c>
      <c r="D799" s="10"/>
      <c r="E799" s="11"/>
      <c r="F799" s="11"/>
      <c r="G799">
        <v>10</v>
      </c>
    </row>
    <row r="800" spans="1:7" hidden="1" x14ac:dyDescent="0.2">
      <c r="A800" s="2">
        <v>46271</v>
      </c>
      <c r="B800" s="79" t="s">
        <v>23</v>
      </c>
      <c r="C800" s="79" t="s">
        <v>11</v>
      </c>
      <c r="D800" s="10"/>
      <c r="E800" s="11"/>
      <c r="F800" s="11"/>
      <c r="G800">
        <v>10</v>
      </c>
    </row>
    <row r="801" spans="1:7" hidden="1" x14ac:dyDescent="0.2">
      <c r="A801" s="2">
        <v>46272</v>
      </c>
      <c r="B801" s="79" t="s">
        <v>10</v>
      </c>
      <c r="C801" s="79" t="s">
        <v>11</v>
      </c>
      <c r="D801" s="10"/>
      <c r="E801" s="11"/>
      <c r="F801" s="11"/>
      <c r="G801">
        <v>30</v>
      </c>
    </row>
    <row r="802" spans="1:7" hidden="1" x14ac:dyDescent="0.2">
      <c r="A802" s="2">
        <v>46273</v>
      </c>
      <c r="B802" s="79" t="s">
        <v>13</v>
      </c>
      <c r="C802" s="79" t="s">
        <v>11</v>
      </c>
      <c r="D802" s="10"/>
      <c r="E802" s="11"/>
      <c r="F802" s="11"/>
      <c r="G802">
        <v>110</v>
      </c>
    </row>
    <row r="803" spans="1:7" hidden="1" x14ac:dyDescent="0.2">
      <c r="A803" s="2">
        <v>46274</v>
      </c>
      <c r="B803" s="79" t="s">
        <v>15</v>
      </c>
      <c r="C803" s="79" t="s">
        <v>11</v>
      </c>
      <c r="D803" s="10"/>
      <c r="E803" s="11"/>
      <c r="F803" s="11"/>
      <c r="G803">
        <v>550</v>
      </c>
    </row>
    <row r="804" spans="1:7" hidden="1" x14ac:dyDescent="0.2">
      <c r="A804" s="2">
        <v>46275</v>
      </c>
      <c r="B804" s="79" t="s">
        <v>17</v>
      </c>
      <c r="C804" s="79" t="s">
        <v>11</v>
      </c>
      <c r="D804" s="10"/>
      <c r="E804" s="11"/>
      <c r="F804" s="11"/>
      <c r="G804" s="4">
        <v>3005</v>
      </c>
    </row>
    <row r="805" spans="1:7" hidden="1" x14ac:dyDescent="0.2">
      <c r="A805" s="2">
        <v>46276</v>
      </c>
      <c r="B805" s="79" t="s">
        <v>19</v>
      </c>
      <c r="C805" s="79" t="s">
        <v>11</v>
      </c>
      <c r="D805" s="10"/>
      <c r="E805" s="11"/>
      <c r="F805" s="11"/>
      <c r="G805" s="4">
        <v>3711</v>
      </c>
    </row>
    <row r="806" spans="1:7" hidden="1" x14ac:dyDescent="0.2">
      <c r="A806" s="2">
        <v>46277</v>
      </c>
      <c r="B806" s="79" t="s">
        <v>21</v>
      </c>
      <c r="C806" s="79" t="s">
        <v>11</v>
      </c>
      <c r="D806" s="10"/>
      <c r="E806" s="11"/>
      <c r="F806" s="11"/>
      <c r="G806" s="4">
        <v>3011</v>
      </c>
    </row>
    <row r="807" spans="1:7" hidden="1" x14ac:dyDescent="0.2">
      <c r="A807" s="2">
        <v>46278</v>
      </c>
      <c r="B807" s="79" t="s">
        <v>23</v>
      </c>
      <c r="C807" s="79" t="s">
        <v>11</v>
      </c>
      <c r="D807" s="10"/>
      <c r="E807" s="11"/>
      <c r="F807" s="11"/>
      <c r="G807">
        <v>225</v>
      </c>
    </row>
    <row r="808" spans="1:7" hidden="1" x14ac:dyDescent="0.2">
      <c r="A808" s="2">
        <v>46279</v>
      </c>
      <c r="B808" s="79" t="s">
        <v>10</v>
      </c>
      <c r="C808" s="79" t="s">
        <v>11</v>
      </c>
      <c r="D808" s="10"/>
      <c r="E808" s="11"/>
      <c r="F808" s="11"/>
      <c r="G808">
        <v>825</v>
      </c>
    </row>
    <row r="809" spans="1:7" hidden="1" x14ac:dyDescent="0.2">
      <c r="A809" s="2">
        <v>46280</v>
      </c>
      <c r="B809" s="79" t="s">
        <v>13</v>
      </c>
      <c r="C809" s="79" t="s">
        <v>11</v>
      </c>
      <c r="D809" s="10"/>
      <c r="E809" s="11"/>
      <c r="F809" s="11"/>
      <c r="G809" s="4">
        <v>1725</v>
      </c>
    </row>
    <row r="810" spans="1:7" hidden="1" x14ac:dyDescent="0.2">
      <c r="A810" s="2">
        <v>46281</v>
      </c>
      <c r="B810" s="79" t="s">
        <v>15</v>
      </c>
      <c r="C810" s="79" t="s">
        <v>11</v>
      </c>
      <c r="D810" s="10"/>
      <c r="E810" s="11"/>
      <c r="F810" s="11"/>
      <c r="G810" s="4">
        <v>2425</v>
      </c>
    </row>
    <row r="811" spans="1:7" hidden="1" x14ac:dyDescent="0.2">
      <c r="A811" s="2">
        <v>46282</v>
      </c>
      <c r="B811" s="79" t="s">
        <v>17</v>
      </c>
      <c r="C811" s="79" t="s">
        <v>11</v>
      </c>
      <c r="D811" s="10"/>
      <c r="E811" s="11"/>
      <c r="F811" s="11"/>
      <c r="G811" s="4">
        <v>2575</v>
      </c>
    </row>
    <row r="812" spans="1:7" hidden="1" x14ac:dyDescent="0.2">
      <c r="A812" s="2">
        <v>46283</v>
      </c>
      <c r="B812" s="79" t="s">
        <v>19</v>
      </c>
      <c r="C812" s="79" t="s">
        <v>11</v>
      </c>
      <c r="D812" s="10"/>
      <c r="E812" s="11"/>
      <c r="F812" s="11"/>
      <c r="G812" s="4">
        <v>1227</v>
      </c>
    </row>
    <row r="813" spans="1:7" hidden="1" x14ac:dyDescent="0.2">
      <c r="A813" s="2">
        <v>46284</v>
      </c>
      <c r="B813" s="79" t="s">
        <v>21</v>
      </c>
      <c r="C813" s="79" t="s">
        <v>11</v>
      </c>
      <c r="D813" s="10"/>
      <c r="E813" s="11"/>
      <c r="F813" s="11"/>
      <c r="G813" s="4">
        <v>1123</v>
      </c>
    </row>
    <row r="814" spans="1:7" hidden="1" x14ac:dyDescent="0.2">
      <c r="A814" s="2">
        <v>46285</v>
      </c>
      <c r="B814" s="79" t="s">
        <v>23</v>
      </c>
      <c r="C814" s="79" t="s">
        <v>11</v>
      </c>
      <c r="D814" s="10"/>
      <c r="E814" s="11"/>
      <c r="F814" s="11"/>
      <c r="G814">
        <v>299</v>
      </c>
    </row>
    <row r="815" spans="1:7" hidden="1" x14ac:dyDescent="0.2">
      <c r="A815" s="2">
        <v>46286</v>
      </c>
      <c r="B815" s="79" t="s">
        <v>10</v>
      </c>
      <c r="C815" s="79" t="s">
        <v>11</v>
      </c>
      <c r="D815" s="10"/>
      <c r="E815" s="11"/>
      <c r="F815" s="11"/>
      <c r="G815" s="4">
        <v>1664</v>
      </c>
    </row>
    <row r="816" spans="1:7" hidden="1" x14ac:dyDescent="0.2">
      <c r="A816" s="2">
        <v>46287</v>
      </c>
      <c r="B816" s="79" t="s">
        <v>13</v>
      </c>
      <c r="C816" s="79" t="s">
        <v>11</v>
      </c>
      <c r="D816" s="10"/>
      <c r="E816" s="11"/>
      <c r="F816" s="11"/>
      <c r="G816" s="4">
        <v>2200</v>
      </c>
    </row>
    <row r="817" spans="1:7" hidden="1" x14ac:dyDescent="0.2">
      <c r="A817" s="2">
        <v>46288</v>
      </c>
      <c r="B817" s="79" t="s">
        <v>15</v>
      </c>
      <c r="C817" s="79" t="s">
        <v>11</v>
      </c>
      <c r="D817" s="10"/>
      <c r="E817" s="11"/>
      <c r="F817" s="11"/>
      <c r="G817" s="4">
        <v>2025</v>
      </c>
    </row>
    <row r="818" spans="1:7" hidden="1" x14ac:dyDescent="0.2">
      <c r="A818" s="2">
        <v>46289</v>
      </c>
      <c r="B818" s="79" t="s">
        <v>17</v>
      </c>
      <c r="C818" s="79" t="s">
        <v>11</v>
      </c>
      <c r="D818" s="10"/>
      <c r="E818" s="11"/>
      <c r="F818" s="11"/>
      <c r="G818" s="4">
        <v>1583</v>
      </c>
    </row>
    <row r="819" spans="1:7" hidden="1" x14ac:dyDescent="0.2">
      <c r="A819" s="2">
        <v>46290</v>
      </c>
      <c r="B819" s="79" t="s">
        <v>19</v>
      </c>
      <c r="C819" s="79" t="s">
        <v>11</v>
      </c>
      <c r="D819" s="10"/>
      <c r="E819" s="11"/>
      <c r="F819" s="11"/>
      <c r="G819">
        <v>65</v>
      </c>
    </row>
    <row r="820" spans="1:7" hidden="1" x14ac:dyDescent="0.2">
      <c r="A820" s="2">
        <v>46291</v>
      </c>
      <c r="B820" s="79" t="s">
        <v>21</v>
      </c>
      <c r="C820" s="79" t="s">
        <v>11</v>
      </c>
      <c r="D820" s="10"/>
      <c r="E820" s="11"/>
      <c r="F820" s="11"/>
      <c r="G820">
        <v>42</v>
      </c>
    </row>
    <row r="821" spans="1:7" hidden="1" x14ac:dyDescent="0.2">
      <c r="A821" s="2">
        <v>46292</v>
      </c>
      <c r="B821" s="79" t="s">
        <v>23</v>
      </c>
      <c r="C821" s="79" t="s">
        <v>11</v>
      </c>
      <c r="D821" s="10"/>
      <c r="E821" s="11"/>
      <c r="F821" s="11"/>
      <c r="G821">
        <v>134</v>
      </c>
    </row>
    <row r="822" spans="1:7" hidden="1" x14ac:dyDescent="0.2">
      <c r="A822" s="2">
        <v>46293</v>
      </c>
      <c r="B822" s="79" t="s">
        <v>10</v>
      </c>
      <c r="C822" s="79" t="s">
        <v>11</v>
      </c>
      <c r="D822" s="10"/>
      <c r="E822" s="11"/>
      <c r="F822" s="11"/>
      <c r="G822">
        <v>558</v>
      </c>
    </row>
    <row r="823" spans="1:7" hidden="1" x14ac:dyDescent="0.2">
      <c r="A823" s="2">
        <v>46294</v>
      </c>
      <c r="B823" s="79" t="s">
        <v>13</v>
      </c>
      <c r="C823" s="79" t="s">
        <v>11</v>
      </c>
      <c r="D823" s="10"/>
      <c r="E823" s="11"/>
      <c r="F823" s="11"/>
      <c r="G823" s="4">
        <v>1762</v>
      </c>
    </row>
    <row r="824" spans="1:7" hidden="1" x14ac:dyDescent="0.2">
      <c r="A824" s="2">
        <v>46295</v>
      </c>
      <c r="B824" s="79" t="s">
        <v>15</v>
      </c>
      <c r="C824" s="79" t="s">
        <v>11</v>
      </c>
      <c r="D824" s="10"/>
      <c r="E824" s="11"/>
      <c r="F824" s="11"/>
      <c r="G824" s="4">
        <v>2515</v>
      </c>
    </row>
    <row r="825" spans="1:7" hidden="1" x14ac:dyDescent="0.2">
      <c r="A825" s="2">
        <v>46296</v>
      </c>
      <c r="B825" s="79" t="s">
        <v>17</v>
      </c>
      <c r="C825" s="79" t="s">
        <v>11</v>
      </c>
      <c r="D825" s="10"/>
      <c r="E825" s="11"/>
      <c r="F825" s="11"/>
      <c r="G825" s="4">
        <v>2500</v>
      </c>
    </row>
    <row r="826" spans="1:7" hidden="1" x14ac:dyDescent="0.2">
      <c r="A826" s="2">
        <v>46297</v>
      </c>
      <c r="B826" s="79" t="s">
        <v>19</v>
      </c>
      <c r="C826" s="79" t="s">
        <v>11</v>
      </c>
      <c r="D826" s="10"/>
      <c r="E826" s="11"/>
      <c r="F826" s="11"/>
      <c r="G826" s="4">
        <v>1994</v>
      </c>
    </row>
    <row r="827" spans="1:7" hidden="1" x14ac:dyDescent="0.2">
      <c r="A827" s="2">
        <v>46298</v>
      </c>
      <c r="B827" s="79" t="s">
        <v>21</v>
      </c>
      <c r="C827" s="79" t="s">
        <v>11</v>
      </c>
      <c r="D827" s="10"/>
      <c r="E827" s="11"/>
      <c r="F827" s="11"/>
      <c r="G827" s="4">
        <v>1255</v>
      </c>
    </row>
    <row r="828" spans="1:7" hidden="1" x14ac:dyDescent="0.2">
      <c r="A828" s="2">
        <v>46299</v>
      </c>
      <c r="B828" s="79" t="s">
        <v>23</v>
      </c>
      <c r="C828" s="79" t="s">
        <v>11</v>
      </c>
      <c r="D828" s="10"/>
      <c r="E828" s="11"/>
      <c r="F828" s="11"/>
      <c r="G828">
        <v>335</v>
      </c>
    </row>
    <row r="829" spans="1:7" hidden="1" x14ac:dyDescent="0.2">
      <c r="A829" s="2">
        <v>46300</v>
      </c>
      <c r="B829" s="79" t="s">
        <v>10</v>
      </c>
      <c r="C829" s="79" t="s">
        <v>11</v>
      </c>
      <c r="D829" s="10"/>
      <c r="E829" s="11"/>
      <c r="F829" s="11"/>
      <c r="G829">
        <v>303</v>
      </c>
    </row>
    <row r="830" spans="1:7" hidden="1" x14ac:dyDescent="0.2">
      <c r="A830" s="2">
        <v>46301</v>
      </c>
      <c r="B830" s="79" t="s">
        <v>13</v>
      </c>
      <c r="C830" s="79" t="s">
        <v>11</v>
      </c>
      <c r="D830" s="10"/>
      <c r="E830" s="11"/>
      <c r="F830" s="11"/>
      <c r="G830">
        <v>8</v>
      </c>
    </row>
    <row r="831" spans="1:7" hidden="1" x14ac:dyDescent="0.2">
      <c r="A831" s="2">
        <v>46302</v>
      </c>
      <c r="B831" s="79" t="s">
        <v>15</v>
      </c>
      <c r="C831" s="79" t="s">
        <v>11</v>
      </c>
      <c r="D831" s="10"/>
      <c r="E831" s="11"/>
      <c r="F831" s="11"/>
      <c r="G831">
        <v>0</v>
      </c>
    </row>
    <row r="832" spans="1:7" hidden="1" x14ac:dyDescent="0.2">
      <c r="A832" s="2">
        <v>46303</v>
      </c>
      <c r="B832" s="79" t="s">
        <v>17</v>
      </c>
      <c r="C832" s="79" t="s">
        <v>11</v>
      </c>
      <c r="D832" s="10"/>
      <c r="E832" s="11"/>
      <c r="F832" s="11"/>
      <c r="G832">
        <v>7</v>
      </c>
    </row>
    <row r="833" spans="1:7" hidden="1" x14ac:dyDescent="0.2">
      <c r="A833" s="2">
        <v>46304</v>
      </c>
      <c r="B833" s="79" t="s">
        <v>19</v>
      </c>
      <c r="C833" s="79" t="s">
        <v>11</v>
      </c>
      <c r="D833" s="10"/>
      <c r="E833" s="11"/>
      <c r="F833" s="11"/>
      <c r="G833">
        <v>45</v>
      </c>
    </row>
    <row r="834" spans="1:7" hidden="1" x14ac:dyDescent="0.2">
      <c r="A834" s="2">
        <v>46305</v>
      </c>
      <c r="B834" s="79" t="s">
        <v>21</v>
      </c>
      <c r="C834" s="79" t="s">
        <v>11</v>
      </c>
      <c r="D834" s="10"/>
      <c r="E834" s="11"/>
      <c r="F834" s="11"/>
      <c r="G834">
        <v>40</v>
      </c>
    </row>
    <row r="835" spans="1:7" hidden="1" x14ac:dyDescent="0.2">
      <c r="A835" s="2">
        <v>46306</v>
      </c>
      <c r="B835" s="79" t="s">
        <v>23</v>
      </c>
      <c r="C835" s="79" t="s">
        <v>11</v>
      </c>
      <c r="D835" s="10"/>
      <c r="E835" s="11"/>
      <c r="F835" s="11"/>
      <c r="G835">
        <v>201</v>
      </c>
    </row>
    <row r="836" spans="1:7" hidden="1" x14ac:dyDescent="0.2">
      <c r="A836" s="2">
        <v>46307</v>
      </c>
      <c r="B836" s="79" t="s">
        <v>10</v>
      </c>
      <c r="C836" s="79" t="s">
        <v>11</v>
      </c>
      <c r="D836" s="10"/>
      <c r="E836" s="11"/>
      <c r="F836" s="11"/>
      <c r="G836">
        <v>200</v>
      </c>
    </row>
    <row r="837" spans="1:7" hidden="1" x14ac:dyDescent="0.2">
      <c r="A837" s="2">
        <v>46308</v>
      </c>
      <c r="B837" s="79" t="s">
        <v>13</v>
      </c>
      <c r="C837" s="79" t="s">
        <v>11</v>
      </c>
      <c r="D837" s="10"/>
      <c r="E837" s="11"/>
      <c r="F837" s="11"/>
      <c r="G837">
        <v>200</v>
      </c>
    </row>
    <row r="838" spans="1:7" hidden="1" x14ac:dyDescent="0.2">
      <c r="A838" s="2">
        <v>46309</v>
      </c>
      <c r="B838" s="79" t="s">
        <v>15</v>
      </c>
      <c r="C838" s="79" t="s">
        <v>11</v>
      </c>
      <c r="D838" s="10"/>
      <c r="E838" s="11"/>
      <c r="F838" s="11"/>
      <c r="G838" s="4">
        <v>1100</v>
      </c>
    </row>
    <row r="839" spans="1:7" hidden="1" x14ac:dyDescent="0.2">
      <c r="A839" s="2">
        <v>46310</v>
      </c>
      <c r="B839" s="79" t="s">
        <v>17</v>
      </c>
      <c r="C839" s="79" t="s">
        <v>11</v>
      </c>
      <c r="D839" s="10"/>
      <c r="E839" s="11"/>
      <c r="F839" s="11"/>
      <c r="G839" s="4">
        <v>2835</v>
      </c>
    </row>
    <row r="840" spans="1:7" hidden="1" x14ac:dyDescent="0.2">
      <c r="A840" s="2">
        <v>46311</v>
      </c>
      <c r="B840" s="79" t="s">
        <v>19</v>
      </c>
      <c r="C840" s="79" t="s">
        <v>11</v>
      </c>
      <c r="D840" s="10"/>
      <c r="E840" s="11"/>
      <c r="F840" s="11"/>
      <c r="G840" s="4">
        <v>3095</v>
      </c>
    </row>
    <row r="841" spans="1:7" hidden="1" x14ac:dyDescent="0.2">
      <c r="A841" s="2">
        <v>46312</v>
      </c>
      <c r="B841" s="79" t="s">
        <v>21</v>
      </c>
      <c r="C841" s="79" t="s">
        <v>11</v>
      </c>
      <c r="D841" s="10"/>
      <c r="E841" s="11"/>
      <c r="F841" s="11"/>
      <c r="G841" s="4">
        <v>2545</v>
      </c>
    </row>
    <row r="842" spans="1:7" hidden="1" x14ac:dyDescent="0.2">
      <c r="A842" s="2">
        <v>46313</v>
      </c>
      <c r="B842" s="79" t="s">
        <v>23</v>
      </c>
      <c r="C842" s="79" t="s">
        <v>11</v>
      </c>
      <c r="D842" s="10"/>
      <c r="E842" s="11"/>
      <c r="F842" s="11"/>
      <c r="G842">
        <v>0</v>
      </c>
    </row>
    <row r="843" spans="1:7" hidden="1" x14ac:dyDescent="0.2">
      <c r="A843" s="2">
        <v>46314</v>
      </c>
      <c r="B843" s="79" t="s">
        <v>10</v>
      </c>
      <c r="C843" s="79" t="s">
        <v>11</v>
      </c>
      <c r="D843" s="10"/>
      <c r="E843" s="11"/>
      <c r="F843" s="11"/>
      <c r="G843">
        <v>0</v>
      </c>
    </row>
    <row r="844" spans="1:7" hidden="1" x14ac:dyDescent="0.2">
      <c r="A844" s="2">
        <v>46315</v>
      </c>
      <c r="B844" s="79" t="s">
        <v>13</v>
      </c>
      <c r="C844" s="79" t="s">
        <v>11</v>
      </c>
      <c r="D844" s="10"/>
      <c r="E844" s="11"/>
      <c r="F844" s="11"/>
      <c r="G844">
        <v>0</v>
      </c>
    </row>
    <row r="845" spans="1:7" hidden="1" x14ac:dyDescent="0.2">
      <c r="A845" s="2">
        <v>46316</v>
      </c>
      <c r="B845" s="79" t="s">
        <v>15</v>
      </c>
      <c r="C845" s="79" t="s">
        <v>11</v>
      </c>
      <c r="D845" s="10"/>
      <c r="E845" s="11"/>
      <c r="F845" s="11"/>
      <c r="G845">
        <v>88</v>
      </c>
    </row>
    <row r="846" spans="1:7" hidden="1" x14ac:dyDescent="0.2">
      <c r="A846" s="2">
        <v>46317</v>
      </c>
      <c r="B846" s="79" t="s">
        <v>17</v>
      </c>
      <c r="C846" s="79" t="s">
        <v>11</v>
      </c>
      <c r="D846" s="10"/>
      <c r="E846" s="11"/>
      <c r="F846" s="11"/>
      <c r="G846" s="4">
        <v>2793</v>
      </c>
    </row>
    <row r="847" spans="1:7" hidden="1" x14ac:dyDescent="0.2">
      <c r="A847" s="2">
        <v>46318</v>
      </c>
      <c r="B847" s="79" t="s">
        <v>19</v>
      </c>
      <c r="C847" s="79" t="s">
        <v>11</v>
      </c>
      <c r="D847" s="10"/>
      <c r="E847" s="11"/>
      <c r="F847" s="11"/>
      <c r="G847">
        <v>708</v>
      </c>
    </row>
    <row r="848" spans="1:7" hidden="1" x14ac:dyDescent="0.2">
      <c r="A848" s="2">
        <v>46319</v>
      </c>
      <c r="B848" s="79" t="s">
        <v>21</v>
      </c>
      <c r="C848" s="79" t="s">
        <v>11</v>
      </c>
      <c r="D848" s="10"/>
      <c r="E848" s="11"/>
      <c r="F848" s="11"/>
      <c r="G848">
        <v>893</v>
      </c>
    </row>
    <row r="849" spans="1:7" hidden="1" x14ac:dyDescent="0.2">
      <c r="A849" s="2">
        <v>46320</v>
      </c>
      <c r="B849" s="79" t="s">
        <v>23</v>
      </c>
      <c r="C849" s="79" t="s">
        <v>11</v>
      </c>
      <c r="D849" s="10"/>
      <c r="E849" s="11"/>
      <c r="F849" s="11"/>
      <c r="G849" s="4">
        <v>1758</v>
      </c>
    </row>
    <row r="850" spans="1:7" hidden="1" x14ac:dyDescent="0.2">
      <c r="A850" s="2">
        <v>46321</v>
      </c>
      <c r="B850" s="79" t="s">
        <v>10</v>
      </c>
      <c r="C850" s="79" t="s">
        <v>11</v>
      </c>
      <c r="D850" s="10"/>
      <c r="E850" s="11"/>
      <c r="F850" s="11"/>
      <c r="G850" s="4">
        <v>4398</v>
      </c>
    </row>
    <row r="851" spans="1:7" hidden="1" x14ac:dyDescent="0.2">
      <c r="A851" s="2">
        <v>46322</v>
      </c>
      <c r="B851" s="79" t="s">
        <v>13</v>
      </c>
      <c r="C851" s="79" t="s">
        <v>11</v>
      </c>
      <c r="D851" s="10"/>
      <c r="E851" s="11"/>
      <c r="F851" s="11"/>
      <c r="G851" s="4">
        <v>10363</v>
      </c>
    </row>
    <row r="852" spans="1:7" hidden="1" x14ac:dyDescent="0.2">
      <c r="A852" s="2">
        <v>46323</v>
      </c>
      <c r="B852" s="79" t="s">
        <v>15</v>
      </c>
      <c r="C852" s="79" t="s">
        <v>11</v>
      </c>
      <c r="D852" s="10"/>
      <c r="E852" s="11"/>
      <c r="F852" s="11"/>
      <c r="G852" s="4">
        <v>10363</v>
      </c>
    </row>
    <row r="853" spans="1:7" hidden="1" x14ac:dyDescent="0.2">
      <c r="A853" s="2">
        <v>46324</v>
      </c>
      <c r="B853" s="79" t="s">
        <v>17</v>
      </c>
      <c r="C853" s="79" t="s">
        <v>11</v>
      </c>
      <c r="D853" s="10"/>
      <c r="E853" s="11"/>
      <c r="F853" s="11"/>
      <c r="G853" s="4">
        <v>10020</v>
      </c>
    </row>
    <row r="854" spans="1:7" hidden="1" x14ac:dyDescent="0.2">
      <c r="A854" s="2">
        <v>46325</v>
      </c>
      <c r="B854" s="79" t="s">
        <v>19</v>
      </c>
      <c r="C854" s="79" t="s">
        <v>11</v>
      </c>
      <c r="D854" s="10"/>
      <c r="E854" s="11"/>
      <c r="F854" s="11"/>
      <c r="G854" s="4">
        <v>5700</v>
      </c>
    </row>
    <row r="855" spans="1:7" hidden="1" x14ac:dyDescent="0.2">
      <c r="A855" s="2">
        <v>46326</v>
      </c>
      <c r="B855" s="79" t="s">
        <v>21</v>
      </c>
      <c r="C855" s="79" t="s">
        <v>11</v>
      </c>
      <c r="D855" s="10"/>
      <c r="E855" s="11"/>
      <c r="F855" s="11"/>
      <c r="G855">
        <v>550</v>
      </c>
    </row>
    <row r="856" spans="1:7" hidden="1" x14ac:dyDescent="0.2">
      <c r="A856" s="2">
        <v>46327</v>
      </c>
      <c r="B856" s="79" t="s">
        <v>23</v>
      </c>
      <c r="C856" s="79" t="s">
        <v>11</v>
      </c>
      <c r="D856" s="10"/>
      <c r="E856" s="11"/>
      <c r="F856" s="11"/>
      <c r="G856">
        <v>200</v>
      </c>
    </row>
    <row r="857" spans="1:7" hidden="1" x14ac:dyDescent="0.2">
      <c r="A857" s="2">
        <v>46328</v>
      </c>
      <c r="B857" s="79" t="s">
        <v>10</v>
      </c>
      <c r="C857" s="79" t="s">
        <v>11</v>
      </c>
      <c r="D857" s="10"/>
      <c r="E857" s="11"/>
      <c r="F857" s="11"/>
      <c r="G857">
        <v>230</v>
      </c>
    </row>
    <row r="858" spans="1:7" hidden="1" x14ac:dyDescent="0.2">
      <c r="A858" s="2">
        <v>46329</v>
      </c>
      <c r="B858" s="79" t="s">
        <v>13</v>
      </c>
      <c r="C858" s="79" t="s">
        <v>11</v>
      </c>
      <c r="D858" s="10"/>
      <c r="E858" s="11"/>
      <c r="F858" s="11"/>
      <c r="G858">
        <v>725</v>
      </c>
    </row>
    <row r="859" spans="1:7" hidden="1" x14ac:dyDescent="0.2">
      <c r="A859" s="2">
        <v>46330</v>
      </c>
      <c r="B859" s="79" t="s">
        <v>15</v>
      </c>
      <c r="C859" s="79" t="s">
        <v>11</v>
      </c>
      <c r="D859" s="10"/>
      <c r="E859" s="11"/>
      <c r="F859" s="11"/>
      <c r="G859" s="4">
        <v>1360</v>
      </c>
    </row>
    <row r="860" spans="1:7" hidden="1" x14ac:dyDescent="0.2">
      <c r="A860" s="2">
        <v>46331</v>
      </c>
      <c r="B860" s="79" t="s">
        <v>17</v>
      </c>
      <c r="C860" s="79" t="s">
        <v>11</v>
      </c>
      <c r="D860" s="10"/>
      <c r="E860" s="11"/>
      <c r="F860" s="11"/>
      <c r="G860" s="4">
        <v>2700</v>
      </c>
    </row>
    <row r="861" spans="1:7" hidden="1" x14ac:dyDescent="0.2">
      <c r="A861" s="2">
        <v>46332</v>
      </c>
      <c r="B861" s="79" t="s">
        <v>19</v>
      </c>
      <c r="C861" s="79" t="s">
        <v>11</v>
      </c>
      <c r="D861" s="10"/>
      <c r="E861" s="11"/>
      <c r="F861" s="11"/>
      <c r="G861" s="4">
        <v>3336</v>
      </c>
    </row>
    <row r="862" spans="1:7" hidden="1" x14ac:dyDescent="0.2">
      <c r="A862" s="2">
        <v>46333</v>
      </c>
      <c r="B862" s="79" t="s">
        <v>21</v>
      </c>
      <c r="C862" s="79" t="s">
        <v>11</v>
      </c>
      <c r="D862" s="10"/>
      <c r="E862" s="11"/>
      <c r="F862" s="11"/>
      <c r="G862" s="4">
        <v>3230</v>
      </c>
    </row>
    <row r="863" spans="1:7" hidden="1" x14ac:dyDescent="0.2">
      <c r="A863" s="2">
        <v>46334</v>
      </c>
      <c r="B863" s="79" t="s">
        <v>23</v>
      </c>
      <c r="C863" s="79" t="s">
        <v>11</v>
      </c>
      <c r="D863" s="10"/>
      <c r="E863" s="11"/>
      <c r="F863" s="11"/>
      <c r="G863" s="4">
        <v>3146</v>
      </c>
    </row>
    <row r="864" spans="1:7" hidden="1" x14ac:dyDescent="0.2">
      <c r="A864" s="2">
        <v>46335</v>
      </c>
      <c r="B864" s="79" t="s">
        <v>10</v>
      </c>
      <c r="C864" s="79" t="s">
        <v>11</v>
      </c>
      <c r="D864" s="10"/>
      <c r="E864" s="11"/>
      <c r="F864" s="11"/>
      <c r="G864" s="4">
        <v>2570</v>
      </c>
    </row>
    <row r="865" spans="1:7" hidden="1" x14ac:dyDescent="0.2">
      <c r="A865" s="2">
        <v>46336</v>
      </c>
      <c r="B865" s="79" t="s">
        <v>13</v>
      </c>
      <c r="C865" s="79" t="s">
        <v>11</v>
      </c>
      <c r="D865" s="10"/>
      <c r="E865" s="11"/>
      <c r="F865" s="11"/>
      <c r="G865">
        <v>570</v>
      </c>
    </row>
    <row r="866" spans="1:7" hidden="1" x14ac:dyDescent="0.2">
      <c r="A866" s="2">
        <v>46337</v>
      </c>
      <c r="B866" s="79" t="s">
        <v>15</v>
      </c>
      <c r="C866" s="79" t="s">
        <v>11</v>
      </c>
      <c r="D866" s="10"/>
      <c r="E866" s="11"/>
      <c r="F866" s="11"/>
      <c r="G866">
        <v>915</v>
      </c>
    </row>
    <row r="867" spans="1:7" hidden="1" x14ac:dyDescent="0.2">
      <c r="A867" s="2">
        <v>46338</v>
      </c>
      <c r="B867" s="79" t="s">
        <v>17</v>
      </c>
      <c r="C867" s="79" t="s">
        <v>11</v>
      </c>
      <c r="D867" s="10"/>
      <c r="E867" s="11"/>
      <c r="F867" s="11"/>
      <c r="G867" s="4">
        <v>2275</v>
      </c>
    </row>
    <row r="868" spans="1:7" hidden="1" x14ac:dyDescent="0.2">
      <c r="A868" s="2">
        <v>46339</v>
      </c>
      <c r="B868" s="79" t="s">
        <v>19</v>
      </c>
      <c r="C868" s="79" t="s">
        <v>11</v>
      </c>
      <c r="D868" s="10"/>
      <c r="E868" s="11"/>
      <c r="F868" s="11"/>
      <c r="G868" s="4">
        <v>2292</v>
      </c>
    </row>
    <row r="869" spans="1:7" hidden="1" x14ac:dyDescent="0.2">
      <c r="A869" s="2">
        <v>46340</v>
      </c>
      <c r="B869" s="79" t="s">
        <v>21</v>
      </c>
      <c r="C869" s="79" t="s">
        <v>11</v>
      </c>
      <c r="D869" s="10"/>
      <c r="E869" s="11"/>
      <c r="F869" s="11"/>
      <c r="G869" s="4">
        <v>3071</v>
      </c>
    </row>
    <row r="870" spans="1:7" hidden="1" x14ac:dyDescent="0.2">
      <c r="A870" s="2">
        <v>46341</v>
      </c>
      <c r="B870" s="79" t="s">
        <v>23</v>
      </c>
      <c r="C870" s="79" t="s">
        <v>11</v>
      </c>
      <c r="D870" s="10"/>
      <c r="E870" s="11"/>
      <c r="F870" s="11"/>
      <c r="G870" s="4">
        <v>2100</v>
      </c>
    </row>
    <row r="871" spans="1:7" hidden="1" x14ac:dyDescent="0.2">
      <c r="A871" s="2">
        <v>46342</v>
      </c>
      <c r="B871" s="79" t="s">
        <v>10</v>
      </c>
      <c r="C871" s="79" t="s">
        <v>11</v>
      </c>
      <c r="D871" s="10"/>
      <c r="E871" s="11"/>
      <c r="F871" s="11"/>
      <c r="G871" s="4">
        <v>3249</v>
      </c>
    </row>
    <row r="872" spans="1:7" hidden="1" x14ac:dyDescent="0.2">
      <c r="A872" s="2">
        <v>46343</v>
      </c>
      <c r="B872" s="79" t="s">
        <v>13</v>
      </c>
      <c r="C872" s="79" t="s">
        <v>11</v>
      </c>
      <c r="D872" s="10"/>
      <c r="E872" s="11"/>
      <c r="F872" s="11"/>
      <c r="G872" s="4">
        <v>3805</v>
      </c>
    </row>
    <row r="873" spans="1:7" hidden="1" x14ac:dyDescent="0.2">
      <c r="A873" s="2">
        <v>46344</v>
      </c>
      <c r="B873" s="79" t="s">
        <v>15</v>
      </c>
      <c r="C873" s="79" t="s">
        <v>11</v>
      </c>
      <c r="D873" s="10"/>
      <c r="E873" s="11"/>
      <c r="F873" s="11"/>
      <c r="G873" s="4">
        <v>2824</v>
      </c>
    </row>
    <row r="874" spans="1:7" hidden="1" x14ac:dyDescent="0.2">
      <c r="A874" s="2">
        <v>46345</v>
      </c>
      <c r="B874" s="79" t="s">
        <v>17</v>
      </c>
      <c r="C874" s="79" t="s">
        <v>11</v>
      </c>
      <c r="D874" s="10"/>
      <c r="E874" s="11"/>
      <c r="F874" s="11"/>
      <c r="G874" s="4">
        <v>2328</v>
      </c>
    </row>
    <row r="875" spans="1:7" hidden="1" x14ac:dyDescent="0.2">
      <c r="A875" s="2">
        <v>46346</v>
      </c>
      <c r="B875" s="79" t="s">
        <v>19</v>
      </c>
      <c r="C875" s="79" t="s">
        <v>11</v>
      </c>
      <c r="D875" s="10"/>
      <c r="E875" s="11"/>
      <c r="F875" s="11"/>
      <c r="G875">
        <v>810</v>
      </c>
    </row>
    <row r="876" spans="1:7" hidden="1" x14ac:dyDescent="0.2">
      <c r="A876" s="2">
        <v>46347</v>
      </c>
      <c r="B876" s="79" t="s">
        <v>21</v>
      </c>
      <c r="C876" s="79" t="s">
        <v>11</v>
      </c>
      <c r="D876" s="10"/>
      <c r="E876" s="11"/>
      <c r="F876" s="11"/>
      <c r="G876">
        <v>11</v>
      </c>
    </row>
    <row r="877" spans="1:7" hidden="1" x14ac:dyDescent="0.2">
      <c r="A877" s="2">
        <v>46348</v>
      </c>
      <c r="B877" s="79" t="s">
        <v>23</v>
      </c>
      <c r="C877" s="79" t="s">
        <v>11</v>
      </c>
      <c r="D877" s="10"/>
      <c r="E877" s="11"/>
      <c r="F877" s="11"/>
      <c r="G877">
        <v>20</v>
      </c>
    </row>
    <row r="878" spans="1:7" hidden="1" x14ac:dyDescent="0.2">
      <c r="A878" s="2">
        <v>46349</v>
      </c>
      <c r="B878" s="79" t="s">
        <v>10</v>
      </c>
      <c r="C878" s="79" t="s">
        <v>11</v>
      </c>
      <c r="D878" s="10"/>
      <c r="E878" s="11"/>
      <c r="F878" s="11"/>
      <c r="G878">
        <v>250</v>
      </c>
    </row>
    <row r="879" spans="1:7" hidden="1" x14ac:dyDescent="0.2">
      <c r="A879" s="2">
        <v>46350</v>
      </c>
      <c r="B879" s="79" t="s">
        <v>13</v>
      </c>
      <c r="C879" s="79" t="s">
        <v>11</v>
      </c>
      <c r="D879" s="10"/>
      <c r="E879" s="11"/>
      <c r="F879" s="11"/>
      <c r="G879">
        <v>450</v>
      </c>
    </row>
    <row r="880" spans="1:7" hidden="1" x14ac:dyDescent="0.2">
      <c r="A880" s="2">
        <v>46351</v>
      </c>
      <c r="B880" s="79" t="s">
        <v>15</v>
      </c>
      <c r="C880" s="79" t="s">
        <v>11</v>
      </c>
      <c r="D880" s="10"/>
      <c r="E880" s="11"/>
      <c r="F880" s="11"/>
      <c r="G880">
        <v>600</v>
      </c>
    </row>
    <row r="881" spans="1:7" hidden="1" x14ac:dyDescent="0.2">
      <c r="A881" s="2">
        <v>46352</v>
      </c>
      <c r="B881" s="79" t="s">
        <v>17</v>
      </c>
      <c r="C881" s="79" t="s">
        <v>11</v>
      </c>
      <c r="D881" s="10"/>
      <c r="E881" s="11"/>
      <c r="F881" s="11"/>
      <c r="G881">
        <v>938</v>
      </c>
    </row>
    <row r="882" spans="1:7" hidden="1" x14ac:dyDescent="0.2">
      <c r="A882" s="2">
        <v>46353</v>
      </c>
      <c r="B882" s="79" t="s">
        <v>19</v>
      </c>
      <c r="C882" s="79" t="s">
        <v>11</v>
      </c>
      <c r="D882" s="10"/>
      <c r="E882" s="11"/>
      <c r="F882" s="11"/>
      <c r="G882">
        <v>938</v>
      </c>
    </row>
    <row r="883" spans="1:7" hidden="1" x14ac:dyDescent="0.2">
      <c r="A883" s="2">
        <v>46354</v>
      </c>
      <c r="B883" s="79" t="s">
        <v>21</v>
      </c>
      <c r="C883" s="79" t="s">
        <v>11</v>
      </c>
      <c r="D883" s="10"/>
      <c r="E883" s="11"/>
      <c r="F883" s="11"/>
      <c r="G883">
        <v>940</v>
      </c>
    </row>
    <row r="884" spans="1:7" hidden="1" x14ac:dyDescent="0.2">
      <c r="A884" s="2">
        <v>46355</v>
      </c>
      <c r="B884" s="79" t="s">
        <v>23</v>
      </c>
      <c r="C884" s="79" t="s">
        <v>11</v>
      </c>
      <c r="D884" s="10"/>
      <c r="E884" s="11"/>
      <c r="F884" s="11"/>
      <c r="G884">
        <v>245</v>
      </c>
    </row>
    <row r="885" spans="1:7" hidden="1" x14ac:dyDescent="0.2">
      <c r="A885" s="2">
        <v>46356</v>
      </c>
      <c r="B885" s="79" t="s">
        <v>10</v>
      </c>
      <c r="C885" s="79" t="s">
        <v>11</v>
      </c>
      <c r="D885" s="10"/>
      <c r="E885" s="11"/>
      <c r="F885" s="11"/>
      <c r="G885">
        <v>551</v>
      </c>
    </row>
    <row r="886" spans="1:7" hidden="1" x14ac:dyDescent="0.2">
      <c r="A886" s="2">
        <v>46357</v>
      </c>
      <c r="B886" s="79" t="s">
        <v>13</v>
      </c>
      <c r="C886" s="79" t="s">
        <v>11</v>
      </c>
      <c r="D886" s="10"/>
      <c r="E886" s="11"/>
      <c r="F886" s="11"/>
      <c r="G886" s="4">
        <v>1432</v>
      </c>
    </row>
    <row r="887" spans="1:7" hidden="1" x14ac:dyDescent="0.2">
      <c r="A887" s="2">
        <v>46358</v>
      </c>
      <c r="B887" s="79" t="s">
        <v>15</v>
      </c>
      <c r="C887" s="79" t="s">
        <v>11</v>
      </c>
      <c r="D887" s="10"/>
      <c r="E887" s="11"/>
      <c r="F887" s="11"/>
      <c r="G887" s="4">
        <v>1557</v>
      </c>
    </row>
    <row r="888" spans="1:7" hidden="1" x14ac:dyDescent="0.2">
      <c r="A888" s="2">
        <v>46359</v>
      </c>
      <c r="B888" s="79" t="s">
        <v>17</v>
      </c>
      <c r="C888" s="79" t="s">
        <v>11</v>
      </c>
      <c r="D888" s="10"/>
      <c r="E888" s="11"/>
      <c r="F888" s="11"/>
      <c r="G888">
        <v>600</v>
      </c>
    </row>
    <row r="889" spans="1:7" hidden="1" x14ac:dyDescent="0.2">
      <c r="A889" s="2">
        <v>46360</v>
      </c>
      <c r="B889" s="79" t="s">
        <v>19</v>
      </c>
      <c r="C889" s="79" t="s">
        <v>11</v>
      </c>
      <c r="D889" s="10"/>
      <c r="E889" s="11"/>
      <c r="F889" s="11"/>
      <c r="G889">
        <v>450</v>
      </c>
    </row>
    <row r="890" spans="1:7" hidden="1" x14ac:dyDescent="0.2">
      <c r="A890" s="2">
        <v>46361</v>
      </c>
      <c r="B890" s="79" t="s">
        <v>21</v>
      </c>
      <c r="C890" s="79" t="s">
        <v>11</v>
      </c>
      <c r="D890" s="10"/>
      <c r="E890" s="11"/>
      <c r="F890" s="11"/>
      <c r="G890">
        <v>120</v>
      </c>
    </row>
    <row r="891" spans="1:7" hidden="1" x14ac:dyDescent="0.2">
      <c r="A891" s="2">
        <v>46362</v>
      </c>
      <c r="B891" s="79" t="s">
        <v>23</v>
      </c>
      <c r="C891" s="79" t="s">
        <v>11</v>
      </c>
      <c r="D891" s="10"/>
      <c r="E891" s="11"/>
      <c r="F891" s="11"/>
      <c r="G891">
        <v>0</v>
      </c>
    </row>
    <row r="892" spans="1:7" hidden="1" x14ac:dyDescent="0.2">
      <c r="A892" s="2">
        <v>46363</v>
      </c>
      <c r="B892" s="79" t="s">
        <v>10</v>
      </c>
      <c r="C892" s="79" t="s">
        <v>11</v>
      </c>
      <c r="D892" s="10"/>
      <c r="E892" s="11"/>
      <c r="F892" s="11"/>
      <c r="G892">
        <v>0</v>
      </c>
    </row>
    <row r="893" spans="1:7" hidden="1" x14ac:dyDescent="0.2">
      <c r="A893" s="2">
        <v>46364</v>
      </c>
      <c r="B893" s="79" t="s">
        <v>13</v>
      </c>
      <c r="C893" s="79" t="s">
        <v>11</v>
      </c>
      <c r="D893" s="10"/>
      <c r="E893" s="11"/>
      <c r="F893" s="11"/>
      <c r="G893">
        <v>87</v>
      </c>
    </row>
    <row r="894" spans="1:7" hidden="1" x14ac:dyDescent="0.2">
      <c r="A894" s="2">
        <v>46365</v>
      </c>
      <c r="B894" s="79" t="s">
        <v>15</v>
      </c>
      <c r="C894" s="79" t="s">
        <v>11</v>
      </c>
      <c r="D894" s="10"/>
      <c r="E894" s="11"/>
      <c r="F894" s="11"/>
      <c r="G894">
        <v>482</v>
      </c>
    </row>
    <row r="895" spans="1:7" hidden="1" x14ac:dyDescent="0.2">
      <c r="A895" s="2">
        <v>46366</v>
      </c>
      <c r="B895" s="79" t="s">
        <v>17</v>
      </c>
      <c r="C895" s="79" t="s">
        <v>11</v>
      </c>
      <c r="D895" s="10"/>
      <c r="E895" s="11"/>
      <c r="F895" s="11"/>
      <c r="G895" s="4">
        <v>2922</v>
      </c>
    </row>
    <row r="896" spans="1:7" hidden="1" x14ac:dyDescent="0.2">
      <c r="A896" s="2">
        <v>46367</v>
      </c>
      <c r="B896" s="79" t="s">
        <v>19</v>
      </c>
      <c r="C896" s="79" t="s">
        <v>11</v>
      </c>
      <c r="D896" s="10"/>
      <c r="E896" s="11"/>
      <c r="F896" s="11"/>
      <c r="G896" s="4">
        <v>2662</v>
      </c>
    </row>
    <row r="897" spans="1:7" hidden="1" x14ac:dyDescent="0.2">
      <c r="A897" s="2">
        <v>46368</v>
      </c>
      <c r="B897" s="79" t="s">
        <v>21</v>
      </c>
      <c r="C897" s="79" t="s">
        <v>11</v>
      </c>
      <c r="D897" s="10"/>
      <c r="E897" s="11"/>
      <c r="F897" s="11"/>
      <c r="G897" s="4">
        <v>2662</v>
      </c>
    </row>
    <row r="898" spans="1:7" hidden="1" x14ac:dyDescent="0.2">
      <c r="A898" s="2">
        <v>46369</v>
      </c>
      <c r="B898" s="79" t="s">
        <v>23</v>
      </c>
      <c r="C898" s="79" t="s">
        <v>11</v>
      </c>
      <c r="D898" s="10"/>
      <c r="E898" s="11"/>
      <c r="F898" s="11"/>
      <c r="G898">
        <v>142</v>
      </c>
    </row>
    <row r="899" spans="1:7" hidden="1" x14ac:dyDescent="0.2">
      <c r="A899" s="2">
        <v>46370</v>
      </c>
      <c r="B899" s="79" t="s">
        <v>10</v>
      </c>
      <c r="C899" s="79" t="s">
        <v>11</v>
      </c>
      <c r="D899" s="10"/>
      <c r="E899" s="11"/>
      <c r="F899" s="11"/>
      <c r="G899">
        <v>27</v>
      </c>
    </row>
    <row r="900" spans="1:7" hidden="1" x14ac:dyDescent="0.2">
      <c r="A900" s="2">
        <v>46371</v>
      </c>
      <c r="B900" s="79" t="s">
        <v>13</v>
      </c>
      <c r="C900" s="79" t="s">
        <v>11</v>
      </c>
      <c r="D900" s="10"/>
      <c r="E900" s="11"/>
      <c r="F900" s="11"/>
      <c r="G900">
        <v>0</v>
      </c>
    </row>
    <row r="901" spans="1:7" hidden="1" x14ac:dyDescent="0.2">
      <c r="A901" s="2">
        <v>46372</v>
      </c>
      <c r="B901" s="79" t="s">
        <v>15</v>
      </c>
      <c r="C901" s="79" t="s">
        <v>11</v>
      </c>
      <c r="D901" s="10"/>
      <c r="E901" s="11"/>
      <c r="F901" s="11"/>
      <c r="G901">
        <v>0</v>
      </c>
    </row>
    <row r="902" spans="1:7" hidden="1" x14ac:dyDescent="0.2">
      <c r="A902" s="2">
        <v>46373</v>
      </c>
      <c r="B902" s="79" t="s">
        <v>17</v>
      </c>
      <c r="C902" s="79" t="s">
        <v>11</v>
      </c>
      <c r="D902" s="10"/>
      <c r="E902" s="11"/>
      <c r="F902" s="11"/>
      <c r="G902">
        <v>0</v>
      </c>
    </row>
    <row r="903" spans="1:7" hidden="1" x14ac:dyDescent="0.2">
      <c r="A903" s="2">
        <v>46374</v>
      </c>
      <c r="B903" s="79" t="s">
        <v>19</v>
      </c>
      <c r="C903" s="79" t="s">
        <v>11</v>
      </c>
      <c r="D903" s="10"/>
      <c r="E903" s="11"/>
      <c r="F903" s="11"/>
      <c r="G903">
        <v>0</v>
      </c>
    </row>
    <row r="904" spans="1:7" hidden="1" x14ac:dyDescent="0.2">
      <c r="A904" s="2">
        <v>46375</v>
      </c>
      <c r="B904" s="79" t="s">
        <v>21</v>
      </c>
      <c r="C904" s="79" t="s">
        <v>11</v>
      </c>
      <c r="D904" s="10"/>
      <c r="E904" s="11"/>
      <c r="F904" s="11"/>
      <c r="G904">
        <v>0</v>
      </c>
    </row>
    <row r="905" spans="1:7" hidden="1" x14ac:dyDescent="0.2">
      <c r="A905" s="2">
        <v>46376</v>
      </c>
      <c r="B905" s="79" t="s">
        <v>23</v>
      </c>
      <c r="C905" s="79" t="s">
        <v>11</v>
      </c>
      <c r="D905" s="10"/>
      <c r="E905" s="11"/>
      <c r="F905" s="11"/>
      <c r="G905">
        <v>0</v>
      </c>
    </row>
    <row r="906" spans="1:7" hidden="1" x14ac:dyDescent="0.2">
      <c r="A906" s="2">
        <v>46377</v>
      </c>
      <c r="B906" s="79" t="s">
        <v>10</v>
      </c>
      <c r="C906" s="79" t="s">
        <v>11</v>
      </c>
      <c r="D906" s="10"/>
      <c r="E906" s="11"/>
      <c r="F906" s="11"/>
      <c r="G906">
        <v>0</v>
      </c>
    </row>
    <row r="907" spans="1:7" hidden="1" x14ac:dyDescent="0.2">
      <c r="A907" s="2">
        <v>46378</v>
      </c>
      <c r="B907" s="79" t="s">
        <v>13</v>
      </c>
      <c r="C907" s="79" t="s">
        <v>11</v>
      </c>
      <c r="D907" s="10"/>
      <c r="E907" s="11"/>
      <c r="F907" s="11"/>
      <c r="G907">
        <v>0</v>
      </c>
    </row>
    <row r="908" spans="1:7" hidden="1" x14ac:dyDescent="0.2">
      <c r="A908" s="2">
        <v>46379</v>
      </c>
      <c r="B908" s="79" t="s">
        <v>15</v>
      </c>
      <c r="C908" s="79" t="s">
        <v>11</v>
      </c>
      <c r="D908" s="10"/>
      <c r="E908" s="11"/>
      <c r="F908" s="11"/>
      <c r="G908">
        <v>0</v>
      </c>
    </row>
    <row r="909" spans="1:7" hidden="1" x14ac:dyDescent="0.2">
      <c r="A909" s="2">
        <v>46380</v>
      </c>
      <c r="B909" s="79" t="s">
        <v>17</v>
      </c>
      <c r="C909" s="79" t="s">
        <v>11</v>
      </c>
      <c r="D909" s="10"/>
      <c r="E909" s="11"/>
      <c r="F909" s="11"/>
      <c r="G909">
        <v>0</v>
      </c>
    </row>
    <row r="910" spans="1:7" hidden="1" x14ac:dyDescent="0.2">
      <c r="A910" s="2">
        <v>46381</v>
      </c>
      <c r="B910" s="79" t="s">
        <v>19</v>
      </c>
      <c r="C910" s="79" t="s">
        <v>11</v>
      </c>
      <c r="D910" s="10"/>
      <c r="E910" s="11"/>
      <c r="F910" s="11"/>
      <c r="G910">
        <v>0</v>
      </c>
    </row>
    <row r="911" spans="1:7" hidden="1" x14ac:dyDescent="0.2">
      <c r="A911" s="2">
        <v>46382</v>
      </c>
      <c r="B911" s="79" t="s">
        <v>21</v>
      </c>
      <c r="C911" s="79" t="s">
        <v>11</v>
      </c>
      <c r="D911" s="10"/>
      <c r="E911" s="11"/>
      <c r="F911" s="11"/>
      <c r="G911">
        <v>0</v>
      </c>
    </row>
    <row r="912" spans="1:7" hidden="1" x14ac:dyDescent="0.2">
      <c r="A912" s="2">
        <v>46383</v>
      </c>
      <c r="B912" s="79" t="s">
        <v>23</v>
      </c>
      <c r="C912" s="79" t="s">
        <v>11</v>
      </c>
      <c r="D912" s="10"/>
      <c r="E912" s="11"/>
      <c r="F912" s="11"/>
      <c r="G912">
        <v>0</v>
      </c>
    </row>
    <row r="913" spans="1:7" hidden="1" x14ac:dyDescent="0.2">
      <c r="A913" s="2">
        <v>46384</v>
      </c>
      <c r="B913" s="79" t="s">
        <v>10</v>
      </c>
      <c r="C913" s="79" t="s">
        <v>11</v>
      </c>
      <c r="D913" s="10"/>
      <c r="E913" s="11"/>
      <c r="F913" s="11"/>
      <c r="G913">
        <v>0</v>
      </c>
    </row>
    <row r="914" spans="1:7" hidden="1" x14ac:dyDescent="0.2">
      <c r="A914" s="2">
        <v>46385</v>
      </c>
      <c r="B914" s="79" t="s">
        <v>13</v>
      </c>
      <c r="C914" s="79" t="s">
        <v>11</v>
      </c>
      <c r="D914" s="10"/>
      <c r="E914" s="11"/>
      <c r="F914" s="11"/>
      <c r="G914">
        <v>0</v>
      </c>
    </row>
    <row r="915" spans="1:7" hidden="1" x14ac:dyDescent="0.2">
      <c r="A915" s="2">
        <v>46386</v>
      </c>
      <c r="B915" s="79" t="s">
        <v>15</v>
      </c>
      <c r="C915" s="79" t="s">
        <v>11</v>
      </c>
      <c r="D915" s="10"/>
      <c r="E915" s="11"/>
      <c r="F915" s="11"/>
      <c r="G915">
        <v>0</v>
      </c>
    </row>
    <row r="916" spans="1:7" hidden="1" x14ac:dyDescent="0.2">
      <c r="A916" s="2">
        <v>46387</v>
      </c>
      <c r="B916" s="79" t="s">
        <v>17</v>
      </c>
      <c r="C916" s="79" t="s">
        <v>11</v>
      </c>
      <c r="D916" s="10"/>
      <c r="E916" s="11"/>
      <c r="F916" s="11"/>
      <c r="G916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A261-2075-6243-AC93-093E7553234D}">
  <dimension ref="A1:I77"/>
  <sheetViews>
    <sheetView topLeftCell="A35" zoomScaleNormal="100" workbookViewId="0">
      <selection activeCell="D29" sqref="D29"/>
    </sheetView>
  </sheetViews>
  <sheetFormatPr baseColWidth="10" defaultColWidth="8.83203125" defaultRowHeight="15" x14ac:dyDescent="0.2"/>
  <cols>
    <col min="1" max="1" width="14.1640625" style="12" bestFit="1" customWidth="1"/>
    <col min="2" max="2" width="14.6640625" style="12" bestFit="1" customWidth="1"/>
    <col min="3" max="3" width="58.33203125" style="12" bestFit="1" customWidth="1"/>
    <col min="4" max="4" width="36.5" style="12" bestFit="1" customWidth="1"/>
    <col min="5" max="5" width="24.83203125" style="12" bestFit="1" customWidth="1"/>
    <col min="6" max="6" width="23.83203125" style="12" bestFit="1" customWidth="1"/>
    <col min="7" max="7" width="18.33203125" style="12" bestFit="1" customWidth="1"/>
    <col min="8" max="8" width="14.6640625" style="12" bestFit="1" customWidth="1"/>
    <col min="9" max="9" width="10.1640625" style="12" bestFit="1" customWidth="1"/>
    <col min="10" max="16384" width="8.83203125" style="12"/>
  </cols>
  <sheetData>
    <row r="1" spans="1:9" x14ac:dyDescent="0.2">
      <c r="A1" s="17" t="s">
        <v>752</v>
      </c>
      <c r="B1" s="17" t="s">
        <v>753</v>
      </c>
      <c r="D1" s="16" t="s">
        <v>754</v>
      </c>
      <c r="E1" s="16" t="s">
        <v>755</v>
      </c>
      <c r="F1" s="16" t="s">
        <v>756</v>
      </c>
      <c r="G1" s="16" t="s">
        <v>757</v>
      </c>
      <c r="H1" s="16" t="s">
        <v>758</v>
      </c>
    </row>
    <row r="2" spans="1:9" x14ac:dyDescent="0.2">
      <c r="A2" s="93" t="s">
        <v>759</v>
      </c>
      <c r="B2" s="93" t="s">
        <v>760</v>
      </c>
      <c r="C2" s="14" t="s">
        <v>761</v>
      </c>
      <c r="D2" s="15">
        <v>0.72916735882945083</v>
      </c>
      <c r="E2" s="15">
        <v>0.70365740228730178</v>
      </c>
      <c r="F2" s="15">
        <v>0.66053620635412991</v>
      </c>
      <c r="G2" s="15">
        <v>0.66760017453212761</v>
      </c>
      <c r="H2" s="15">
        <v>0.6730038022813688</v>
      </c>
    </row>
    <row r="3" spans="1:9" x14ac:dyDescent="0.2">
      <c r="A3" s="93"/>
      <c r="B3" s="93"/>
      <c r="C3" s="14" t="s">
        <v>762</v>
      </c>
      <c r="D3" s="13">
        <v>9113706.8500389419</v>
      </c>
      <c r="E3" s="13">
        <v>13999773.749064701</v>
      </c>
      <c r="F3" s="13">
        <v>16422401.890467657</v>
      </c>
      <c r="G3" s="13">
        <v>17203511.284953531</v>
      </c>
      <c r="H3" s="13">
        <v>17700000</v>
      </c>
      <c r="I3" s="18"/>
    </row>
    <row r="4" spans="1:9" x14ac:dyDescent="0.2">
      <c r="A4" s="93"/>
      <c r="B4" s="93" t="s">
        <v>763</v>
      </c>
      <c r="C4" s="14" t="s">
        <v>761</v>
      </c>
      <c r="D4" s="15">
        <v>0.27083264117054912</v>
      </c>
      <c r="E4" s="15">
        <v>0.29634259771269822</v>
      </c>
      <c r="F4" s="15">
        <v>0.33946379364587015</v>
      </c>
      <c r="G4" s="15">
        <v>0.3323998254678725</v>
      </c>
      <c r="H4" s="15">
        <v>0.3269961977186312</v>
      </c>
    </row>
    <row r="5" spans="1:9" x14ac:dyDescent="0.2">
      <c r="A5" s="93"/>
      <c r="B5" s="93"/>
      <c r="C5" s="14" t="s">
        <v>762</v>
      </c>
      <c r="D5" s="13">
        <v>3385079.251233316</v>
      </c>
      <c r="E5" s="13">
        <v>5895950.6525505949</v>
      </c>
      <c r="F5" s="13">
        <v>8439826.3000385258</v>
      </c>
      <c r="G5" s="13">
        <v>8565672.0394969489</v>
      </c>
      <c r="H5" s="13">
        <v>8600000</v>
      </c>
    </row>
    <row r="9" spans="1:9" x14ac:dyDescent="0.2">
      <c r="C9" s="12" t="s">
        <v>764</v>
      </c>
      <c r="F9" s="12" t="s">
        <v>765</v>
      </c>
    </row>
    <row r="10" spans="1:9" x14ac:dyDescent="0.2">
      <c r="C10" s="12" t="s">
        <v>766</v>
      </c>
      <c r="D10" s="18">
        <v>17500000</v>
      </c>
      <c r="F10" s="12" t="s">
        <v>766</v>
      </c>
      <c r="G10" s="21">
        <v>6800000</v>
      </c>
    </row>
    <row r="11" spans="1:9" x14ac:dyDescent="0.2">
      <c r="C11" s="12" t="s">
        <v>767</v>
      </c>
      <c r="D11" s="19">
        <v>-0.01</v>
      </c>
      <c r="F11" s="12" t="s">
        <v>768</v>
      </c>
      <c r="G11" s="19">
        <v>0.02</v>
      </c>
    </row>
    <row r="17" spans="3:8" x14ac:dyDescent="0.2">
      <c r="C17" s="12" t="s">
        <v>769</v>
      </c>
      <c r="D17" s="12" t="s">
        <v>770</v>
      </c>
      <c r="E17" s="12" t="s">
        <v>771</v>
      </c>
    </row>
    <row r="18" spans="3:8" x14ac:dyDescent="0.2">
      <c r="C18" s="12" t="s">
        <v>772</v>
      </c>
      <c r="D18" s="12" t="s">
        <v>773</v>
      </c>
      <c r="E18" s="22">
        <f>AVERAGE(2.1,6.1)</f>
        <v>4.0999999999999996</v>
      </c>
    </row>
    <row r="21" spans="3:8" x14ac:dyDescent="0.2">
      <c r="H21" s="12" t="s">
        <v>774</v>
      </c>
    </row>
    <row r="22" spans="3:8" x14ac:dyDescent="0.2">
      <c r="C22" s="12" t="s">
        <v>775</v>
      </c>
      <c r="D22" s="12" t="s">
        <v>776</v>
      </c>
      <c r="E22" s="12" t="s">
        <v>777</v>
      </c>
      <c r="F22" s="12" t="s">
        <v>778</v>
      </c>
      <c r="H22" s="12" t="s">
        <v>779</v>
      </c>
    </row>
    <row r="23" spans="3:8" x14ac:dyDescent="0.2">
      <c r="C23" s="20">
        <v>3800000</v>
      </c>
      <c r="D23" s="20">
        <v>3800000</v>
      </c>
      <c r="E23" s="24">
        <v>1500000000</v>
      </c>
      <c r="F23" s="23">
        <f>E23/365</f>
        <v>4109589.0410958906</v>
      </c>
      <c r="H23" s="26">
        <f>G10/365</f>
        <v>18630.136986301372</v>
      </c>
    </row>
    <row r="28" spans="3:8" x14ac:dyDescent="0.2">
      <c r="D28" s="12" t="s">
        <v>780</v>
      </c>
      <c r="E28" s="12" t="s">
        <v>781</v>
      </c>
    </row>
    <row r="29" spans="3:8" x14ac:dyDescent="0.2">
      <c r="D29" s="25">
        <f>E23/G10</f>
        <v>220.58823529411765</v>
      </c>
      <c r="E29" s="25">
        <f>D29*E18</f>
        <v>904.41176470588232</v>
      </c>
      <c r="F29" s="23"/>
    </row>
    <row r="32" spans="3:8" x14ac:dyDescent="0.2">
      <c r="E32" s="12" t="s">
        <v>782</v>
      </c>
    </row>
    <row r="33" spans="3:6" x14ac:dyDescent="0.2">
      <c r="D33" s="23">
        <f>G10*E18*D29</f>
        <v>6149999999.999999</v>
      </c>
      <c r="E33" s="23">
        <f>G10*5.1*D29</f>
        <v>7650000000</v>
      </c>
      <c r="F33" s="23">
        <f>E33-D33</f>
        <v>1500000000.000001</v>
      </c>
    </row>
    <row r="34" spans="3:6" ht="16" thickBot="1" x14ac:dyDescent="0.25"/>
    <row r="35" spans="3:6" x14ac:dyDescent="0.2">
      <c r="C35" s="27" t="s">
        <v>783</v>
      </c>
      <c r="D35" s="28"/>
      <c r="E35" s="34" t="s">
        <v>784</v>
      </c>
    </row>
    <row r="36" spans="3:6" x14ac:dyDescent="0.2">
      <c r="C36" s="29" t="s">
        <v>785</v>
      </c>
      <c r="D36" s="30">
        <f>G10</f>
        <v>6800000</v>
      </c>
      <c r="E36" s="35">
        <f>G10</f>
        <v>6800000</v>
      </c>
    </row>
    <row r="37" spans="3:6" x14ac:dyDescent="0.2">
      <c r="C37" s="29" t="s">
        <v>786</v>
      </c>
      <c r="D37" s="31">
        <f>E18</f>
        <v>4.0999999999999996</v>
      </c>
      <c r="E37" s="36">
        <v>5.0999999999999996</v>
      </c>
    </row>
    <row r="38" spans="3:6" ht="16" thickBot="1" x14ac:dyDescent="0.25">
      <c r="C38" s="32" t="s">
        <v>787</v>
      </c>
      <c r="D38" s="33">
        <f>E23</f>
        <v>1500000000</v>
      </c>
      <c r="E38" s="37">
        <f>E23</f>
        <v>1500000000</v>
      </c>
    </row>
    <row r="40" spans="3:6" x14ac:dyDescent="0.2">
      <c r="C40" s="12" t="s">
        <v>788</v>
      </c>
      <c r="D40" s="23">
        <f>D38/D37</f>
        <v>365853658.53658539</v>
      </c>
      <c r="E40" s="23">
        <f>E38+D40</f>
        <v>1865853658.5365853</v>
      </c>
    </row>
    <row r="42" spans="3:6" x14ac:dyDescent="0.2">
      <c r="D42" s="23">
        <f>D38/D36</f>
        <v>220.58823529411765</v>
      </c>
    </row>
    <row r="47" spans="3:6" ht="16" thickBot="1" x14ac:dyDescent="0.25"/>
    <row r="48" spans="3:6" x14ac:dyDescent="0.2">
      <c r="C48" s="27" t="s">
        <v>789</v>
      </c>
      <c r="D48" s="38">
        <f>D49+D50</f>
        <v>26000000</v>
      </c>
    </row>
    <row r="49" spans="2:7" x14ac:dyDescent="0.2">
      <c r="C49" s="29" t="s">
        <v>790</v>
      </c>
      <c r="D49" s="30">
        <v>24300000</v>
      </c>
    </row>
    <row r="50" spans="2:7" x14ac:dyDescent="0.2">
      <c r="C50" s="29" t="s">
        <v>791</v>
      </c>
      <c r="D50" s="30">
        <v>1700000</v>
      </c>
    </row>
    <row r="51" spans="2:7" x14ac:dyDescent="0.2">
      <c r="C51" s="29" t="s">
        <v>792</v>
      </c>
      <c r="D51" s="30">
        <f>D10</f>
        <v>17500000</v>
      </c>
    </row>
    <row r="52" spans="2:7" x14ac:dyDescent="0.2">
      <c r="C52" s="29" t="s">
        <v>793</v>
      </c>
      <c r="D52" s="30">
        <f>G10</f>
        <v>6800000</v>
      </c>
    </row>
    <row r="53" spans="2:7" ht="16" thickBot="1" x14ac:dyDescent="0.25">
      <c r="C53" s="29" t="s">
        <v>794</v>
      </c>
      <c r="D53" s="44">
        <f>E18</f>
        <v>4.0999999999999996</v>
      </c>
    </row>
    <row r="54" spans="2:7" ht="16" thickBot="1" x14ac:dyDescent="0.25">
      <c r="B54" s="12" t="s">
        <v>795</v>
      </c>
      <c r="C54" s="45" t="s">
        <v>796</v>
      </c>
      <c r="D54" s="46">
        <v>750000000</v>
      </c>
    </row>
    <row r="55" spans="2:7" x14ac:dyDescent="0.2">
      <c r="C55" s="29" t="s">
        <v>797</v>
      </c>
      <c r="D55" s="30">
        <v>2700000</v>
      </c>
    </row>
    <row r="56" spans="2:7" ht="16" thickBot="1" x14ac:dyDescent="0.25">
      <c r="C56" s="32" t="s">
        <v>798</v>
      </c>
      <c r="D56" s="39">
        <v>23300000</v>
      </c>
    </row>
    <row r="58" spans="2:7" x14ac:dyDescent="0.2">
      <c r="C58" s="20"/>
      <c r="D58" s="20"/>
    </row>
    <row r="59" spans="2:7" x14ac:dyDescent="0.2">
      <c r="C59" s="20"/>
      <c r="D59" s="20"/>
    </row>
    <row r="60" spans="2:7" x14ac:dyDescent="0.2">
      <c r="C60" s="20"/>
      <c r="D60" s="20"/>
    </row>
    <row r="61" spans="2:7" ht="16" thickBot="1" x14ac:dyDescent="0.25">
      <c r="C61" s="43">
        <v>2025</v>
      </c>
    </row>
    <row r="62" spans="2:7" x14ac:dyDescent="0.2">
      <c r="C62" s="27" t="s">
        <v>799</v>
      </c>
      <c r="D62" s="38">
        <f>D36</f>
        <v>6800000</v>
      </c>
      <c r="E62" s="23">
        <f>D65/D63</f>
        <v>1002338.7905111929</v>
      </c>
      <c r="F62" s="23">
        <f>E62*5.1</f>
        <v>5111927.8316070829</v>
      </c>
      <c r="G62" s="20">
        <f>F62*D64</f>
        <v>95235915766.926483</v>
      </c>
    </row>
    <row r="63" spans="2:7" x14ac:dyDescent="0.2">
      <c r="C63" s="29" t="s">
        <v>800</v>
      </c>
      <c r="D63" s="31">
        <f>D37</f>
        <v>4.0999999999999996</v>
      </c>
    </row>
    <row r="64" spans="2:7" x14ac:dyDescent="0.2">
      <c r="C64" s="29" t="s">
        <v>801</v>
      </c>
      <c r="D64" s="42">
        <f>H23</f>
        <v>18630.136986301372</v>
      </c>
    </row>
    <row r="65" spans="3:8" x14ac:dyDescent="0.2">
      <c r="C65" s="29" t="s">
        <v>802</v>
      </c>
      <c r="D65" s="40">
        <f>F23</f>
        <v>4109589.0410958906</v>
      </c>
      <c r="E65" s="23">
        <f>D66*D62</f>
        <v>1500000000</v>
      </c>
      <c r="H65" s="23">
        <f>E66-F66</f>
        <v>71736011.477761865</v>
      </c>
    </row>
    <row r="66" spans="3:8" x14ac:dyDescent="0.2">
      <c r="C66" s="29" t="s">
        <v>803</v>
      </c>
      <c r="D66" s="40">
        <f>D29</f>
        <v>220.58823529411765</v>
      </c>
      <c r="E66" s="20">
        <f>E65/D63</f>
        <v>365853658.53658539</v>
      </c>
      <c r="F66" s="23">
        <f>E65/D75</f>
        <v>294117647.05882353</v>
      </c>
    </row>
    <row r="67" spans="3:8" ht="16" thickBot="1" x14ac:dyDescent="0.25">
      <c r="C67" s="32" t="s">
        <v>804</v>
      </c>
      <c r="D67" s="33">
        <f>D38</f>
        <v>1500000000</v>
      </c>
      <c r="E67" s="23">
        <f>(D62/D63)*D66</f>
        <v>365853658.53658539</v>
      </c>
    </row>
    <row r="69" spans="3:8" x14ac:dyDescent="0.2">
      <c r="C69" s="12" t="s">
        <v>805</v>
      </c>
      <c r="D69" s="23">
        <v>750000000</v>
      </c>
    </row>
    <row r="70" spans="3:8" x14ac:dyDescent="0.2">
      <c r="D70" s="23"/>
    </row>
    <row r="71" spans="3:8" x14ac:dyDescent="0.2">
      <c r="D71" s="23"/>
      <c r="E71" s="23"/>
    </row>
    <row r="73" spans="3:8" ht="16" thickBot="1" x14ac:dyDescent="0.25">
      <c r="C73" s="41" t="s">
        <v>806</v>
      </c>
    </row>
    <row r="74" spans="3:8" x14ac:dyDescent="0.2">
      <c r="C74" s="27" t="s">
        <v>793</v>
      </c>
      <c r="D74" s="38">
        <f>D62</f>
        <v>6800000</v>
      </c>
    </row>
    <row r="75" spans="3:8" x14ac:dyDescent="0.2">
      <c r="C75" s="29" t="s">
        <v>807</v>
      </c>
      <c r="D75" s="31">
        <v>5.0999999999999996</v>
      </c>
    </row>
    <row r="76" spans="3:8" x14ac:dyDescent="0.2">
      <c r="C76" s="29" t="s">
        <v>808</v>
      </c>
      <c r="D76" s="40">
        <f>D65</f>
        <v>4109589.0410958906</v>
      </c>
    </row>
    <row r="77" spans="3:8" x14ac:dyDescent="0.2">
      <c r="C77" s="29" t="s">
        <v>809</v>
      </c>
      <c r="D77" s="40">
        <f>D66</f>
        <v>220.58823529411765</v>
      </c>
    </row>
  </sheetData>
  <mergeCells count="3">
    <mergeCell ref="B2:B3"/>
    <mergeCell ref="B4:B5"/>
    <mergeCell ref="A2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B514-894F-4920-812A-E414D3FC1E1B}">
  <sheetPr>
    <tabColor rgb="FF92D050"/>
  </sheetPr>
  <dimension ref="A1:H32"/>
  <sheetViews>
    <sheetView workbookViewId="0">
      <selection activeCell="D29" sqref="D29"/>
    </sheetView>
  </sheetViews>
  <sheetFormatPr baseColWidth="10" defaultColWidth="8.83203125" defaultRowHeight="15" x14ac:dyDescent="0.2"/>
  <cols>
    <col min="1" max="1" width="12.33203125" bestFit="1" customWidth="1"/>
    <col min="2" max="2" width="39.5" customWidth="1"/>
    <col min="3" max="3" width="30.83203125" bestFit="1" customWidth="1"/>
    <col min="4" max="4" width="34" bestFit="1" customWidth="1"/>
    <col min="5" max="5" width="24.33203125" bestFit="1" customWidth="1"/>
    <col min="6" max="6" width="17.5" bestFit="1" customWidth="1"/>
    <col min="7" max="7" width="19.83203125" bestFit="1" customWidth="1"/>
  </cols>
  <sheetData>
    <row r="1" spans="1:8" x14ac:dyDescent="0.2">
      <c r="A1" t="s">
        <v>810</v>
      </c>
      <c r="B1" t="s">
        <v>793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</row>
    <row r="2" spans="1:8" x14ac:dyDescent="0.2">
      <c r="A2">
        <v>26.5</v>
      </c>
      <c r="B2">
        <v>8.6</v>
      </c>
      <c r="C2" s="81">
        <v>1.9</v>
      </c>
      <c r="D2" s="81">
        <v>5.9</v>
      </c>
      <c r="E2" s="81">
        <v>24.7</v>
      </c>
      <c r="F2" s="81">
        <v>1.9</v>
      </c>
      <c r="G2" s="83">
        <v>6832000000</v>
      </c>
    </row>
    <row r="3" spans="1:8" x14ac:dyDescent="0.2">
      <c r="B3" s="47">
        <v>0.32500000000000001</v>
      </c>
      <c r="E3" s="82">
        <v>0.92900000000000005</v>
      </c>
      <c r="F3" s="82">
        <v>7.0999999999999994E-2</v>
      </c>
    </row>
    <row r="5" spans="1:8" x14ac:dyDescent="0.2">
      <c r="C5" t="s">
        <v>816</v>
      </c>
      <c r="D5" t="s">
        <v>817</v>
      </c>
    </row>
    <row r="6" spans="1:8" x14ac:dyDescent="0.2">
      <c r="C6" s="81">
        <f>C2*E3</f>
        <v>1.7651000000000001</v>
      </c>
      <c r="D6" s="81">
        <f>D2*F3</f>
        <v>0.41889999999999999</v>
      </c>
    </row>
    <row r="7" spans="1:8" x14ac:dyDescent="0.2">
      <c r="C7" s="84"/>
      <c r="D7" s="84"/>
    </row>
    <row r="8" spans="1:8" x14ac:dyDescent="0.2">
      <c r="B8" s="84"/>
      <c r="C8" s="88" t="s">
        <v>818</v>
      </c>
      <c r="D8" s="86" t="s">
        <v>819</v>
      </c>
      <c r="E8" s="84"/>
      <c r="F8">
        <v>365</v>
      </c>
    </row>
    <row r="9" spans="1:8" x14ac:dyDescent="0.2">
      <c r="B9" s="84"/>
      <c r="C9" s="89">
        <f>SUM(C6:D6)</f>
        <v>2.1840000000000002</v>
      </c>
      <c r="D9" s="85">
        <v>0.5</v>
      </c>
      <c r="E9" s="84"/>
    </row>
    <row r="10" spans="1:8" x14ac:dyDescent="0.2">
      <c r="C10" s="84"/>
      <c r="D10" s="84"/>
    </row>
    <row r="12" spans="1:8" x14ac:dyDescent="0.2">
      <c r="B12" s="84"/>
      <c r="D12" s="84"/>
      <c r="G12" s="84"/>
    </row>
    <row r="13" spans="1:8" x14ac:dyDescent="0.2">
      <c r="A13" s="84"/>
      <c r="B13" s="86" t="s">
        <v>820</v>
      </c>
      <c r="C13" s="84"/>
      <c r="D13" s="86" t="s">
        <v>821</v>
      </c>
      <c r="E13" s="84"/>
      <c r="F13" s="84"/>
      <c r="G13" s="86" t="s">
        <v>822</v>
      </c>
      <c r="H13" s="84"/>
    </row>
    <row r="14" spans="1:8" x14ac:dyDescent="0.2">
      <c r="A14" s="84"/>
      <c r="B14" s="87">
        <f>G2/C9</f>
        <v>3128205128.2051282</v>
      </c>
      <c r="C14" s="84"/>
      <c r="D14" s="87">
        <f>B14*(C9+D9)</f>
        <v>8396102564.1025648</v>
      </c>
      <c r="E14" s="84"/>
      <c r="F14" s="84"/>
      <c r="G14" s="87">
        <f>D14-G2</f>
        <v>1564102564.1025648</v>
      </c>
      <c r="H14" s="84"/>
    </row>
    <row r="15" spans="1:8" x14ac:dyDescent="0.2">
      <c r="B15" s="84"/>
      <c r="D15" s="84"/>
      <c r="G15" s="84"/>
    </row>
    <row r="19" spans="2:7" s="90" customFormat="1" ht="16" thickBot="1" x14ac:dyDescent="0.25"/>
    <row r="21" spans="2:7" ht="34" x14ac:dyDescent="0.4">
      <c r="B21" s="91" t="s">
        <v>823</v>
      </c>
    </row>
    <row r="22" spans="2:7" ht="16" thickBot="1" x14ac:dyDescent="0.25">
      <c r="G22" t="s">
        <v>815</v>
      </c>
    </row>
    <row r="23" spans="2:7" ht="16" thickBot="1" x14ac:dyDescent="0.25">
      <c r="C23" s="88" t="s">
        <v>818</v>
      </c>
      <c r="D23" s="86" t="s">
        <v>819</v>
      </c>
      <c r="G23" s="83">
        <v>6832000000</v>
      </c>
    </row>
    <row r="24" spans="2:7" ht="16" thickBot="1" x14ac:dyDescent="0.25">
      <c r="C24" s="89">
        <f>C9</f>
        <v>2.1840000000000002</v>
      </c>
      <c r="D24" s="85">
        <v>1</v>
      </c>
    </row>
    <row r="27" spans="2:7" ht="16" thickBot="1" x14ac:dyDescent="0.25"/>
    <row r="28" spans="2:7" x14ac:dyDescent="0.2">
      <c r="C28" s="86" t="s">
        <v>820</v>
      </c>
      <c r="E28" s="86" t="s">
        <v>821</v>
      </c>
      <c r="G28" s="86" t="s">
        <v>822</v>
      </c>
    </row>
    <row r="29" spans="2:7" ht="16" thickBot="1" x14ac:dyDescent="0.25">
      <c r="C29" s="87">
        <f>G23/C24</f>
        <v>3128205128.2051282</v>
      </c>
      <c r="E29" s="87">
        <f>C29*(C24+D24)</f>
        <v>9960205128.2051296</v>
      </c>
      <c r="G29" s="87">
        <f>E29-G23</f>
        <v>3128205128.2051296</v>
      </c>
    </row>
    <row r="31" spans="2:7" x14ac:dyDescent="0.2">
      <c r="E31" s="92"/>
    </row>
    <row r="32" spans="2:7" x14ac:dyDescent="0.2">
      <c r="C32" s="9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F3FA-0CF6-0C46-A6EE-4B978FF192C6}">
  <dimension ref="A1:G41"/>
  <sheetViews>
    <sheetView zoomScale="120" zoomScaleNormal="120" workbookViewId="0">
      <selection activeCell="B24" sqref="B24"/>
    </sheetView>
  </sheetViews>
  <sheetFormatPr baseColWidth="10" defaultColWidth="11.5" defaultRowHeight="15" x14ac:dyDescent="0.2"/>
  <cols>
    <col min="1" max="1" width="41.83203125" bestFit="1" customWidth="1"/>
    <col min="2" max="2" width="50.1640625" bestFit="1" customWidth="1"/>
    <col min="3" max="3" width="22.33203125" bestFit="1" customWidth="1"/>
    <col min="4" max="4" width="9.5" bestFit="1" customWidth="1"/>
    <col min="5" max="6" width="8.83203125" bestFit="1" customWidth="1"/>
    <col min="7" max="7" width="16.83203125" bestFit="1" customWidth="1"/>
  </cols>
  <sheetData>
    <row r="1" spans="1:4" ht="16" thickBot="1" x14ac:dyDescent="0.25">
      <c r="D1" s="3" t="s">
        <v>824</v>
      </c>
    </row>
    <row r="2" spans="1:4" x14ac:dyDescent="0.2">
      <c r="B2" s="49" t="s">
        <v>789</v>
      </c>
      <c r="C2" s="50">
        <v>26100000</v>
      </c>
      <c r="D2" s="47">
        <v>-8.9999999999999993E-3</v>
      </c>
    </row>
    <row r="3" spans="1:4" x14ac:dyDescent="0.2">
      <c r="B3" s="51" t="s">
        <v>790</v>
      </c>
      <c r="C3" s="52">
        <v>24300000</v>
      </c>
      <c r="D3" s="67">
        <v>0</v>
      </c>
    </row>
    <row r="4" spans="1:4" x14ac:dyDescent="0.2">
      <c r="B4" s="51" t="s">
        <v>791</v>
      </c>
      <c r="C4" s="52">
        <v>1700000</v>
      </c>
      <c r="D4" s="67">
        <v>-0.09</v>
      </c>
    </row>
    <row r="5" spans="1:4" x14ac:dyDescent="0.2">
      <c r="A5" s="3" t="s">
        <v>825</v>
      </c>
      <c r="B5" s="51" t="s">
        <v>792</v>
      </c>
      <c r="C5" s="52">
        <v>17500000</v>
      </c>
      <c r="D5" s="67">
        <v>0.02</v>
      </c>
    </row>
    <row r="6" spans="1:4" x14ac:dyDescent="0.2">
      <c r="A6" s="3" t="s">
        <v>825</v>
      </c>
      <c r="B6" s="51" t="s">
        <v>793</v>
      </c>
      <c r="C6" s="52">
        <v>6800000</v>
      </c>
      <c r="D6" s="67">
        <v>-0.01</v>
      </c>
    </row>
    <row r="7" spans="1:4" ht="16" thickBot="1" x14ac:dyDescent="0.25">
      <c r="B7" s="51" t="s">
        <v>794</v>
      </c>
      <c r="C7" s="53">
        <v>4.0999999999999996</v>
      </c>
    </row>
    <row r="8" spans="1:4" ht="16" thickBot="1" x14ac:dyDescent="0.25">
      <c r="B8" s="69" t="s">
        <v>826</v>
      </c>
      <c r="C8" s="68">
        <v>750000000</v>
      </c>
    </row>
    <row r="9" spans="1:4" x14ac:dyDescent="0.2">
      <c r="B9" s="51" t="s">
        <v>797</v>
      </c>
      <c r="C9" s="52">
        <v>2700000</v>
      </c>
      <c r="D9" s="67">
        <v>0</v>
      </c>
    </row>
    <row r="10" spans="1:4" ht="16" thickBot="1" x14ac:dyDescent="0.25">
      <c r="B10" s="54" t="s">
        <v>798</v>
      </c>
      <c r="C10" s="55">
        <v>23300000</v>
      </c>
      <c r="D10" s="67">
        <v>-0.01</v>
      </c>
    </row>
    <row r="11" spans="1:4" ht="16" x14ac:dyDescent="0.2">
      <c r="B11" s="70" t="s">
        <v>827</v>
      </c>
    </row>
    <row r="13" spans="1:4" ht="16" thickBot="1" x14ac:dyDescent="0.25"/>
    <row r="14" spans="1:4" ht="16" x14ac:dyDescent="0.2">
      <c r="B14" s="71" t="s">
        <v>828</v>
      </c>
      <c r="C14" s="72"/>
    </row>
    <row r="15" spans="1:4" x14ac:dyDescent="0.2">
      <c r="B15" s="73" t="s">
        <v>829</v>
      </c>
      <c r="C15" s="74">
        <v>0.435</v>
      </c>
    </row>
    <row r="16" spans="1:4" x14ac:dyDescent="0.2">
      <c r="B16" s="73" t="s">
        <v>830</v>
      </c>
      <c r="C16" s="74">
        <v>0.10100000000000001</v>
      </c>
    </row>
    <row r="17" spans="1:7" x14ac:dyDescent="0.2">
      <c r="B17" s="73" t="s">
        <v>831</v>
      </c>
      <c r="C17" s="74">
        <v>6.8000000000000005E-2</v>
      </c>
    </row>
    <row r="18" spans="1:7" x14ac:dyDescent="0.2">
      <c r="B18" s="73" t="s">
        <v>832</v>
      </c>
      <c r="C18" s="74">
        <v>0.05</v>
      </c>
    </row>
    <row r="19" spans="1:7" x14ac:dyDescent="0.2">
      <c r="B19" s="73" t="s">
        <v>833</v>
      </c>
      <c r="C19" s="74">
        <v>4.8000000000000001E-2</v>
      </c>
    </row>
    <row r="20" spans="1:7" ht="16" thickBot="1" x14ac:dyDescent="0.25">
      <c r="B20" s="75" t="s">
        <v>834</v>
      </c>
      <c r="C20" s="76">
        <v>0.03</v>
      </c>
    </row>
    <row r="21" spans="1:7" ht="16" x14ac:dyDescent="0.2">
      <c r="B21" s="70" t="s">
        <v>835</v>
      </c>
    </row>
    <row r="27" spans="1:7" ht="16" thickBot="1" x14ac:dyDescent="0.25"/>
    <row r="28" spans="1:7" x14ac:dyDescent="0.2">
      <c r="A28" s="56"/>
      <c r="B28" s="57" t="s">
        <v>836</v>
      </c>
      <c r="C28" s="57" t="s">
        <v>837</v>
      </c>
      <c r="D28" s="57" t="s">
        <v>3</v>
      </c>
      <c r="E28" s="57" t="s">
        <v>4</v>
      </c>
      <c r="F28" s="57" t="s">
        <v>5</v>
      </c>
      <c r="G28" s="58" t="s">
        <v>838</v>
      </c>
    </row>
    <row r="29" spans="1:7" x14ac:dyDescent="0.2">
      <c r="A29" s="59" t="s">
        <v>839</v>
      </c>
      <c r="B29" s="60"/>
      <c r="C29" s="60"/>
      <c r="D29" s="60"/>
      <c r="E29" s="60"/>
      <c r="F29" s="60"/>
      <c r="G29" s="61"/>
    </row>
    <row r="30" spans="1:7" x14ac:dyDescent="0.2">
      <c r="A30" s="59">
        <v>2023</v>
      </c>
      <c r="B30" s="60" t="s">
        <v>840</v>
      </c>
      <c r="C30" s="60" t="s">
        <v>841</v>
      </c>
      <c r="D30" s="62">
        <v>0.752</v>
      </c>
      <c r="E30" s="60" t="s">
        <v>842</v>
      </c>
      <c r="F30" s="60" t="s">
        <v>843</v>
      </c>
      <c r="G30" s="61" t="s">
        <v>844</v>
      </c>
    </row>
    <row r="31" spans="1:7" x14ac:dyDescent="0.2">
      <c r="A31" s="59">
        <v>2024</v>
      </c>
      <c r="B31" s="60" t="s">
        <v>845</v>
      </c>
      <c r="C31" s="60" t="s">
        <v>846</v>
      </c>
      <c r="D31" s="62">
        <v>0.748</v>
      </c>
      <c r="E31" s="60" t="s">
        <v>847</v>
      </c>
      <c r="F31" s="60" t="s">
        <v>848</v>
      </c>
      <c r="G31" s="61" t="s">
        <v>849</v>
      </c>
    </row>
    <row r="32" spans="1:7" x14ac:dyDescent="0.2">
      <c r="A32" s="59">
        <v>2025</v>
      </c>
      <c r="B32" s="60" t="s">
        <v>850</v>
      </c>
      <c r="C32" s="60" t="s">
        <v>851</v>
      </c>
      <c r="D32" s="62">
        <v>0.74399999999999999</v>
      </c>
      <c r="E32" s="60" t="s">
        <v>852</v>
      </c>
      <c r="F32" s="60" t="s">
        <v>853</v>
      </c>
      <c r="G32" s="61" t="s">
        <v>854</v>
      </c>
    </row>
    <row r="33" spans="1:7" x14ac:dyDescent="0.2">
      <c r="A33" s="59">
        <v>2026</v>
      </c>
      <c r="B33" s="60" t="s">
        <v>855</v>
      </c>
      <c r="C33" s="60" t="s">
        <v>856</v>
      </c>
      <c r="D33" s="62">
        <v>0.753</v>
      </c>
      <c r="E33" s="60" t="s">
        <v>857</v>
      </c>
      <c r="F33" s="60" t="s">
        <v>858</v>
      </c>
      <c r="G33" s="61" t="s">
        <v>859</v>
      </c>
    </row>
    <row r="34" spans="1:7" x14ac:dyDescent="0.2">
      <c r="A34" s="59">
        <v>2027</v>
      </c>
      <c r="B34" s="60" t="s">
        <v>860</v>
      </c>
      <c r="C34" s="60" t="s">
        <v>861</v>
      </c>
      <c r="D34" s="62">
        <v>0.76300000000000001</v>
      </c>
      <c r="E34" s="60" t="s">
        <v>862</v>
      </c>
      <c r="F34" s="60" t="s">
        <v>863</v>
      </c>
      <c r="G34" s="61" t="s">
        <v>864</v>
      </c>
    </row>
    <row r="35" spans="1:7" x14ac:dyDescent="0.2">
      <c r="A35" s="59" t="s">
        <v>865</v>
      </c>
      <c r="B35" s="60"/>
      <c r="C35" s="60"/>
      <c r="D35" s="60"/>
      <c r="E35" s="60"/>
      <c r="F35" s="60"/>
      <c r="G35" s="61"/>
    </row>
    <row r="36" spans="1:7" x14ac:dyDescent="0.2">
      <c r="A36" s="59">
        <v>2023</v>
      </c>
      <c r="B36" s="62">
        <v>3.0000000000000001E-3</v>
      </c>
      <c r="C36" s="62">
        <v>2.3E-2</v>
      </c>
      <c r="D36" s="62">
        <v>0.02</v>
      </c>
      <c r="E36" s="62">
        <v>9.2999999999999999E-2</v>
      </c>
      <c r="F36" s="62">
        <v>0.115</v>
      </c>
      <c r="G36" s="63">
        <v>0.11799999999999999</v>
      </c>
    </row>
    <row r="37" spans="1:7" x14ac:dyDescent="0.2">
      <c r="A37" s="59">
        <v>2024</v>
      </c>
      <c r="B37" s="62">
        <v>0.01</v>
      </c>
      <c r="C37" s="62">
        <v>5.0000000000000001E-3</v>
      </c>
      <c r="D37" s="62">
        <v>-5.0000000000000001E-3</v>
      </c>
      <c r="E37" s="62">
        <v>-1.2E-2</v>
      </c>
      <c r="F37" s="62">
        <v>-1.7000000000000001E-2</v>
      </c>
      <c r="G37" s="63">
        <v>-7.0000000000000001E-3</v>
      </c>
    </row>
    <row r="38" spans="1:7" x14ac:dyDescent="0.2">
      <c r="A38" s="59">
        <v>2025</v>
      </c>
      <c r="B38" s="62">
        <v>1E-3</v>
      </c>
      <c r="C38" s="62">
        <v>-4.0000000000000001E-3</v>
      </c>
      <c r="D38" s="62">
        <v>-4.0000000000000001E-3</v>
      </c>
      <c r="E38" s="62">
        <v>-8.9999999999999993E-3</v>
      </c>
      <c r="F38" s="62">
        <v>-1.2999999999999999E-2</v>
      </c>
      <c r="G38" s="63">
        <v>-1.2E-2</v>
      </c>
    </row>
    <row r="39" spans="1:7" x14ac:dyDescent="0.2">
      <c r="A39" s="59">
        <v>2026</v>
      </c>
      <c r="B39" s="62">
        <v>1E-3</v>
      </c>
      <c r="C39" s="62">
        <v>1.2999999999999999E-2</v>
      </c>
      <c r="D39" s="62">
        <v>1.2E-2</v>
      </c>
      <c r="E39" s="62">
        <v>1.7999999999999999E-2</v>
      </c>
      <c r="F39" s="62">
        <v>0.03</v>
      </c>
      <c r="G39" s="63">
        <v>3.1E-2</v>
      </c>
    </row>
    <row r="40" spans="1:7" ht="16" thickBot="1" x14ac:dyDescent="0.25">
      <c r="A40" s="64">
        <v>2027</v>
      </c>
      <c r="B40" s="65">
        <v>5.0000000000000001E-3</v>
      </c>
      <c r="C40" s="65">
        <v>1.7999999999999999E-2</v>
      </c>
      <c r="D40" s="65">
        <v>1.2999999999999999E-2</v>
      </c>
      <c r="E40" s="65">
        <v>2.1000000000000001E-2</v>
      </c>
      <c r="F40" s="65">
        <v>3.4000000000000002E-2</v>
      </c>
      <c r="G40" s="66">
        <v>3.7999999999999999E-2</v>
      </c>
    </row>
    <row r="41" spans="1:7" ht="22" x14ac:dyDescent="0.3">
      <c r="A41" s="48" t="s">
        <v>866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3EA4-F9FE-7A49-846A-947CE39AD2D0}">
  <dimension ref="A1:L14"/>
  <sheetViews>
    <sheetView workbookViewId="0">
      <selection activeCell="E16" sqref="E16"/>
    </sheetView>
  </sheetViews>
  <sheetFormatPr baseColWidth="10" defaultRowHeight="15" x14ac:dyDescent="0.2"/>
  <cols>
    <col min="1" max="1" width="36.6640625" style="94" customWidth="1"/>
    <col min="2" max="2" width="18" style="94" bestFit="1" customWidth="1"/>
    <col min="3" max="5" width="8.83203125" style="94" bestFit="1" customWidth="1"/>
    <col min="6" max="6" width="37.33203125" style="94" customWidth="1"/>
    <col min="7" max="10" width="8.83203125" style="94" bestFit="1" customWidth="1"/>
    <col min="11" max="12" width="16.83203125" style="94" bestFit="1" customWidth="1"/>
    <col min="13" max="16384" width="10.83203125" style="94"/>
  </cols>
  <sheetData>
    <row r="1" spans="1:12" x14ac:dyDescent="0.2">
      <c r="B1" s="94" t="s">
        <v>867</v>
      </c>
      <c r="C1" s="94" t="s">
        <v>868</v>
      </c>
      <c r="F1" s="95" t="s">
        <v>869</v>
      </c>
    </row>
    <row r="2" spans="1:12" x14ac:dyDescent="0.2">
      <c r="A2" s="94" t="s">
        <v>870</v>
      </c>
      <c r="B2" s="96">
        <f>24.7/26.5</f>
        <v>0.93207547169811322</v>
      </c>
      <c r="C2" s="94">
        <v>1.9</v>
      </c>
      <c r="F2" s="97" t="s">
        <v>871</v>
      </c>
    </row>
    <row r="3" spans="1:12" x14ac:dyDescent="0.2">
      <c r="A3" s="94" t="s">
        <v>872</v>
      </c>
      <c r="B3" s="98">
        <f>1-B2</f>
        <v>6.7924528301886777E-2</v>
      </c>
      <c r="C3" s="94">
        <v>5.9</v>
      </c>
      <c r="F3" s="97" t="s">
        <v>873</v>
      </c>
    </row>
    <row r="4" spans="1:12" x14ac:dyDescent="0.2">
      <c r="F4" s="99" t="s">
        <v>874</v>
      </c>
      <c r="K4" s="100"/>
    </row>
    <row r="5" spans="1:12" x14ac:dyDescent="0.2">
      <c r="A5" s="94" t="s">
        <v>875</v>
      </c>
      <c r="B5" s="101">
        <f>+B2*C2</f>
        <v>1.7709433962264149</v>
      </c>
      <c r="K5" s="100"/>
      <c r="L5" s="100"/>
    </row>
    <row r="6" spans="1:12" x14ac:dyDescent="0.2">
      <c r="A6" s="94" t="s">
        <v>876</v>
      </c>
      <c r="B6" s="101">
        <f>+B3*C3</f>
        <v>0.40075471698113202</v>
      </c>
    </row>
    <row r="7" spans="1:12" x14ac:dyDescent="0.2">
      <c r="A7" s="94" t="s">
        <v>877</v>
      </c>
      <c r="B7" s="101">
        <f>SUM(B5:B6)</f>
        <v>2.171698113207547</v>
      </c>
    </row>
    <row r="8" spans="1:12" x14ac:dyDescent="0.2">
      <c r="A8" s="94" t="s">
        <v>882</v>
      </c>
      <c r="B8" s="101">
        <v>3.17</v>
      </c>
    </row>
    <row r="10" spans="1:12" s="104" customFormat="1" x14ac:dyDescent="0.2"/>
    <row r="11" spans="1:12" x14ac:dyDescent="0.2">
      <c r="A11" s="94" t="s">
        <v>878</v>
      </c>
      <c r="B11" s="102">
        <v>6832000000</v>
      </c>
      <c r="C11" s="105">
        <f>B11/365</f>
        <v>18717808.219178081</v>
      </c>
      <c r="D11" s="106"/>
    </row>
    <row r="12" spans="1:12" x14ac:dyDescent="0.2">
      <c r="A12" s="94" t="s">
        <v>879</v>
      </c>
      <c r="B12" s="102">
        <f>+B11/B7</f>
        <v>3145925282.3631625</v>
      </c>
      <c r="C12" s="106"/>
      <c r="D12" s="106"/>
    </row>
    <row r="13" spans="1:12" x14ac:dyDescent="0.2">
      <c r="A13" s="94" t="s">
        <v>881</v>
      </c>
      <c r="B13" s="102">
        <f>+B12*B8</f>
        <v>9972583145.0912247</v>
      </c>
      <c r="C13" s="106"/>
    </row>
    <row r="14" spans="1:12" x14ac:dyDescent="0.2">
      <c r="A14" s="94" t="s">
        <v>880</v>
      </c>
      <c r="B14" s="103">
        <f>+B13-B11</f>
        <v>3140583145.0912247</v>
      </c>
      <c r="C14" s="10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F1418D-5A18-4ADC-B5BB-9BA7D0F910AA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8ae6c377-a551-4c1e-8ebf-bee95bc1a0d7"/>
    <ds:schemaRef ds:uri="http://schemas.openxmlformats.org/package/2006/metadata/core-properties"/>
    <ds:schemaRef ds:uri="9c67e73c-900f-4830-9229-a5e63bf71ce0"/>
  </ds:schemaRefs>
</ds:datastoreItem>
</file>

<file path=customXml/itemProps2.xml><?xml version="1.0" encoding="utf-8"?>
<ds:datastoreItem xmlns:ds="http://schemas.openxmlformats.org/officeDocument/2006/customXml" ds:itemID="{E91DE89C-B3BB-4A64-8EA8-0C612B7D319E}"/>
</file>

<file path=customXml/itemProps3.xml><?xml version="1.0" encoding="utf-8"?>
<ds:datastoreItem xmlns:ds="http://schemas.openxmlformats.org/officeDocument/2006/customXml" ds:itemID="{A96EFE7D-F14A-4B41-A30B-9A5932A2B3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 1</vt:lpstr>
      <vt:lpstr>full day</vt:lpstr>
      <vt:lpstr>calendar</vt:lpstr>
      <vt:lpstr>day vs overnight</vt:lpstr>
      <vt:lpstr>Calcu Increment Spend</vt:lpstr>
      <vt:lpstr>Summary figures</vt:lpstr>
      <vt:lpstr>TE inputs 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Visit Anaheim Business Intelligence</dc:creator>
  <cp:keywords/>
  <dc:description/>
  <cp:lastModifiedBy>Visit Anaheim Business Intelligence</cp:lastModifiedBy>
  <cp:revision/>
  <dcterms:created xsi:type="dcterms:W3CDTF">2026-01-21T01:03:02Z</dcterms:created>
  <dcterms:modified xsi:type="dcterms:W3CDTF">2026-08-05T15:54:09Z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  <property fmtid="{D5CDD505-2E9C-101B-9397-08002B2CF9AE}" pid="3" name="MediaServiceImageTags">
    <vt:lpwstr/>
  </property>
</Properties>
</file>