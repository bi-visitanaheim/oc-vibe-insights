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State and Regional Lodging Forecast/2026/Sept 2026/Visuals/"/>
    </mc:Choice>
  </mc:AlternateContent>
  <xr:revisionPtr revIDLastSave="0" documentId="8_{750534FA-B93E-F648-9E6A-375D268BCDCA}" xr6:coauthVersionLast="47" xr6:coauthVersionMax="47" xr10:uidLastSave="{00000000-0000-0000-0000-000000000000}"/>
  <bookViews>
    <workbookView xWindow="19120" yWindow="600" windowWidth="49620" windowHeight="26280" tabRatio="793" xr2:uid="{730B77F4-E6BB-40D6-AF93-D3864A5CF7A1}"/>
  </bookViews>
  <sheets>
    <sheet name="Summary" sheetId="2" r:id="rId1"/>
    <sheet name="California" sheetId="15" r:id="rId2"/>
    <sheet name="Gateway" sheetId="1" r:id="rId3"/>
    <sheet name="All other regions" sheetId="16" r:id="rId4"/>
    <sheet name="Central Coast" sheetId="3" r:id="rId5"/>
    <sheet name="Central Valley" sheetId="4" r:id="rId6"/>
    <sheet name="Dessert" sheetId="5" r:id="rId7"/>
    <sheet name="Gold Country" sheetId="6" r:id="rId8"/>
    <sheet name="High Sierra" sheetId="7" r:id="rId9"/>
    <sheet name="Inland Empire" sheetId="8" r:id="rId10"/>
    <sheet name="Los Angeles" sheetId="9" r:id="rId11"/>
    <sheet name="North Coast" sheetId="10" r:id="rId12"/>
    <sheet name="Orange County" sheetId="11" r:id="rId13"/>
    <sheet name="Shasta Cascade" sheetId="12" r:id="rId14"/>
    <sheet name="San Diego" sheetId="13" r:id="rId15"/>
    <sheet name="San Francisco Bay Area" sheetId="14" r:id="rId16"/>
  </sheets>
  <definedNames>
    <definedName name="cur_scenario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2" i="2" l="1"/>
  <c r="C51" i="2"/>
  <c r="M51" i="2"/>
  <c r="D51" i="2"/>
  <c r="E51" i="2"/>
  <c r="F51" i="2"/>
  <c r="G51" i="2"/>
  <c r="H51" i="2"/>
  <c r="I51" i="2"/>
  <c r="J51" i="2"/>
  <c r="K51" i="2"/>
  <c r="L51" i="2"/>
  <c r="D52" i="2"/>
  <c r="E52" i="2"/>
  <c r="F52" i="2"/>
  <c r="G52" i="2"/>
  <c r="H52" i="2"/>
  <c r="I52" i="2"/>
  <c r="J52" i="2"/>
  <c r="K52" i="2"/>
  <c r="L52" i="2"/>
  <c r="C52" i="2"/>
  <c r="M9" i="2"/>
  <c r="M10" i="2"/>
  <c r="D9" i="2"/>
  <c r="E9" i="2"/>
  <c r="F9" i="2"/>
  <c r="G9" i="2"/>
  <c r="H9" i="2"/>
  <c r="I9" i="2"/>
  <c r="J9" i="2"/>
  <c r="K9" i="2"/>
  <c r="L9" i="2"/>
  <c r="D10" i="2"/>
  <c r="E10" i="2"/>
  <c r="F10" i="2"/>
  <c r="G10" i="2"/>
  <c r="H10" i="2"/>
  <c r="I10" i="2"/>
  <c r="J10" i="2"/>
  <c r="K10" i="2"/>
  <c r="L10" i="2"/>
  <c r="C9" i="2"/>
  <c r="C10" i="2"/>
</calcChain>
</file>

<file path=xl/sharedStrings.xml><?xml version="1.0" encoding="utf-8"?>
<sst xmlns="http://schemas.openxmlformats.org/spreadsheetml/2006/main" count="497" uniqueCount="47">
  <si>
    <t>Forecast summary: Annual</t>
  </si>
  <si>
    <t>Room demand</t>
  </si>
  <si>
    <t>Levels</t>
  </si>
  <si>
    <t>Growth</t>
  </si>
  <si>
    <t>Central Coast</t>
  </si>
  <si>
    <t>Central Valley</t>
  </si>
  <si>
    <t>Deserts</t>
  </si>
  <si>
    <t>Gold Country</t>
  </si>
  <si>
    <t>High Sierra</t>
  </si>
  <si>
    <t>Inland Empire</t>
  </si>
  <si>
    <t>Los Angeles County</t>
  </si>
  <si>
    <t>North Coast</t>
  </si>
  <si>
    <t>Orange County</t>
  </si>
  <si>
    <t>Shasta Cascade</t>
  </si>
  <si>
    <t>San Diego County</t>
  </si>
  <si>
    <t>San Francisco Bay Area</t>
  </si>
  <si>
    <t>California</t>
  </si>
  <si>
    <t>Occupancy</t>
  </si>
  <si>
    <t>Room revenue</t>
  </si>
  <si>
    <t>Prior forecast</t>
  </si>
  <si>
    <t>ADR</t>
  </si>
  <si>
    <t>RevPAR</t>
  </si>
  <si>
    <t>*Gateway Regions: Los Angeles, Orange County, San Diego, San Francisco Bay Area</t>
  </si>
  <si>
    <t>Daily levels</t>
  </si>
  <si>
    <t>Hotel supply (daily)</t>
  </si>
  <si>
    <t>Hotel room demand (daily)</t>
  </si>
  <si>
    <t xml:space="preserve"> </t>
  </si>
  <si>
    <t>Current compared to prior (difference)</t>
  </si>
  <si>
    <t>*Other Regions: Central Coast, Central Valley, Deserts, Gold Country, High Sierra, Inland Empire, North Coast, Shasta Cascade</t>
  </si>
  <si>
    <t>Forecast summary: Annual, Central Coast</t>
  </si>
  <si>
    <t>Forecast summary: Annual, Central Valley</t>
  </si>
  <si>
    <t>Forecast summary: Annual, Deserts</t>
  </si>
  <si>
    <t>Forecast summary: Annual, Gold Country</t>
  </si>
  <si>
    <t>Forecast summary: Annual, High Sierra</t>
  </si>
  <si>
    <t>Forecast summary: Annual, Inland Empire</t>
  </si>
  <si>
    <t>Forecast summary: Annual, Los Angeles County</t>
  </si>
  <si>
    <t>Forecast summary: Annual, North Coast</t>
  </si>
  <si>
    <t>Forecast summary: Annual, Orange County</t>
  </si>
  <si>
    <t>Forecast summary: Annual, Shasta Cascade</t>
  </si>
  <si>
    <t>Forecast summary: Annual, San Diego County</t>
  </si>
  <si>
    <t>Forecast summary: Annual, San Francisco Bay Area</t>
  </si>
  <si>
    <t>Forecast summary: Annual, CALIFORNIA</t>
  </si>
  <si>
    <t>Source: CoStar; Tourism Economics</t>
  </si>
  <si>
    <t>Forecast summary: Annual, All Other Regions*</t>
  </si>
  <si>
    <t>Forecast summary: Annual, Gateway Regions*</t>
  </si>
  <si>
    <t>Gateway Regions*</t>
  </si>
  <si>
    <t>All Other Regions**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</si>
</sst>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&quot;$&quot;#,##0.00"/>
  </numFmts>
  <fonts count="12" x14ac:knownFonts="1">
    <font>
      <sz val="10"/>
      <color theme="1"/>
      <name val="Lato"/>
      <family val="2"/>
    </font>
    <font>
      <sz val="12"/>
      <color theme="1"/>
      <name val="Calibri"/>
      <family val="2"/>
      <scheme val="minor"/>
    </font>
    <font>
      <sz val="10"/>
      <color theme="1"/>
      <name val="Lato"/>
      <family val="2"/>
    </font>
    <font>
      <sz val="11"/>
      <color theme="1"/>
      <name val="Calibri"/>
      <family val="2"/>
      <scheme val="minor"/>
    </font>
    <font>
      <b/>
      <sz val="12"/>
      <color theme="1"/>
      <name val="Roboto"/>
    </font>
    <font>
      <b/>
      <sz val="8"/>
      <color theme="1"/>
      <name val="Roboto"/>
    </font>
    <font>
      <sz val="8"/>
      <color theme="1"/>
      <name val="Roboto"/>
    </font>
    <font>
      <sz val="7"/>
      <color theme="1"/>
      <name val="Lato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6" fillId="0" borderId="0" xfId="2" applyFont="1"/>
    <xf numFmtId="164" fontId="6" fillId="0" borderId="0" xfId="3" applyNumberFormat="1" applyFont="1"/>
    <xf numFmtId="9" fontId="6" fillId="0" borderId="0" xfId="3" applyFont="1"/>
    <xf numFmtId="0" fontId="5" fillId="2" borderId="0" xfId="2" applyFont="1" applyFill="1"/>
    <xf numFmtId="0" fontId="6" fillId="2" borderId="0" xfId="2" applyFont="1" applyFill="1"/>
    <xf numFmtId="0" fontId="5" fillId="2" borderId="1" xfId="2" applyFont="1" applyFill="1" applyBorder="1" applyAlignment="1">
      <alignment horizontal="right" wrapText="1"/>
    </xf>
    <xf numFmtId="0" fontId="5" fillId="2" borderId="0" xfId="2" applyFont="1" applyFill="1" applyAlignment="1">
      <alignment wrapText="1"/>
    </xf>
    <xf numFmtId="1" fontId="6" fillId="2" borderId="0" xfId="2" applyNumberFormat="1" applyFont="1" applyFill="1"/>
    <xf numFmtId="3" fontId="6" fillId="2" borderId="0" xfId="2" applyNumberFormat="1" applyFont="1" applyFill="1"/>
    <xf numFmtId="164" fontId="6" fillId="2" borderId="0" xfId="3" applyNumberFormat="1" applyFont="1" applyFill="1"/>
    <xf numFmtId="166" fontId="6" fillId="2" borderId="0" xfId="2" applyNumberFormat="1" applyFont="1" applyFill="1"/>
    <xf numFmtId="165" fontId="6" fillId="2" borderId="0" xfId="2" applyNumberFormat="1" applyFont="1" applyFill="1"/>
    <xf numFmtId="0" fontId="5" fillId="2" borderId="1" xfId="2" applyFont="1" applyFill="1" applyBorder="1"/>
    <xf numFmtId="164" fontId="6" fillId="2" borderId="1" xfId="3" applyNumberFormat="1" applyFont="1" applyFill="1" applyBorder="1"/>
    <xf numFmtId="0" fontId="5" fillId="2" borderId="0" xfId="2" applyFont="1" applyFill="1" applyAlignment="1">
      <alignment horizontal="right" wrapText="1"/>
    </xf>
    <xf numFmtId="0" fontId="7" fillId="2" borderId="0" xfId="2" applyFont="1" applyFill="1"/>
    <xf numFmtId="10" fontId="6" fillId="2" borderId="0" xfId="2" applyNumberFormat="1" applyFont="1" applyFill="1"/>
    <xf numFmtId="164" fontId="7" fillId="2" borderId="0" xfId="3" applyNumberFormat="1" applyFont="1" applyFill="1"/>
    <xf numFmtId="164" fontId="6" fillId="2" borderId="0" xfId="2" applyNumberFormat="1" applyFont="1" applyFill="1"/>
    <xf numFmtId="164" fontId="6" fillId="2" borderId="0" xfId="1" applyNumberFormat="1" applyFont="1" applyFill="1"/>
    <xf numFmtId="2" fontId="6" fillId="2" borderId="0" xfId="3" applyNumberFormat="1" applyFont="1" applyFill="1"/>
    <xf numFmtId="1" fontId="6" fillId="2" borderId="0" xfId="3" applyNumberFormat="1" applyFont="1" applyFill="1"/>
    <xf numFmtId="166" fontId="6" fillId="2" borderId="0" xfId="3" applyNumberFormat="1" applyFont="1" applyFill="1"/>
    <xf numFmtId="165" fontId="6" fillId="2" borderId="0" xfId="3" applyNumberFormat="1" applyFont="1" applyFill="1"/>
    <xf numFmtId="0" fontId="5" fillId="3" borderId="0" xfId="2" applyFont="1" applyFill="1" applyAlignment="1">
      <alignment horizontal="centerContinuous" vertical="center"/>
    </xf>
    <xf numFmtId="0" fontId="6" fillId="2" borderId="0" xfId="2" applyFont="1" applyFill="1" applyAlignment="1">
      <alignment vertical="center"/>
    </xf>
    <xf numFmtId="0" fontId="8" fillId="2" borderId="0" xfId="2" applyFont="1" applyFill="1" applyAlignment="1">
      <alignment horizontal="center" vertical="center"/>
    </xf>
    <xf numFmtId="3" fontId="9" fillId="4" borderId="0" xfId="2" applyNumberFormat="1" applyFont="1" applyFill="1" applyAlignment="1">
      <alignment horizontal="left" vertical="center"/>
    </xf>
    <xf numFmtId="3" fontId="9" fillId="4" borderId="0" xfId="2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64" fontId="9" fillId="4" borderId="0" xfId="1" applyNumberFormat="1" applyFont="1" applyFill="1" applyAlignment="1">
      <alignment horizontal="center" vertical="center"/>
    </xf>
    <xf numFmtId="0" fontId="10" fillId="5" borderId="0" xfId="2" applyFont="1" applyFill="1" applyAlignment="1">
      <alignment horizontal="left" vertical="center"/>
    </xf>
    <xf numFmtId="0" fontId="9" fillId="6" borderId="0" xfId="2" applyFont="1" applyFill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5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6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9" fillId="7" borderId="0" xfId="2" applyFont="1" applyFill="1" applyAlignment="1">
      <alignment horizontal="left" vertical="center" wrapText="1"/>
    </xf>
    <xf numFmtId="3" fontId="9" fillId="7" borderId="0" xfId="2" applyNumberFormat="1" applyFont="1" applyFill="1" applyAlignment="1">
      <alignment horizontal="center" vertical="center"/>
    </xf>
    <xf numFmtId="164" fontId="9" fillId="7" borderId="0" xfId="3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2" applyNumberFormat="1" applyFont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164" fontId="9" fillId="7" borderId="0" xfId="1" applyNumberFormat="1" applyFont="1" applyFill="1" applyAlignment="1">
      <alignment horizontal="center" vertical="center"/>
    </xf>
    <xf numFmtId="164" fontId="9" fillId="4" borderId="0" xfId="1" applyNumberFormat="1" applyFont="1" applyFill="1" applyAlignment="1">
      <alignment horizontal="left" vertical="center"/>
    </xf>
    <xf numFmtId="165" fontId="9" fillId="7" borderId="0" xfId="2" applyNumberFormat="1" applyFont="1" applyFill="1" applyAlignment="1">
      <alignment horizontal="center" vertical="center"/>
    </xf>
    <xf numFmtId="165" fontId="9" fillId="4" borderId="0" xfId="2" applyNumberFormat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left" vertical="center"/>
    </xf>
    <xf numFmtId="165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left" vertical="center"/>
    </xf>
    <xf numFmtId="9" fontId="8" fillId="0" borderId="0" xfId="3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164" fontId="8" fillId="0" borderId="0" xfId="3" applyNumberFormat="1" applyFont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left" vertical="center"/>
    </xf>
    <xf numFmtId="164" fontId="8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  <xf numFmtId="164" fontId="6" fillId="0" borderId="0" xfId="2" applyNumberFormat="1" applyFont="1"/>
    <xf numFmtId="0" fontId="4" fillId="4" borderId="0" xfId="2" applyFont="1" applyFill="1"/>
    <xf numFmtId="0" fontId="6" fillId="4" borderId="0" xfId="2" applyFont="1" applyFill="1"/>
    <xf numFmtId="0" fontId="6" fillId="4" borderId="0" xfId="2" applyFont="1" applyFill="1" applyAlignment="1">
      <alignment wrapText="1"/>
    </xf>
    <xf numFmtId="0" fontId="5" fillId="4" borderId="1" xfId="2" applyFont="1" applyFill="1" applyBorder="1" applyAlignment="1">
      <alignment horizontal="right" wrapText="1"/>
    </xf>
    <xf numFmtId="0" fontId="5" fillId="4" borderId="0" xfId="2" applyFont="1" applyFill="1" applyAlignment="1">
      <alignment wrapText="1"/>
    </xf>
    <xf numFmtId="0" fontId="6" fillId="4" borderId="0" xfId="2" applyFont="1" applyFill="1" applyAlignment="1">
      <alignment horizontal="right" wrapText="1"/>
    </xf>
    <xf numFmtId="0" fontId="5" fillId="4" borderId="0" xfId="2" applyFont="1" applyFill="1"/>
    <xf numFmtId="3" fontId="6" fillId="4" borderId="0" xfId="2" applyNumberFormat="1" applyFont="1" applyFill="1"/>
    <xf numFmtId="164" fontId="6" fillId="4" borderId="0" xfId="3" applyNumberFormat="1" applyFont="1" applyFill="1"/>
    <xf numFmtId="166" fontId="6" fillId="4" borderId="0" xfId="2" applyNumberFormat="1" applyFont="1" applyFill="1"/>
    <xf numFmtId="165" fontId="6" fillId="4" borderId="0" xfId="2" applyNumberFormat="1" applyFont="1" applyFill="1"/>
    <xf numFmtId="1" fontId="6" fillId="4" borderId="0" xfId="2" applyNumberFormat="1" applyFont="1" applyFill="1"/>
  </cellXfs>
  <cellStyles count="5">
    <cellStyle name="Normal" xfId="0" builtinId="0"/>
    <cellStyle name="Normal 2" xfId="4" xr:uid="{EB45DAB2-D326-D349-BBC6-4E3B03AE1816}"/>
    <cellStyle name="Normal 3" xfId="2" xr:uid="{C211AB3A-E522-43D8-99FE-1D3B82D8F29C}"/>
    <cellStyle name="Percent" xfId="1" builtinId="5"/>
    <cellStyle name="Percent 2" xfId="3" xr:uid="{4ED8D7CC-A980-4FFF-A751-622301D96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CFEE-35B3-4671-B6B0-E7A1DA14EAEA}">
  <sheetPr>
    <tabColor theme="4"/>
  </sheetPr>
  <dimension ref="A1:Z86"/>
  <sheetViews>
    <sheetView tabSelected="1" zoomScaleNormal="100" workbookViewId="0">
      <selection activeCell="F50" sqref="F46:F50"/>
    </sheetView>
  </sheetViews>
  <sheetFormatPr baseColWidth="10" defaultColWidth="8.6640625" defaultRowHeight="15" customHeight="1" x14ac:dyDescent="0.15"/>
  <cols>
    <col min="1" max="1" width="8.6640625" style="30" customWidth="1"/>
    <col min="2" max="2" width="25.1640625" style="40" bestFit="1" customWidth="1"/>
    <col min="3" max="13" width="21" style="30" bestFit="1" customWidth="1"/>
    <col min="14" max="14" width="9.83203125" style="30" customWidth="1"/>
    <col min="15" max="15" width="25.1640625" style="40" bestFit="1" customWidth="1"/>
    <col min="16" max="26" width="8.6640625" style="30" customWidth="1"/>
    <col min="27" max="16384" width="8.6640625" style="1"/>
  </cols>
  <sheetData>
    <row r="1" spans="1:26" ht="30" customHeight="1" x14ac:dyDescent="0.15">
      <c r="B1" s="34" t="s">
        <v>0</v>
      </c>
      <c r="C1" s="34"/>
      <c r="O1" s="34"/>
    </row>
    <row r="2" spans="1:26" ht="15" customHeight="1" x14ac:dyDescent="0.15">
      <c r="B2" s="35"/>
      <c r="O2" s="35"/>
    </row>
    <row r="3" spans="1:26" ht="15" customHeight="1" x14ac:dyDescent="0.15">
      <c r="A3" s="27"/>
      <c r="B3" s="32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O3" s="32" t="s">
        <v>1</v>
      </c>
      <c r="P3" s="36">
        <v>2019</v>
      </c>
      <c r="Q3" s="36">
        <v>2020</v>
      </c>
      <c r="R3" s="36">
        <v>2021</v>
      </c>
      <c r="S3" s="36">
        <v>2022</v>
      </c>
      <c r="T3" s="36">
        <v>2023</v>
      </c>
      <c r="U3" s="36">
        <v>2024</v>
      </c>
      <c r="V3" s="36">
        <v>2025</v>
      </c>
      <c r="W3" s="36">
        <v>2026</v>
      </c>
      <c r="X3" s="36">
        <v>2027</v>
      </c>
      <c r="Y3" s="36">
        <v>2028</v>
      </c>
      <c r="Z3" s="36">
        <v>2029</v>
      </c>
    </row>
    <row r="4" spans="1:26" ht="15" customHeight="1" x14ac:dyDescent="0.15">
      <c r="A4" s="37"/>
      <c r="B4" s="33" t="s">
        <v>23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O4" s="33" t="s">
        <v>3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" customHeight="1" x14ac:dyDescent="0.15">
      <c r="A5" s="39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" customHeight="1" x14ac:dyDescent="0.15">
      <c r="A6" s="37"/>
      <c r="B6" s="33"/>
      <c r="C6" s="38">
        <v>2019</v>
      </c>
      <c r="D6" s="38">
        <v>2020</v>
      </c>
      <c r="E6" s="38">
        <v>2021</v>
      </c>
      <c r="F6" s="38">
        <v>2022</v>
      </c>
      <c r="G6" s="38">
        <v>2023</v>
      </c>
      <c r="H6" s="38">
        <v>2024</v>
      </c>
      <c r="I6" s="38">
        <v>2025</v>
      </c>
      <c r="J6" s="38">
        <v>2026</v>
      </c>
      <c r="K6" s="38">
        <v>2027</v>
      </c>
      <c r="L6" s="38">
        <v>2028</v>
      </c>
      <c r="M6" s="38">
        <v>2029</v>
      </c>
      <c r="O6" s="33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" customHeight="1" x14ac:dyDescent="0.15"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5" customHeight="1" x14ac:dyDescent="0.15">
      <c r="B8" s="41" t="s">
        <v>16</v>
      </c>
      <c r="C8" s="42">
        <v>407202.72515641176</v>
      </c>
      <c r="D8" s="42">
        <v>250110.56731915314</v>
      </c>
      <c r="E8" s="42">
        <v>328241.40623047733</v>
      </c>
      <c r="F8" s="42">
        <v>377315.35225758702</v>
      </c>
      <c r="G8" s="42">
        <v>380050.73380065575</v>
      </c>
      <c r="H8" s="42">
        <v>382616.84955837176</v>
      </c>
      <c r="I8" s="42">
        <v>385856.02531112218</v>
      </c>
      <c r="J8" s="42">
        <v>397964.12080646877</v>
      </c>
      <c r="K8" s="42">
        <v>402211.82948752114</v>
      </c>
      <c r="L8" s="42">
        <v>409229.23547597695</v>
      </c>
      <c r="M8" s="42">
        <v>416355.41882635927</v>
      </c>
      <c r="O8" s="41" t="s">
        <v>16</v>
      </c>
      <c r="P8" s="43">
        <v>3.0125753456690996E-2</v>
      </c>
      <c r="Q8" s="43">
        <v>-0.38578366040383816</v>
      </c>
      <c r="R8" s="43">
        <v>0.31238519727007574</v>
      </c>
      <c r="S8" s="43">
        <v>0.14950565375244596</v>
      </c>
      <c r="T8" s="43">
        <v>7.249589836994863E-3</v>
      </c>
      <c r="U8" s="43">
        <v>6.7520347403459665E-3</v>
      </c>
      <c r="V8" s="43">
        <v>8.4658471170027672E-3</v>
      </c>
      <c r="W8" s="43">
        <v>3.1379827451401394E-2</v>
      </c>
      <c r="X8" s="43">
        <v>1.0673597088211001E-2</v>
      </c>
      <c r="Y8" s="43">
        <v>1.7447040275759784E-2</v>
      </c>
      <c r="Z8" s="43">
        <v>1.7413671196032241E-2</v>
      </c>
    </row>
    <row r="9" spans="1:26" ht="16" x14ac:dyDescent="0.15">
      <c r="A9" s="27"/>
      <c r="B9" s="28" t="s">
        <v>45</v>
      </c>
      <c r="C9" s="29">
        <f>C17+C19+C21+C22</f>
        <v>278551.11220900004</v>
      </c>
      <c r="D9" s="29">
        <f t="shared" ref="D9:L9" si="0">D17+D19+D21+D22</f>
        <v>150621.69459716664</v>
      </c>
      <c r="E9" s="29">
        <f t="shared" si="0"/>
        <v>202174.56976929074</v>
      </c>
      <c r="F9" s="29">
        <f t="shared" si="0"/>
        <v>249151.45446630646</v>
      </c>
      <c r="G9" s="29">
        <f t="shared" si="0"/>
        <v>255187.67569422972</v>
      </c>
      <c r="H9" s="29">
        <f t="shared" si="0"/>
        <v>258085.30056963646</v>
      </c>
      <c r="I9" s="29">
        <f t="shared" si="0"/>
        <v>259775.85496760526</v>
      </c>
      <c r="J9" s="29">
        <f t="shared" si="0"/>
        <v>268778.19460977858</v>
      </c>
      <c r="K9" s="29">
        <f t="shared" si="0"/>
        <v>271205.81241634989</v>
      </c>
      <c r="L9" s="29">
        <f t="shared" si="0"/>
        <v>276204.50968960312</v>
      </c>
      <c r="M9" s="29">
        <f t="shared" ref="M9" si="1">M17+M19+M21+M22</f>
        <v>281157.38645397092</v>
      </c>
      <c r="O9" s="28" t="s">
        <v>45</v>
      </c>
      <c r="P9" s="31">
        <v>2.6331096398863663E-2</v>
      </c>
      <c r="Q9" s="31">
        <v>-0.45926730142023819</v>
      </c>
      <c r="R9" s="31">
        <v>0.34226726309248323</v>
      </c>
      <c r="S9" s="31">
        <v>0.23235802974935416</v>
      </c>
      <c r="T9" s="31">
        <v>2.4227116156528616E-2</v>
      </c>
      <c r="U9" s="31">
        <v>1.1354877807181918E-2</v>
      </c>
      <c r="V9" s="31">
        <v>6.550370727187893E-3</v>
      </c>
      <c r="W9" s="31">
        <v>2.2958486691067259E-2</v>
      </c>
      <c r="X9" s="31">
        <v>5.5265469774894438E-3</v>
      </c>
      <c r="Y9" s="31">
        <v>1.8207275707198267E-2</v>
      </c>
      <c r="Z9" s="31">
        <v>1.7932660821297741E-2</v>
      </c>
    </row>
    <row r="10" spans="1:26" ht="16" x14ac:dyDescent="0.15">
      <c r="A10" s="27"/>
      <c r="B10" s="28" t="s">
        <v>46</v>
      </c>
      <c r="C10" s="29">
        <f>C11+C12+C13+C14+C15+C16+C18+C20</f>
        <v>128813.27255866669</v>
      </c>
      <c r="D10" s="29">
        <f t="shared" ref="D10:M10" si="2">D11+D12+D13+D14+D15+D16+D18+D20</f>
        <v>100517.39213274997</v>
      </c>
      <c r="E10" s="29">
        <f t="shared" si="2"/>
        <v>126919.29506967284</v>
      </c>
      <c r="F10" s="29">
        <f t="shared" si="2"/>
        <v>128193.77938004893</v>
      </c>
      <c r="G10" s="29">
        <f t="shared" si="2"/>
        <v>124863.05810642597</v>
      </c>
      <c r="H10" s="29">
        <f t="shared" si="2"/>
        <v>124531.54898873529</v>
      </c>
      <c r="I10" s="29">
        <f t="shared" si="2"/>
        <v>126080.1703435169</v>
      </c>
      <c r="J10" s="29">
        <f t="shared" si="2"/>
        <v>129185.92619669023</v>
      </c>
      <c r="K10" s="29">
        <f t="shared" si="2"/>
        <v>131006.01707117126</v>
      </c>
      <c r="L10" s="29">
        <f t="shared" si="2"/>
        <v>133024.72578637386</v>
      </c>
      <c r="M10" s="29">
        <f t="shared" si="2"/>
        <v>135198.03237238832</v>
      </c>
      <c r="O10" s="28" t="s">
        <v>46</v>
      </c>
      <c r="P10" s="31">
        <v>3.8438711258403924E-2</v>
      </c>
      <c r="Q10" s="31">
        <v>-0.22667994249979539</v>
      </c>
      <c r="R10" s="31">
        <v>0.26714508881279642</v>
      </c>
      <c r="S10" s="31">
        <v>1.66345201399547E-2</v>
      </c>
      <c r="T10" s="31">
        <v>-2.5754832224517021E-2</v>
      </c>
      <c r="U10" s="31">
        <v>-2.654981567151049E-3</v>
      </c>
      <c r="V10" s="31">
        <v>1.243557449784638E-2</v>
      </c>
      <c r="W10" s="31">
        <v>2.1050728262656415E-2</v>
      </c>
      <c r="X10" s="31">
        <v>1.2544278454135194E-2</v>
      </c>
      <c r="Y10" s="31">
        <v>1.6187900044898562E-2</v>
      </c>
      <c r="Z10" s="31">
        <v>1.6486813940330913E-2</v>
      </c>
    </row>
    <row r="11" spans="1:26" ht="15" customHeight="1" x14ac:dyDescent="0.15">
      <c r="A11" s="30" t="s">
        <v>26</v>
      </c>
      <c r="B11" s="44" t="s">
        <v>4</v>
      </c>
      <c r="C11" s="45">
        <v>29638.34085075001</v>
      </c>
      <c r="D11" s="45">
        <v>20579.835509749999</v>
      </c>
      <c r="E11" s="45">
        <v>27288.445735992809</v>
      </c>
      <c r="F11" s="45">
        <v>29334.691999487943</v>
      </c>
      <c r="G11" s="45">
        <v>28532.372509405544</v>
      </c>
      <c r="H11" s="45">
        <v>28777.815239375323</v>
      </c>
      <c r="I11" s="45">
        <v>29172.896226141958</v>
      </c>
      <c r="J11" s="45">
        <v>30259.232063089403</v>
      </c>
      <c r="K11" s="45">
        <v>30657.086436538797</v>
      </c>
      <c r="L11" s="45">
        <v>31132.473872925464</v>
      </c>
      <c r="M11" s="45">
        <v>31636.818946185569</v>
      </c>
      <c r="O11" s="44" t="s">
        <v>4</v>
      </c>
      <c r="P11" s="46">
        <v>2.6024668978848142E-2</v>
      </c>
      <c r="Q11" s="46">
        <v>-0.30563469752291417</v>
      </c>
      <c r="R11" s="46">
        <v>0.32597977875306672</v>
      </c>
      <c r="S11" s="46">
        <v>7.4985812064634505E-2</v>
      </c>
      <c r="T11" s="46">
        <v>-2.7350533971735702E-2</v>
      </c>
      <c r="U11" s="46">
        <v>8.6022545054348105E-3</v>
      </c>
      <c r="V11" s="46">
        <v>1.3728665066487228E-2</v>
      </c>
      <c r="W11" s="46">
        <v>3.7237846682290472E-2</v>
      </c>
      <c r="X11" s="46">
        <v>1.3148197965496357E-2</v>
      </c>
      <c r="Y11" s="46">
        <v>1.5506608476012068E-2</v>
      </c>
      <c r="Z11" s="46">
        <v>1.6199967767377189E-2</v>
      </c>
    </row>
    <row r="12" spans="1:26" ht="15" customHeight="1" x14ac:dyDescent="0.15">
      <c r="A12" s="39"/>
      <c r="B12" s="44" t="s">
        <v>5</v>
      </c>
      <c r="C12" s="45">
        <v>26961.307629500003</v>
      </c>
      <c r="D12" s="45">
        <v>23780.101744833333</v>
      </c>
      <c r="E12" s="45">
        <v>28412.853376562703</v>
      </c>
      <c r="F12" s="45">
        <v>26770.812295186872</v>
      </c>
      <c r="G12" s="45">
        <v>25929.041951296633</v>
      </c>
      <c r="H12" s="45">
        <v>25640.868413978493</v>
      </c>
      <c r="I12" s="45">
        <v>25922.216288360225</v>
      </c>
      <c r="J12" s="45">
        <v>26202.443833676782</v>
      </c>
      <c r="K12" s="45">
        <v>26556.748190958235</v>
      </c>
      <c r="L12" s="45">
        <v>26934.1381277453</v>
      </c>
      <c r="M12" s="45">
        <v>27360.54105453263</v>
      </c>
      <c r="O12" s="44" t="s">
        <v>5</v>
      </c>
      <c r="P12" s="47">
        <v>3.0524362078758083E-2</v>
      </c>
      <c r="Q12" s="47">
        <v>-0.11799152802165724</v>
      </c>
      <c r="R12" s="47">
        <v>0.19481630824964502</v>
      </c>
      <c r="S12" s="47">
        <v>-5.7792192132674836E-2</v>
      </c>
      <c r="T12" s="47">
        <v>-3.1443586194117135E-2</v>
      </c>
      <c r="U12" s="47">
        <v>-1.1113929232689191E-2</v>
      </c>
      <c r="V12" s="47">
        <v>1.0972634383488796E-2</v>
      </c>
      <c r="W12" s="47">
        <v>1.0810323554100826E-2</v>
      </c>
      <c r="X12" s="47">
        <v>1.3521805810574135E-2</v>
      </c>
      <c r="Y12" s="47">
        <v>1.4210698315675381E-2</v>
      </c>
      <c r="Z12" s="47">
        <v>1.5831318780833218E-2</v>
      </c>
    </row>
    <row r="13" spans="1:26" ht="15" customHeight="1" x14ac:dyDescent="0.15">
      <c r="A13" s="39"/>
      <c r="B13" s="44" t="s">
        <v>6</v>
      </c>
      <c r="C13" s="45">
        <v>16246.356020666668</v>
      </c>
      <c r="D13" s="45">
        <v>11375.421051083331</v>
      </c>
      <c r="E13" s="45">
        <v>15566.877458488338</v>
      </c>
      <c r="F13" s="45">
        <v>17101.899308755746</v>
      </c>
      <c r="G13" s="45">
        <v>16917.991064861897</v>
      </c>
      <c r="H13" s="45">
        <v>16346.014669738868</v>
      </c>
      <c r="I13" s="45">
        <v>16460.401759394765</v>
      </c>
      <c r="J13" s="45">
        <v>16680.836284258839</v>
      </c>
      <c r="K13" s="45">
        <v>16942.590889882889</v>
      </c>
      <c r="L13" s="45">
        <v>17193.467808194549</v>
      </c>
      <c r="M13" s="45">
        <v>17461.07678910004</v>
      </c>
      <c r="O13" s="44" t="s">
        <v>6</v>
      </c>
      <c r="P13" s="47">
        <v>5.658075058914469E-2</v>
      </c>
      <c r="Q13" s="47">
        <v>-0.29981707672705915</v>
      </c>
      <c r="R13" s="47">
        <v>0.3684660452199997</v>
      </c>
      <c r="S13" s="47">
        <v>9.8608205425962936E-2</v>
      </c>
      <c r="T13" s="47">
        <v>-1.0753673646043072E-2</v>
      </c>
      <c r="U13" s="47">
        <v>-3.3808765646590556E-2</v>
      </c>
      <c r="V13" s="47">
        <v>6.9978580080231785E-3</v>
      </c>
      <c r="W13" s="47">
        <v>1.3391807082610356E-2</v>
      </c>
      <c r="X13" s="47">
        <v>1.5691935413997146E-2</v>
      </c>
      <c r="Y13" s="47">
        <v>1.4807470707533223E-2</v>
      </c>
      <c r="Z13" s="47">
        <v>1.5564572772105085E-2</v>
      </c>
    </row>
    <row r="14" spans="1:26" ht="15" customHeight="1" x14ac:dyDescent="0.15">
      <c r="A14" s="39"/>
      <c r="B14" s="44" t="s">
        <v>7</v>
      </c>
      <c r="C14" s="45">
        <v>15895.851672166667</v>
      </c>
      <c r="D14" s="45">
        <v>11571.52182675</v>
      </c>
      <c r="E14" s="45">
        <v>14421.155978471315</v>
      </c>
      <c r="F14" s="45">
        <v>14452.210631080377</v>
      </c>
      <c r="G14" s="45">
        <v>14275.499458069331</v>
      </c>
      <c r="H14" s="45">
        <v>14524.60741807476</v>
      </c>
      <c r="I14" s="45">
        <v>14895.065403621873</v>
      </c>
      <c r="J14" s="45">
        <v>15226.539636294692</v>
      </c>
      <c r="K14" s="45">
        <v>15463.153031146598</v>
      </c>
      <c r="L14" s="45">
        <v>15726.539466815466</v>
      </c>
      <c r="M14" s="45">
        <v>16015.522962178762</v>
      </c>
      <c r="O14" s="44" t="s">
        <v>7</v>
      </c>
      <c r="P14" s="47">
        <v>8.9426656082991496E-3</v>
      </c>
      <c r="Q14" s="47">
        <v>-0.27204140643740948</v>
      </c>
      <c r="R14" s="47">
        <v>0.24626269512224286</v>
      </c>
      <c r="S14" s="47">
        <v>2.1534093837847212E-3</v>
      </c>
      <c r="T14" s="47">
        <v>-1.2227276333145798E-2</v>
      </c>
      <c r="U14" s="47">
        <v>1.7450034637115197E-2</v>
      </c>
      <c r="V14" s="47">
        <v>2.550554206966767E-2</v>
      </c>
      <c r="W14" s="47">
        <v>2.2253962885736518E-2</v>
      </c>
      <c r="X14" s="47">
        <v>1.5539538234143674E-2</v>
      </c>
      <c r="Y14" s="47">
        <v>1.7033164913930754E-2</v>
      </c>
      <c r="Z14" s="47">
        <v>1.8375529847051198E-2</v>
      </c>
    </row>
    <row r="15" spans="1:26" ht="15" customHeight="1" x14ac:dyDescent="0.15">
      <c r="A15" s="39"/>
      <c r="B15" s="44" t="s">
        <v>8</v>
      </c>
      <c r="C15" s="45">
        <v>9468.0859479166666</v>
      </c>
      <c r="D15" s="45">
        <v>6870.3803529166662</v>
      </c>
      <c r="E15" s="45">
        <v>8833.3594647741866</v>
      </c>
      <c r="F15" s="45">
        <v>9463.9478900336599</v>
      </c>
      <c r="G15" s="45">
        <v>9456.797303647696</v>
      </c>
      <c r="H15" s="45">
        <v>9294.3205069124433</v>
      </c>
      <c r="I15" s="45">
        <v>9340.0887117271741</v>
      </c>
      <c r="J15" s="45">
        <v>9574.3864319078293</v>
      </c>
      <c r="K15" s="45">
        <v>9718.6260958286548</v>
      </c>
      <c r="L15" s="45">
        <v>9888.9253700339723</v>
      </c>
      <c r="M15" s="45">
        <v>10057.961299303273</v>
      </c>
      <c r="O15" s="44" t="s">
        <v>8</v>
      </c>
      <c r="P15" s="47">
        <v>4.9273042152533586E-2</v>
      </c>
      <c r="Q15" s="47">
        <v>-0.27436438677149877</v>
      </c>
      <c r="R15" s="47">
        <v>0.28571622108580663</v>
      </c>
      <c r="S15" s="47">
        <v>7.1387157714360328E-2</v>
      </c>
      <c r="T15" s="47">
        <v>-7.5556062533843615E-4</v>
      </c>
      <c r="U15" s="47">
        <v>-1.7180953711737251E-2</v>
      </c>
      <c r="V15" s="47">
        <v>4.9243196187060368E-3</v>
      </c>
      <c r="W15" s="47">
        <v>2.508517075287273E-2</v>
      </c>
      <c r="X15" s="47">
        <v>1.5065160044107779E-2</v>
      </c>
      <c r="Y15" s="47">
        <v>1.7522978302294382E-2</v>
      </c>
      <c r="Z15" s="47">
        <v>1.7093457877791665E-2</v>
      </c>
    </row>
    <row r="16" spans="1:26" ht="15" customHeight="1" x14ac:dyDescent="0.15">
      <c r="A16" s="39"/>
      <c r="B16" s="44" t="s">
        <v>9</v>
      </c>
      <c r="C16" s="45">
        <v>18612.485385416665</v>
      </c>
      <c r="D16" s="45">
        <v>16408.931992999998</v>
      </c>
      <c r="E16" s="45">
        <v>20288.767705017908</v>
      </c>
      <c r="F16" s="45">
        <v>20245.916845878124</v>
      </c>
      <c r="G16" s="45">
        <v>19812.317822293542</v>
      </c>
      <c r="H16" s="45">
        <v>19738.098060675886</v>
      </c>
      <c r="I16" s="45">
        <v>20078.818313182841</v>
      </c>
      <c r="J16" s="45">
        <v>20736.601737768207</v>
      </c>
      <c r="K16" s="45">
        <v>21037.23224011487</v>
      </c>
      <c r="L16" s="45">
        <v>21369.814313982573</v>
      </c>
      <c r="M16" s="45">
        <v>21736.627483418215</v>
      </c>
      <c r="O16" s="44" t="s">
        <v>9</v>
      </c>
      <c r="P16" s="47">
        <v>3.5766358880361393E-2</v>
      </c>
      <c r="Q16" s="47">
        <v>-0.11839114157979158</v>
      </c>
      <c r="R16" s="47">
        <v>0.23644657151806325</v>
      </c>
      <c r="S16" s="47">
        <v>-2.1120483886848396E-3</v>
      </c>
      <c r="T16" s="47">
        <v>-2.1416615848289355E-2</v>
      </c>
      <c r="U16" s="47">
        <v>-3.7461422880134473E-3</v>
      </c>
      <c r="V16" s="47">
        <v>1.7262060987819815E-2</v>
      </c>
      <c r="W16" s="47">
        <v>3.2760066569928359E-2</v>
      </c>
      <c r="X16" s="47">
        <v>1.4497578057793116E-2</v>
      </c>
      <c r="Y16" s="47">
        <v>1.580921245112836E-2</v>
      </c>
      <c r="Z16" s="47">
        <v>1.7165014353710623E-2</v>
      </c>
    </row>
    <row r="17" spans="1:26" ht="15" customHeight="1" x14ac:dyDescent="0.15">
      <c r="A17" s="39"/>
      <c r="B17" s="44" t="s">
        <v>10</v>
      </c>
      <c r="C17" s="45">
        <v>87207.572266833318</v>
      </c>
      <c r="D17" s="45">
        <v>51275.352562749991</v>
      </c>
      <c r="E17" s="45">
        <v>68984.612227519654</v>
      </c>
      <c r="F17" s="45">
        <v>79696.970654121804</v>
      </c>
      <c r="G17" s="45">
        <v>81973.0048468608</v>
      </c>
      <c r="H17" s="45">
        <v>82423.293593189956</v>
      </c>
      <c r="I17" s="45">
        <v>81538.616399340477</v>
      </c>
      <c r="J17" s="45">
        <v>82127.085185150572</v>
      </c>
      <c r="K17" s="45">
        <v>83623.541771609569</v>
      </c>
      <c r="L17" s="45">
        <v>85371.339129121276</v>
      </c>
      <c r="M17" s="45">
        <v>86712.465249416666</v>
      </c>
      <c r="O17" s="44" t="s">
        <v>10</v>
      </c>
      <c r="P17" s="47">
        <v>5.4841205201465959E-2</v>
      </c>
      <c r="Q17" s="47">
        <v>-0.41203095981321136</v>
      </c>
      <c r="R17" s="47">
        <v>0.34537567817007875</v>
      </c>
      <c r="S17" s="47">
        <v>0.15528620196155463</v>
      </c>
      <c r="T17" s="47">
        <v>2.8558603596324783E-2</v>
      </c>
      <c r="U17" s="47">
        <v>5.493134565097005E-3</v>
      </c>
      <c r="V17" s="47">
        <v>-1.0733339512200384E-2</v>
      </c>
      <c r="W17" s="47">
        <v>7.2170563077503351E-3</v>
      </c>
      <c r="X17" s="47">
        <v>1.8221230950609357E-2</v>
      </c>
      <c r="Y17" s="47">
        <v>2.0900781292967057E-2</v>
      </c>
      <c r="Z17" s="47">
        <v>1.570932509641183E-2</v>
      </c>
    </row>
    <row r="18" spans="1:26" ht="15" customHeight="1" x14ac:dyDescent="0.15">
      <c r="A18" s="39"/>
      <c r="B18" s="44" t="s">
        <v>11</v>
      </c>
      <c r="C18" s="45">
        <v>5500.7114684166672</v>
      </c>
      <c r="D18" s="45">
        <v>4604.5584790000003</v>
      </c>
      <c r="E18" s="45">
        <v>5625.4588345304628</v>
      </c>
      <c r="F18" s="45">
        <v>5108.5746223758279</v>
      </c>
      <c r="G18" s="45">
        <v>4668.8343001903431</v>
      </c>
      <c r="H18" s="45">
        <v>4781.5461853558618</v>
      </c>
      <c r="I18" s="45">
        <v>4735.5693836415794</v>
      </c>
      <c r="J18" s="45">
        <v>4929.7742018992831</v>
      </c>
      <c r="K18" s="45">
        <v>4990.4154377958257</v>
      </c>
      <c r="L18" s="45">
        <v>5069.3232534477265</v>
      </c>
      <c r="M18" s="45">
        <v>5139.2409599119028</v>
      </c>
      <c r="O18" s="44" t="s">
        <v>11</v>
      </c>
      <c r="P18" s="47">
        <v>-0.41709082560355393</v>
      </c>
      <c r="Q18" s="47">
        <v>-0.16291583271765697</v>
      </c>
      <c r="R18" s="47">
        <v>0.22171514602029285</v>
      </c>
      <c r="S18" s="47">
        <v>-9.1883031652790992E-2</v>
      </c>
      <c r="T18" s="47">
        <v>-8.6078868312777224E-2</v>
      </c>
      <c r="U18" s="47">
        <v>2.414133334329803E-2</v>
      </c>
      <c r="V18" s="47">
        <v>-9.6154674517403196E-3</v>
      </c>
      <c r="W18" s="47">
        <v>4.10098137150222E-2</v>
      </c>
      <c r="X18" s="47">
        <v>1.2301016925517506E-2</v>
      </c>
      <c r="Y18" s="47">
        <v>1.5811873106651206E-2</v>
      </c>
      <c r="Z18" s="47">
        <v>1.3792315654091329E-2</v>
      </c>
    </row>
    <row r="19" spans="1:26" ht="15" customHeight="1" x14ac:dyDescent="0.15">
      <c r="B19" s="44" t="s">
        <v>12</v>
      </c>
      <c r="C19" s="45">
        <v>45141.360639583327</v>
      </c>
      <c r="D19" s="45">
        <v>22478.539628416667</v>
      </c>
      <c r="E19" s="45">
        <v>32935.691948052525</v>
      </c>
      <c r="F19" s="45">
        <v>42427.597989092079</v>
      </c>
      <c r="G19" s="45">
        <v>43160.16872931338</v>
      </c>
      <c r="H19" s="45">
        <v>43783.753373015876</v>
      </c>
      <c r="I19" s="45">
        <v>44152.016512716742</v>
      </c>
      <c r="J19" s="45">
        <v>45725.124598998998</v>
      </c>
      <c r="K19" s="45">
        <v>46102.100876904937</v>
      </c>
      <c r="L19" s="45">
        <v>46957.964763073993</v>
      </c>
      <c r="M19" s="45">
        <v>47750.649714317202</v>
      </c>
      <c r="O19" s="44" t="s">
        <v>12</v>
      </c>
      <c r="P19" s="47">
        <v>5.7624372994296014E-3</v>
      </c>
      <c r="Q19" s="47">
        <v>-0.50204115892984846</v>
      </c>
      <c r="R19" s="47">
        <v>0.46520603617933665</v>
      </c>
      <c r="S19" s="47">
        <v>0.28819513055959356</v>
      </c>
      <c r="T19" s="47">
        <v>1.7266373184964268E-2</v>
      </c>
      <c r="U19" s="47">
        <v>1.444815120194309E-2</v>
      </c>
      <c r="V19" s="47">
        <v>8.4109540943976841E-3</v>
      </c>
      <c r="W19" s="47">
        <v>3.5629359891844736E-2</v>
      </c>
      <c r="X19" s="47">
        <v>8.2444013266656253E-3</v>
      </c>
      <c r="Y19" s="47">
        <v>1.8564531114411861E-2</v>
      </c>
      <c r="Z19" s="47">
        <v>1.6880734828323463E-2</v>
      </c>
    </row>
    <row r="20" spans="1:26" ht="15" customHeight="1" x14ac:dyDescent="0.15">
      <c r="B20" s="44" t="s">
        <v>13</v>
      </c>
      <c r="C20" s="45">
        <v>6490.1335838333325</v>
      </c>
      <c r="D20" s="45">
        <v>5326.6411754166666</v>
      </c>
      <c r="E20" s="45">
        <v>6482.3765158351207</v>
      </c>
      <c r="F20" s="45">
        <v>5715.7257872503787</v>
      </c>
      <c r="G20" s="45">
        <v>5270.2036966610058</v>
      </c>
      <c r="H20" s="45">
        <v>5428.2784946236561</v>
      </c>
      <c r="I20" s="45">
        <v>5475.1142574464839</v>
      </c>
      <c r="J20" s="45">
        <v>5576.1120077951973</v>
      </c>
      <c r="K20" s="45">
        <v>5640.1647489054058</v>
      </c>
      <c r="L20" s="45">
        <v>5710.0435732288252</v>
      </c>
      <c r="M20" s="45">
        <v>5790.2428777579235</v>
      </c>
      <c r="O20" s="44" t="s">
        <v>13</v>
      </c>
      <c r="P20" s="47">
        <v>7.741681047178206E-2</v>
      </c>
      <c r="Q20" s="47">
        <v>-0.1792709492628749</v>
      </c>
      <c r="R20" s="47">
        <v>0.21697262915932169</v>
      </c>
      <c r="S20" s="47">
        <v>-0.11826692366788183</v>
      </c>
      <c r="T20" s="47">
        <v>-7.7946722283837366E-2</v>
      </c>
      <c r="U20" s="47">
        <v>2.9994058495841504E-2</v>
      </c>
      <c r="V20" s="47">
        <v>8.6281061056862531E-3</v>
      </c>
      <c r="W20" s="47">
        <v>1.844669272633908E-2</v>
      </c>
      <c r="X20" s="47">
        <v>1.1486989683970677E-2</v>
      </c>
      <c r="Y20" s="47">
        <v>1.2389500561482867E-2</v>
      </c>
      <c r="Z20" s="47">
        <v>1.404530517159407E-2</v>
      </c>
    </row>
    <row r="21" spans="1:26" ht="15" customHeight="1" x14ac:dyDescent="0.15">
      <c r="B21" s="44" t="s">
        <v>14</v>
      </c>
      <c r="C21" s="45">
        <v>49513.618740916681</v>
      </c>
      <c r="D21" s="45">
        <v>29067.178127249994</v>
      </c>
      <c r="E21" s="45">
        <v>39283.235388803732</v>
      </c>
      <c r="F21" s="45">
        <v>46413.875224014308</v>
      </c>
      <c r="G21" s="45">
        <v>47100.934260470072</v>
      </c>
      <c r="H21" s="45">
        <v>47852.061015104955</v>
      </c>
      <c r="I21" s="45">
        <v>47768.683739193861</v>
      </c>
      <c r="J21" s="45">
        <v>50347.213240140751</v>
      </c>
      <c r="K21" s="45">
        <v>50746.044599650915</v>
      </c>
      <c r="L21" s="45">
        <v>51584.435636946924</v>
      </c>
      <c r="M21" s="45">
        <v>52824.438474647068</v>
      </c>
      <c r="O21" s="44" t="s">
        <v>14</v>
      </c>
      <c r="P21" s="47">
        <v>1.9415838155166787E-2</v>
      </c>
      <c r="Q21" s="47">
        <v>-0.41294579417945709</v>
      </c>
      <c r="R21" s="47">
        <v>0.35146367551848301</v>
      </c>
      <c r="S21" s="47">
        <v>0.18151864948585428</v>
      </c>
      <c r="T21" s="47">
        <v>1.4802880240869953E-2</v>
      </c>
      <c r="U21" s="47">
        <v>1.5947173159689812E-2</v>
      </c>
      <c r="V21" s="47">
        <v>-1.7423967566365741E-3</v>
      </c>
      <c r="W21" s="47">
        <v>5.3979496588708077E-2</v>
      </c>
      <c r="X21" s="47">
        <v>7.9216173814399878E-3</v>
      </c>
      <c r="Y21" s="47">
        <v>1.6521308092291718E-2</v>
      </c>
      <c r="Z21" s="47">
        <v>2.4038313541459039E-2</v>
      </c>
    </row>
    <row r="22" spans="1:26" ht="15" customHeight="1" x14ac:dyDescent="0.15">
      <c r="B22" s="44" t="s">
        <v>15</v>
      </c>
      <c r="C22" s="45">
        <v>96688.560561666673</v>
      </c>
      <c r="D22" s="45">
        <v>47800.624278750001</v>
      </c>
      <c r="E22" s="45">
        <v>60971.030204914838</v>
      </c>
      <c r="F22" s="45">
        <v>80613.010599078261</v>
      </c>
      <c r="G22" s="45">
        <v>82953.567857585454</v>
      </c>
      <c r="H22" s="45">
        <v>84026.192588325663</v>
      </c>
      <c r="I22" s="45">
        <v>86316.53831635417</v>
      </c>
      <c r="J22" s="45">
        <v>90578.771585488226</v>
      </c>
      <c r="K22" s="45">
        <v>90734.125168184459</v>
      </c>
      <c r="L22" s="45">
        <v>92290.770160460903</v>
      </c>
      <c r="M22" s="45">
        <v>93869.833015590004</v>
      </c>
      <c r="O22" s="44" t="s">
        <v>15</v>
      </c>
      <c r="P22" s="47">
        <v>1.4807116366230444E-2</v>
      </c>
      <c r="Q22" s="47">
        <v>-0.50562275411822477</v>
      </c>
      <c r="R22" s="47">
        <v>0.27552790627506107</v>
      </c>
      <c r="S22" s="47">
        <v>0.32215267362466338</v>
      </c>
      <c r="T22" s="47">
        <v>2.9034485142203081E-2</v>
      </c>
      <c r="U22" s="47">
        <v>1.2930423108282558E-2</v>
      </c>
      <c r="V22" s="47">
        <v>2.7257521226145869E-2</v>
      </c>
      <c r="W22" s="47">
        <v>4.9379103382398988E-2</v>
      </c>
      <c r="X22" s="47">
        <v>1.7151213245325345E-3</v>
      </c>
      <c r="Y22" s="47">
        <v>1.7156113969149449E-2</v>
      </c>
      <c r="Z22" s="47">
        <v>1.7109650860900511E-2</v>
      </c>
    </row>
    <row r="23" spans="1:26" ht="15" customHeight="1" x14ac:dyDescent="0.15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O23" s="44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" customHeight="1" x14ac:dyDescent="0.15">
      <c r="A24" s="39"/>
      <c r="B24" s="32" t="s">
        <v>17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O24" s="32" t="s">
        <v>17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" customHeight="1" x14ac:dyDescent="0.15">
      <c r="A25" s="27"/>
      <c r="B25" s="33" t="s">
        <v>2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O25" s="33" t="s">
        <v>3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" customHeight="1" x14ac:dyDescent="0.15">
      <c r="A26" s="39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O26" s="33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" customHeight="1" x14ac:dyDescent="0.15">
      <c r="A27" s="37"/>
      <c r="B27" s="33"/>
      <c r="C27" s="38">
        <v>2019</v>
      </c>
      <c r="D27" s="38">
        <v>2020</v>
      </c>
      <c r="E27" s="38">
        <v>2021</v>
      </c>
      <c r="F27" s="38">
        <v>2022</v>
      </c>
      <c r="G27" s="38">
        <v>2023</v>
      </c>
      <c r="H27" s="38">
        <v>2024</v>
      </c>
      <c r="I27" s="38">
        <v>2025</v>
      </c>
      <c r="J27" s="38">
        <v>2026</v>
      </c>
      <c r="K27" s="38">
        <v>2027</v>
      </c>
      <c r="L27" s="38">
        <v>2028</v>
      </c>
      <c r="M27" s="38">
        <v>2029</v>
      </c>
      <c r="O27" s="33"/>
      <c r="P27" s="38">
        <v>2019</v>
      </c>
      <c r="Q27" s="38">
        <v>2020</v>
      </c>
      <c r="R27" s="38">
        <v>2021</v>
      </c>
      <c r="S27" s="38">
        <v>2022</v>
      </c>
      <c r="T27" s="38">
        <v>2023</v>
      </c>
      <c r="U27" s="38">
        <v>2024</v>
      </c>
      <c r="V27" s="38">
        <v>2025</v>
      </c>
      <c r="W27" s="38">
        <v>2026</v>
      </c>
      <c r="X27" s="38">
        <v>2027</v>
      </c>
      <c r="Y27" s="38">
        <v>2028</v>
      </c>
      <c r="Z27" s="38">
        <v>2029</v>
      </c>
    </row>
    <row r="28" spans="1:26" ht="15" customHeight="1" x14ac:dyDescent="0.15">
      <c r="A28" s="48"/>
      <c r="B28" s="4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O28" s="4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" customHeight="1" x14ac:dyDescent="0.15">
      <c r="B29" s="41" t="s">
        <v>16</v>
      </c>
      <c r="C29" s="50">
        <v>0.75209222762842132</v>
      </c>
      <c r="D29" s="50">
        <v>0.49071508382038509</v>
      </c>
      <c r="E29" s="50">
        <v>0.60803789951532095</v>
      </c>
      <c r="F29" s="50">
        <v>0.67389985994345758</v>
      </c>
      <c r="G29" s="50">
        <v>0.67101193456705299</v>
      </c>
      <c r="H29" s="50">
        <v>0.67078660915448729</v>
      </c>
      <c r="I29" s="50">
        <v>0.67324806274207938</v>
      </c>
      <c r="J29" s="50">
        <v>0.69624588304266022</v>
      </c>
      <c r="K29" s="50">
        <v>0.69675993118965462</v>
      </c>
      <c r="L29" s="50">
        <v>0.70241645898191185</v>
      </c>
      <c r="M29" s="50">
        <v>0.70948267313289526</v>
      </c>
      <c r="O29" s="41" t="s">
        <v>16</v>
      </c>
      <c r="P29" s="43">
        <v>-3.6554737738689891E-3</v>
      </c>
      <c r="Q29" s="43">
        <v>-0.34753336652904787</v>
      </c>
      <c r="R29" s="43">
        <v>0.23908540732340544</v>
      </c>
      <c r="S29" s="43">
        <v>0.10831884078383358</v>
      </c>
      <c r="T29" s="43">
        <v>-4.2853924567470836E-3</v>
      </c>
      <c r="U29" s="43">
        <v>-3.3579941124457888E-4</v>
      </c>
      <c r="V29" s="43">
        <v>3.669503168369297E-3</v>
      </c>
      <c r="W29" s="43">
        <v>3.4159504606537994E-2</v>
      </c>
      <c r="X29" s="43">
        <v>7.3831409206754218E-4</v>
      </c>
      <c r="Y29" s="43">
        <v>8.1183310621769193E-3</v>
      </c>
      <c r="Z29" s="43">
        <v>1.0059864145588553E-2</v>
      </c>
    </row>
    <row r="30" spans="1:26" ht="16" x14ac:dyDescent="0.15">
      <c r="A30" s="27"/>
      <c r="B30" s="51" t="s">
        <v>45</v>
      </c>
      <c r="C30" s="31">
        <v>0.78653149525520538</v>
      </c>
      <c r="D30" s="31">
        <v>0.46693687215078289</v>
      </c>
      <c r="E30" s="31">
        <v>0.58466230859600465</v>
      </c>
      <c r="F30" s="31">
        <v>0.68646897455149547</v>
      </c>
      <c r="G30" s="31">
        <v>0.69363882317893555</v>
      </c>
      <c r="H30" s="31">
        <v>0.69899557264852241</v>
      </c>
      <c r="I30" s="31">
        <v>0.70286562501944994</v>
      </c>
      <c r="J30" s="31">
        <v>0.72137296934364681</v>
      </c>
      <c r="K30" s="31">
        <v>0.7200515866068079</v>
      </c>
      <c r="L30" s="31">
        <v>0.72386453658500405</v>
      </c>
      <c r="M30" s="31">
        <v>0.73249581287816845</v>
      </c>
      <c r="O30" s="28" t="s">
        <v>45</v>
      </c>
      <c r="P30" s="31">
        <v>-3.8851648855284804E-3</v>
      </c>
      <c r="Q30" s="31">
        <v>-0.40633417101844582</v>
      </c>
      <c r="R30" s="31">
        <v>0.25212281031258099</v>
      </c>
      <c r="S30" s="31">
        <v>0.17412900482667881</v>
      </c>
      <c r="T30" s="31">
        <v>1.044453412060542E-2</v>
      </c>
      <c r="U30" s="31">
        <v>7.7226782737405131E-3</v>
      </c>
      <c r="V30" s="31">
        <v>5.5365906771966955E-3</v>
      </c>
      <c r="W30" s="31">
        <v>4.1671632738352171E-2</v>
      </c>
      <c r="X30" s="31">
        <v>6.9984600372685613E-4</v>
      </c>
      <c r="Y30" s="31">
        <v>1.0972517701965501E-2</v>
      </c>
      <c r="Z30" s="31">
        <v>1.2806453135082885E-2</v>
      </c>
    </row>
    <row r="31" spans="1:26" ht="16" x14ac:dyDescent="0.15">
      <c r="A31" s="27"/>
      <c r="B31" s="51" t="s">
        <v>46</v>
      </c>
      <c r="C31" s="31">
        <v>0.68696507253533134</v>
      </c>
      <c r="D31" s="31">
        <v>0.53170783825181178</v>
      </c>
      <c r="E31" s="31">
        <v>0.64969537519309339</v>
      </c>
      <c r="F31" s="31">
        <v>0.65073726718942548</v>
      </c>
      <c r="G31" s="31">
        <v>0.6290729250971776</v>
      </c>
      <c r="H31" s="31">
        <v>0.6190143297677192</v>
      </c>
      <c r="I31" s="31">
        <v>0.61946497196869243</v>
      </c>
      <c r="J31" s="31">
        <v>0.62480740209687269</v>
      </c>
      <c r="K31" s="31">
        <v>0.62256973937784299</v>
      </c>
      <c r="L31" s="31">
        <v>0.61694257842601641</v>
      </c>
      <c r="M31" s="31">
        <v>0.62016312644685834</v>
      </c>
      <c r="O31" s="28" t="s">
        <v>46</v>
      </c>
      <c r="P31" s="31">
        <v>-2.1981654544032101E-3</v>
      </c>
      <c r="Q31" s="31">
        <v>-0.22600455320169788</v>
      </c>
      <c r="R31" s="31">
        <v>0.22190294829809121</v>
      </c>
      <c r="S31" s="31">
        <v>1.6036623256283633E-3</v>
      </c>
      <c r="T31" s="31">
        <v>-3.3291995379052919E-2</v>
      </c>
      <c r="U31" s="31">
        <v>-1.5989553719713112E-2</v>
      </c>
      <c r="V31" s="31">
        <v>7.2799962666825202E-4</v>
      </c>
      <c r="W31" s="31">
        <v>8.6242650834666978E-3</v>
      </c>
      <c r="X31" s="31">
        <v>-3.5813639715535084E-3</v>
      </c>
      <c r="Y31" s="31">
        <v>-9.0386033819279676E-3</v>
      </c>
      <c r="Z31" s="31">
        <v>5.2201746701587837E-3</v>
      </c>
    </row>
    <row r="32" spans="1:26" ht="15" customHeight="1" x14ac:dyDescent="0.15">
      <c r="B32" s="44" t="s">
        <v>4</v>
      </c>
      <c r="C32" s="46">
        <v>0.71270853664738931</v>
      </c>
      <c r="D32" s="46">
        <v>0.49213060240846207</v>
      </c>
      <c r="E32" s="46">
        <v>0.64453409708697951</v>
      </c>
      <c r="F32" s="46">
        <v>0.68931031821135247</v>
      </c>
      <c r="G32" s="46">
        <v>0.66595762229480038</v>
      </c>
      <c r="H32" s="46">
        <v>0.66836813140868823</v>
      </c>
      <c r="I32" s="46">
        <v>0.67203170297493564</v>
      </c>
      <c r="J32" s="46">
        <v>0.68696625670713019</v>
      </c>
      <c r="K32" s="46">
        <v>0.68690887255439215</v>
      </c>
      <c r="L32" s="46">
        <v>0.68825015576346316</v>
      </c>
      <c r="M32" s="46">
        <v>0.69478614744153189</v>
      </c>
      <c r="O32" s="44" t="s">
        <v>4</v>
      </c>
      <c r="P32" s="46">
        <v>-1.1490102015424886E-2</v>
      </c>
      <c r="Q32" s="46">
        <v>-0.30949248240597071</v>
      </c>
      <c r="R32" s="46">
        <v>0.30968099511118097</v>
      </c>
      <c r="S32" s="46">
        <v>6.9470678629326876E-2</v>
      </c>
      <c r="T32" s="46">
        <v>-3.3878349561266563E-2</v>
      </c>
      <c r="U32" s="46">
        <v>3.6196133705648694E-3</v>
      </c>
      <c r="V32" s="46">
        <v>5.4813678182499158E-3</v>
      </c>
      <c r="W32" s="46">
        <v>2.2222989876939703E-2</v>
      </c>
      <c r="X32" s="46">
        <v>-8.3532709471205227E-5</v>
      </c>
      <c r="Y32" s="46">
        <v>1.9526363141637846E-3</v>
      </c>
      <c r="Z32" s="46">
        <v>9.4965349783589607E-3</v>
      </c>
    </row>
    <row r="33" spans="1:26" ht="15" customHeight="1" x14ac:dyDescent="0.15">
      <c r="A33" s="39"/>
      <c r="B33" s="44" t="s">
        <v>5</v>
      </c>
      <c r="C33" s="47">
        <v>0.67808708644185023</v>
      </c>
      <c r="D33" s="47">
        <v>0.5795560349608736</v>
      </c>
      <c r="E33" s="47">
        <v>0.67731762219427205</v>
      </c>
      <c r="F33" s="47">
        <v>0.63519224351508741</v>
      </c>
      <c r="G33" s="47">
        <v>0.61700308059298115</v>
      </c>
      <c r="H33" s="47">
        <v>0.59680701404439418</v>
      </c>
      <c r="I33" s="47">
        <v>0.60191719984659753</v>
      </c>
      <c r="J33" s="47">
        <v>0.6025337130706987</v>
      </c>
      <c r="K33" s="47">
        <v>0.60342051792267559</v>
      </c>
      <c r="L33" s="47">
        <v>0.60741272749660113</v>
      </c>
      <c r="M33" s="47">
        <v>0.61260304072788963</v>
      </c>
      <c r="O33" s="44" t="s">
        <v>5</v>
      </c>
      <c r="P33" s="47">
        <v>1.8784068584813962E-3</v>
      </c>
      <c r="Q33" s="47">
        <v>-0.14530737047066034</v>
      </c>
      <c r="R33" s="47">
        <v>0.16868358076885248</v>
      </c>
      <c r="S33" s="47">
        <v>-6.2194422969113261E-2</v>
      </c>
      <c r="T33" s="47">
        <v>-2.8635681729124007E-2</v>
      </c>
      <c r="U33" s="47">
        <v>-3.2732521414929078E-2</v>
      </c>
      <c r="V33" s="47">
        <v>8.5625431369732892E-3</v>
      </c>
      <c r="W33" s="47">
        <v>1.0242492227473972E-3</v>
      </c>
      <c r="X33" s="47">
        <v>1.4717929183704331E-3</v>
      </c>
      <c r="Y33" s="47">
        <v>6.6159659066102857E-3</v>
      </c>
      <c r="Z33" s="47">
        <v>8.5449530382412566E-3</v>
      </c>
    </row>
    <row r="34" spans="1:26" ht="15" customHeight="1" x14ac:dyDescent="0.15">
      <c r="A34" s="39"/>
      <c r="B34" s="44" t="s">
        <v>6</v>
      </c>
      <c r="C34" s="47">
        <v>0.61544666904903211</v>
      </c>
      <c r="D34" s="47">
        <v>0.47609848286457668</v>
      </c>
      <c r="E34" s="47">
        <v>0.56905668100010076</v>
      </c>
      <c r="F34" s="47">
        <v>0.61546773263436805</v>
      </c>
      <c r="G34" s="47">
        <v>0.60701476630156281</v>
      </c>
      <c r="H34" s="47">
        <v>0.58322731203092992</v>
      </c>
      <c r="I34" s="47">
        <v>0.58226716989670013</v>
      </c>
      <c r="J34" s="47">
        <v>0.59976130424496843</v>
      </c>
      <c r="K34" s="47">
        <v>0.60725950842020981</v>
      </c>
      <c r="L34" s="47">
        <v>0.61322930738305015</v>
      </c>
      <c r="M34" s="47">
        <v>0.6192092297086591</v>
      </c>
      <c r="O34" s="44" t="s">
        <v>6</v>
      </c>
      <c r="P34" s="47">
        <v>-4.9751879159083412E-3</v>
      </c>
      <c r="Q34" s="47">
        <v>-0.22641797119443619</v>
      </c>
      <c r="R34" s="47">
        <v>0.19524993563561832</v>
      </c>
      <c r="S34" s="47">
        <v>8.1557871445602226E-2</v>
      </c>
      <c r="T34" s="47">
        <v>-1.373421527173202E-2</v>
      </c>
      <c r="U34" s="47">
        <v>-3.9187603978014872E-2</v>
      </c>
      <c r="V34" s="47">
        <v>-1.6462571529552658E-3</v>
      </c>
      <c r="W34" s="47">
        <v>3.0044857846565395E-2</v>
      </c>
      <c r="X34" s="47">
        <v>1.2501980574890164E-2</v>
      </c>
      <c r="Y34" s="47">
        <v>9.8307212650664139E-3</v>
      </c>
      <c r="Z34" s="47">
        <v>9.7515272894053498E-3</v>
      </c>
    </row>
    <row r="35" spans="1:26" ht="15" customHeight="1" x14ac:dyDescent="0.15">
      <c r="A35" s="39"/>
      <c r="B35" s="44" t="s">
        <v>7</v>
      </c>
      <c r="C35" s="47">
        <v>0.76156913029903783</v>
      </c>
      <c r="D35" s="47">
        <v>0.54540201384535625</v>
      </c>
      <c r="E35" s="47">
        <v>0.67183992569999373</v>
      </c>
      <c r="F35" s="47">
        <v>0.66302147636565556</v>
      </c>
      <c r="G35" s="47">
        <v>0.64640899076325786</v>
      </c>
      <c r="H35" s="47">
        <v>0.65193430739700664</v>
      </c>
      <c r="I35" s="47">
        <v>0.65724397361130504</v>
      </c>
      <c r="J35" s="47">
        <v>0.66624421611380902</v>
      </c>
      <c r="K35" s="47">
        <v>0.66409998254823654</v>
      </c>
      <c r="L35" s="47">
        <v>0.65165938850769611</v>
      </c>
      <c r="M35" s="47">
        <v>0.65507683186870191</v>
      </c>
      <c r="O35" s="44" t="s">
        <v>7</v>
      </c>
      <c r="P35" s="47">
        <v>1.3695938836301602E-2</v>
      </c>
      <c r="Q35" s="47">
        <v>-0.28384437847264288</v>
      </c>
      <c r="R35" s="47">
        <v>0.23182516500661077</v>
      </c>
      <c r="S35" s="47">
        <v>-1.3125819108101067E-2</v>
      </c>
      <c r="T35" s="47">
        <v>-2.5055727747250067E-2</v>
      </c>
      <c r="U35" s="47">
        <v>8.5477100608156321E-3</v>
      </c>
      <c r="V35" s="47">
        <v>8.1444804392921608E-3</v>
      </c>
      <c r="W35" s="47">
        <v>1.3693914077372324E-2</v>
      </c>
      <c r="X35" s="47">
        <v>-3.2183897641614818E-3</v>
      </c>
      <c r="Y35" s="47">
        <v>-1.8733013653763824E-2</v>
      </c>
      <c r="Z35" s="47">
        <v>5.2442171804380298E-3</v>
      </c>
    </row>
    <row r="36" spans="1:26" ht="15" customHeight="1" x14ac:dyDescent="0.15">
      <c r="A36" s="39"/>
      <c r="B36" s="44" t="s">
        <v>8</v>
      </c>
      <c r="C36" s="47">
        <v>0.6310339483973807</v>
      </c>
      <c r="D36" s="47">
        <v>0.47785916706756543</v>
      </c>
      <c r="E36" s="47">
        <v>0.57669983720404905</v>
      </c>
      <c r="F36" s="47">
        <v>0.60128325442967001</v>
      </c>
      <c r="G36" s="47">
        <v>0.5911279930590525</v>
      </c>
      <c r="H36" s="47">
        <v>0.58369188864846822</v>
      </c>
      <c r="I36" s="47">
        <v>0.58898586163969679</v>
      </c>
      <c r="J36" s="47">
        <v>0.60620402886588765</v>
      </c>
      <c r="K36" s="47">
        <v>0.60566810340992949</v>
      </c>
      <c r="L36" s="47">
        <v>0.61182108444753602</v>
      </c>
      <c r="M36" s="47">
        <v>0.62072752006042942</v>
      </c>
      <c r="O36" s="44" t="s">
        <v>8</v>
      </c>
      <c r="P36" s="47">
        <v>4.2190296954733864E-3</v>
      </c>
      <c r="Q36" s="47">
        <v>-0.24273619782078126</v>
      </c>
      <c r="R36" s="47">
        <v>0.20684058598902699</v>
      </c>
      <c r="S36" s="47">
        <v>4.2627751283589754E-2</v>
      </c>
      <c r="T36" s="47">
        <v>-1.6889313473813616E-2</v>
      </c>
      <c r="U36" s="47">
        <v>-1.2579516615518217E-2</v>
      </c>
      <c r="V36" s="47">
        <v>9.0698073661546197E-3</v>
      </c>
      <c r="W36" s="47">
        <v>2.9233583261670557E-2</v>
      </c>
      <c r="X36" s="47">
        <v>-8.8406778978487649E-4</v>
      </c>
      <c r="Y36" s="47">
        <v>1.0158997977547544E-2</v>
      </c>
      <c r="Z36" s="47">
        <v>1.4557255118031364E-2</v>
      </c>
    </row>
    <row r="37" spans="1:26" ht="15" customHeight="1" x14ac:dyDescent="0.15">
      <c r="A37" s="39"/>
      <c r="B37" s="44" t="s">
        <v>9</v>
      </c>
      <c r="C37" s="47">
        <v>0.71436511370360301</v>
      </c>
      <c r="D37" s="47">
        <v>0.59986773510514813</v>
      </c>
      <c r="E37" s="47">
        <v>0.7270027157064427</v>
      </c>
      <c r="F37" s="47">
        <v>0.70103185620621267</v>
      </c>
      <c r="G37" s="47">
        <v>0.67169960130038531</v>
      </c>
      <c r="H37" s="47">
        <v>0.64844587612994986</v>
      </c>
      <c r="I37" s="47">
        <v>0.63696109105620291</v>
      </c>
      <c r="J37" s="47">
        <v>0.65300305417973781</v>
      </c>
      <c r="K37" s="47">
        <v>0.64986525487393154</v>
      </c>
      <c r="L37" s="47">
        <v>0.65175353256785817</v>
      </c>
      <c r="M37" s="47">
        <v>0.64387212593872023</v>
      </c>
      <c r="O37" s="44" t="s">
        <v>9</v>
      </c>
      <c r="P37" s="47">
        <v>-1.0285001740117483E-2</v>
      </c>
      <c r="Q37" s="47">
        <v>-0.16027851360888401</v>
      </c>
      <c r="R37" s="47">
        <v>0.21193835434241115</v>
      </c>
      <c r="S37" s="47">
        <v>-3.572319461694673E-2</v>
      </c>
      <c r="T37" s="47">
        <v>-4.1841543499271605E-2</v>
      </c>
      <c r="U37" s="47">
        <v>-3.4619233248638387E-2</v>
      </c>
      <c r="V37" s="47">
        <v>-1.7711246993026411E-2</v>
      </c>
      <c r="W37" s="47">
        <v>2.5185153926646074E-2</v>
      </c>
      <c r="X37" s="47">
        <v>-4.805183200479477E-3</v>
      </c>
      <c r="Y37" s="47">
        <v>2.9056449468019985E-3</v>
      </c>
      <c r="Z37" s="47">
        <v>-1.2092618198916107E-2</v>
      </c>
    </row>
    <row r="38" spans="1:26" ht="15" customHeight="1" x14ac:dyDescent="0.15">
      <c r="A38" s="39"/>
      <c r="B38" s="44" t="s">
        <v>10</v>
      </c>
      <c r="C38" s="47">
        <v>0.79195076407228937</v>
      </c>
      <c r="D38" s="47">
        <v>0.49397070135088367</v>
      </c>
      <c r="E38" s="47">
        <v>0.63792685071280786</v>
      </c>
      <c r="F38" s="47">
        <v>0.70605667261428207</v>
      </c>
      <c r="G38" s="47">
        <v>0.71689906760045519</v>
      </c>
      <c r="H38" s="47">
        <v>0.72171879537252681</v>
      </c>
      <c r="I38" s="47">
        <v>0.71968275167558537</v>
      </c>
      <c r="J38" s="47">
        <v>0.73370171760147562</v>
      </c>
      <c r="K38" s="47">
        <v>0.73926411126514124</v>
      </c>
      <c r="L38" s="47">
        <v>0.7471367787507488</v>
      </c>
      <c r="M38" s="47">
        <v>0.75496673224489874</v>
      </c>
      <c r="O38" s="44" t="s">
        <v>10</v>
      </c>
      <c r="P38" s="47">
        <v>-6.4619419342404338E-3</v>
      </c>
      <c r="Q38" s="47">
        <v>-0.37626084377917979</v>
      </c>
      <c r="R38" s="47">
        <v>0.29142649345040272</v>
      </c>
      <c r="S38" s="47">
        <v>0.10679879961996774</v>
      </c>
      <c r="T38" s="47">
        <v>1.5356267289462044E-2</v>
      </c>
      <c r="U38" s="47">
        <v>6.7230213985405443E-3</v>
      </c>
      <c r="V38" s="47">
        <v>-2.8211038842219697E-3</v>
      </c>
      <c r="W38" s="47">
        <v>1.9479369059840466E-2</v>
      </c>
      <c r="X38" s="47">
        <v>7.5812738749603745E-3</v>
      </c>
      <c r="Y38" s="47">
        <v>1.0649330010264732E-2</v>
      </c>
      <c r="Z38" s="47">
        <v>1.0479946533005683E-2</v>
      </c>
    </row>
    <row r="39" spans="1:26" ht="15" customHeight="1" x14ac:dyDescent="0.15">
      <c r="A39" s="39"/>
      <c r="B39" s="44" t="s">
        <v>11</v>
      </c>
      <c r="C39" s="47">
        <v>0.65680790476522166</v>
      </c>
      <c r="D39" s="47">
        <v>0.56770473387444775</v>
      </c>
      <c r="E39" s="47">
        <v>0.67695052160414715</v>
      </c>
      <c r="F39" s="47">
        <v>0.59764555802162278</v>
      </c>
      <c r="G39" s="47">
        <v>0.54369206495819411</v>
      </c>
      <c r="H39" s="47">
        <v>0.55088524270351813</v>
      </c>
      <c r="I39" s="47">
        <v>0.54522180052864377</v>
      </c>
      <c r="J39" s="47">
        <v>0.57511875660154377</v>
      </c>
      <c r="K39" s="47">
        <v>0.57927050932046731</v>
      </c>
      <c r="L39" s="47">
        <v>0.58740709773438315</v>
      </c>
      <c r="M39" s="47">
        <v>0.59234383073020869</v>
      </c>
      <c r="O39" s="44" t="s">
        <v>11</v>
      </c>
      <c r="P39" s="47">
        <v>1.0754252904576767E-3</v>
      </c>
      <c r="Q39" s="47">
        <v>-0.13566092954168107</v>
      </c>
      <c r="R39" s="47">
        <v>0.19243416728996299</v>
      </c>
      <c r="S39" s="47">
        <v>-0.11715031018012667</v>
      </c>
      <c r="T39" s="47">
        <v>-9.0276740685616641E-2</v>
      </c>
      <c r="U39" s="47">
        <v>1.3230242280392894E-2</v>
      </c>
      <c r="V39" s="47">
        <v>-1.028062060090866E-2</v>
      </c>
      <c r="W39" s="47">
        <v>5.4834483954809006E-2</v>
      </c>
      <c r="X39" s="47">
        <v>7.2189485584800281E-3</v>
      </c>
      <c r="Y39" s="47">
        <v>1.4046267301714951E-2</v>
      </c>
      <c r="Z39" s="47">
        <v>8.4042787614695292E-3</v>
      </c>
    </row>
    <row r="40" spans="1:26" ht="15" customHeight="1" x14ac:dyDescent="0.15">
      <c r="B40" s="44" t="s">
        <v>12</v>
      </c>
      <c r="C40" s="47">
        <v>0.77452794893113841</v>
      </c>
      <c r="D40" s="47">
        <v>0.44544449175966633</v>
      </c>
      <c r="E40" s="47">
        <v>0.5793021365756934</v>
      </c>
      <c r="F40" s="47">
        <v>0.70660747293877824</v>
      </c>
      <c r="G40" s="47">
        <v>0.71691207049035266</v>
      </c>
      <c r="H40" s="47">
        <v>0.71785078639866229</v>
      </c>
      <c r="I40" s="47">
        <v>0.727825481180294</v>
      </c>
      <c r="J40" s="47">
        <v>0.7588387395151549</v>
      </c>
      <c r="K40" s="47">
        <v>0.76190328114817285</v>
      </c>
      <c r="L40" s="47">
        <v>0.77071692713759765</v>
      </c>
      <c r="M40" s="47">
        <v>0.77725095625560647</v>
      </c>
      <c r="O40" s="44" t="s">
        <v>12</v>
      </c>
      <c r="P40" s="47">
        <v>-1.3473249216067185E-3</v>
      </c>
      <c r="Q40" s="47">
        <v>-0.42488261091883484</v>
      </c>
      <c r="R40" s="47">
        <v>0.30050353588893008</v>
      </c>
      <c r="S40" s="47">
        <v>0.21975637292760219</v>
      </c>
      <c r="T40" s="47">
        <v>1.4583199224765586E-2</v>
      </c>
      <c r="U40" s="47">
        <v>1.3093877854052126E-3</v>
      </c>
      <c r="V40" s="47">
        <v>1.3895220247195229E-2</v>
      </c>
      <c r="W40" s="47">
        <v>4.2610844408150675E-2</v>
      </c>
      <c r="X40" s="47">
        <v>4.0384622890707661E-3</v>
      </c>
      <c r="Y40" s="47">
        <v>1.1567932843316824E-2</v>
      </c>
      <c r="Z40" s="47">
        <v>8.4778585858699945E-3</v>
      </c>
    </row>
    <row r="41" spans="1:26" ht="15" customHeight="1" x14ac:dyDescent="0.15">
      <c r="B41" s="44" t="s">
        <v>13</v>
      </c>
      <c r="C41" s="47">
        <v>0.70351845032203275</v>
      </c>
      <c r="D41" s="47">
        <v>0.57211118365465508</v>
      </c>
      <c r="E41" s="47">
        <v>0.68981021380197793</v>
      </c>
      <c r="F41" s="47">
        <v>0.60182427915734715</v>
      </c>
      <c r="G41" s="47">
        <v>0.54995142209417858</v>
      </c>
      <c r="H41" s="47">
        <v>0.55341655284003843</v>
      </c>
      <c r="I41" s="47">
        <v>0.54446694806007911</v>
      </c>
      <c r="J41" s="47">
        <v>0.54898526972890427</v>
      </c>
      <c r="K41" s="47">
        <v>0.55079733876029358</v>
      </c>
      <c r="L41" s="47">
        <v>0.55008745885438559</v>
      </c>
      <c r="M41" s="47">
        <v>0.54728780906553387</v>
      </c>
      <c r="O41" s="44" t="s">
        <v>13</v>
      </c>
      <c r="P41" s="47">
        <v>5.1985791206154541E-2</v>
      </c>
      <c r="Q41" s="47">
        <v>-0.18678581436951158</v>
      </c>
      <c r="R41" s="47">
        <v>0.20572754651545111</v>
      </c>
      <c r="S41" s="47">
        <v>-0.12755093050838573</v>
      </c>
      <c r="T41" s="47">
        <v>-8.6192695874282577E-2</v>
      </c>
      <c r="U41" s="47">
        <v>6.3007942277244567E-3</v>
      </c>
      <c r="V41" s="47">
        <v>-1.6171552393999582E-2</v>
      </c>
      <c r="W41" s="47">
        <v>8.2986151591456763E-3</v>
      </c>
      <c r="X41" s="47">
        <v>3.3007607513478995E-3</v>
      </c>
      <c r="Y41" s="47">
        <v>-1.2888223234806208E-3</v>
      </c>
      <c r="Z41" s="47">
        <v>-5.0894630368092438E-3</v>
      </c>
    </row>
    <row r="42" spans="1:26" ht="15" customHeight="1" x14ac:dyDescent="0.15">
      <c r="B42" s="44" t="s">
        <v>14</v>
      </c>
      <c r="C42" s="47">
        <v>0.78314490508100176</v>
      </c>
      <c r="D42" s="47">
        <v>0.48791445075200157</v>
      </c>
      <c r="E42" s="47">
        <v>0.61557433681382001</v>
      </c>
      <c r="F42" s="47">
        <v>0.72572802284965288</v>
      </c>
      <c r="G42" s="47">
        <v>0.73554048802809435</v>
      </c>
      <c r="H42" s="47">
        <v>0.74454642865363674</v>
      </c>
      <c r="I42" s="47">
        <v>0.72439537891447181</v>
      </c>
      <c r="J42" s="47">
        <v>0.75304695384457732</v>
      </c>
      <c r="K42" s="47">
        <v>0.75165851158016006</v>
      </c>
      <c r="L42" s="47">
        <v>0.75938268738117354</v>
      </c>
      <c r="M42" s="47">
        <v>0.77376239851193063</v>
      </c>
      <c r="O42" s="44" t="s">
        <v>14</v>
      </c>
      <c r="P42" s="47">
        <v>-7.544588043952305E-3</v>
      </c>
      <c r="Q42" s="47">
        <v>-0.37698062314338121</v>
      </c>
      <c r="R42" s="47">
        <v>0.26164399489513324</v>
      </c>
      <c r="S42" s="47">
        <v>0.17894457167591238</v>
      </c>
      <c r="T42" s="47">
        <v>1.3520857496878369E-2</v>
      </c>
      <c r="U42" s="47">
        <v>1.2243976738366032E-2</v>
      </c>
      <c r="V42" s="47">
        <v>-2.7064866559905566E-2</v>
      </c>
      <c r="W42" s="47">
        <v>3.9552398819883074E-2</v>
      </c>
      <c r="X42" s="47">
        <v>-1.8437658599224859E-3</v>
      </c>
      <c r="Y42" s="47">
        <v>1.0276176856928651E-2</v>
      </c>
      <c r="Z42" s="47">
        <v>1.8936053415106586E-2</v>
      </c>
    </row>
    <row r="43" spans="1:26" ht="15" customHeight="1" x14ac:dyDescent="0.15">
      <c r="B43" s="44" t="s">
        <v>15</v>
      </c>
      <c r="C43" s="47">
        <v>0.78911829655695875</v>
      </c>
      <c r="D43" s="47">
        <v>0.4396103118119204</v>
      </c>
      <c r="E43" s="47">
        <v>0.52117002878409102</v>
      </c>
      <c r="F43" s="47">
        <v>0.63942421923379245</v>
      </c>
      <c r="G43" s="47">
        <v>0.64148697831709089</v>
      </c>
      <c r="H43" s="47">
        <v>0.64757076812113246</v>
      </c>
      <c r="I43" s="47">
        <v>0.66555235195566542</v>
      </c>
      <c r="J43" s="47">
        <v>0.7073397246740647</v>
      </c>
      <c r="K43" s="47">
        <v>0.70323633929036755</v>
      </c>
      <c r="L43" s="47">
        <v>0.7111794005033536</v>
      </c>
      <c r="M43" s="47">
        <v>0.72085924137006263</v>
      </c>
      <c r="O43" s="44" t="s">
        <v>15</v>
      </c>
      <c r="P43" s="47">
        <v>-1.2846862234492384E-3</v>
      </c>
      <c r="Q43" s="47">
        <v>-0.44290949312668837</v>
      </c>
      <c r="R43" s="47">
        <v>0.18552730630000447</v>
      </c>
      <c r="S43" s="47">
        <v>0.22690136408187711</v>
      </c>
      <c r="T43" s="47">
        <v>3.2259633295876888E-3</v>
      </c>
      <c r="U43" s="47">
        <v>9.4838866721848047E-3</v>
      </c>
      <c r="V43" s="47">
        <v>2.7767750985278245E-2</v>
      </c>
      <c r="W43" s="47">
        <v>6.2786004129668921E-2</v>
      </c>
      <c r="X43" s="47">
        <v>-5.8011521770362107E-3</v>
      </c>
      <c r="Y43" s="47">
        <v>1.1295009613697369E-2</v>
      </c>
      <c r="Z43" s="47">
        <v>1.3610969130795835E-2</v>
      </c>
    </row>
    <row r="44" spans="1:26" ht="15" customHeight="1" x14ac:dyDescent="0.15">
      <c r="B44" s="44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O44" s="44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" customHeight="1" x14ac:dyDescent="0.15">
      <c r="A45" s="39"/>
      <c r="B45" s="32" t="s">
        <v>18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O45" s="32" t="s">
        <v>18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" customHeight="1" x14ac:dyDescent="0.15">
      <c r="A46" s="27"/>
      <c r="B46" s="33" t="s">
        <v>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O46" s="33" t="s">
        <v>3</v>
      </c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" customHeight="1" x14ac:dyDescent="0.15">
      <c r="A47" s="39"/>
      <c r="B47" s="33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O47" s="33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" customHeight="1" x14ac:dyDescent="0.15">
      <c r="A48" s="37"/>
      <c r="B48" s="33"/>
      <c r="C48" s="38">
        <v>2019</v>
      </c>
      <c r="D48" s="38">
        <v>2020</v>
      </c>
      <c r="E48" s="38">
        <v>2021</v>
      </c>
      <c r="F48" s="38">
        <v>2022</v>
      </c>
      <c r="G48" s="38">
        <v>2023</v>
      </c>
      <c r="H48" s="38">
        <v>2024</v>
      </c>
      <c r="I48" s="38">
        <v>2025</v>
      </c>
      <c r="J48" s="38">
        <v>2026</v>
      </c>
      <c r="K48" s="38">
        <v>2027</v>
      </c>
      <c r="L48" s="38">
        <v>2028</v>
      </c>
      <c r="M48" s="38">
        <v>2029</v>
      </c>
      <c r="O48" s="33"/>
      <c r="P48" s="38">
        <v>2019</v>
      </c>
      <c r="Q48" s="38">
        <v>2020</v>
      </c>
      <c r="R48" s="38">
        <v>2021</v>
      </c>
      <c r="S48" s="38">
        <v>2022</v>
      </c>
      <c r="T48" s="38">
        <v>2023</v>
      </c>
      <c r="U48" s="38">
        <v>2024</v>
      </c>
      <c r="V48" s="38">
        <v>2025</v>
      </c>
      <c r="W48" s="38">
        <v>2026</v>
      </c>
      <c r="X48" s="38">
        <v>2027</v>
      </c>
      <c r="Y48" s="38">
        <v>2028</v>
      </c>
      <c r="Z48" s="38">
        <v>2029</v>
      </c>
    </row>
    <row r="49" spans="1:26" ht="15" customHeight="1" x14ac:dyDescent="0.15">
      <c r="A49" s="48"/>
      <c r="B49" s="4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O49" s="4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21" customHeight="1" x14ac:dyDescent="0.15">
      <c r="B50" s="41" t="s">
        <v>16</v>
      </c>
      <c r="C50" s="52">
        <v>24965538143.301872</v>
      </c>
      <c r="D50" s="52">
        <v>11977244591.926563</v>
      </c>
      <c r="E50" s="52">
        <v>18497851101.715229</v>
      </c>
      <c r="F50" s="52">
        <v>25640100393.231106</v>
      </c>
      <c r="G50" s="52">
        <v>26684445097.525112</v>
      </c>
      <c r="H50" s="52">
        <v>26310310333.501755</v>
      </c>
      <c r="I50" s="52">
        <v>26850094577.2677</v>
      </c>
      <c r="J50" s="52">
        <v>29019517929.715462</v>
      </c>
      <c r="K50" s="52">
        <v>29645702958.423431</v>
      </c>
      <c r="L50" s="52">
        <v>30685366707.695946</v>
      </c>
      <c r="M50" s="52">
        <v>31770181752.449657</v>
      </c>
      <c r="O50" s="41" t="s">
        <v>16</v>
      </c>
      <c r="P50" s="43">
        <v>2.9295271393866118E-2</v>
      </c>
      <c r="Q50" s="43">
        <v>-0.52024889176522726</v>
      </c>
      <c r="R50" s="43">
        <v>0.54441624363119212</v>
      </c>
      <c r="S50" s="43">
        <v>0.38611237879699467</v>
      </c>
      <c r="T50" s="43">
        <v>4.0730913228784082E-2</v>
      </c>
      <c r="U50" s="43">
        <v>-1.4020706170054744E-2</v>
      </c>
      <c r="V50" s="43">
        <v>2.0516072859795235E-2</v>
      </c>
      <c r="W50" s="43">
        <v>8.079760561754136E-2</v>
      </c>
      <c r="X50" s="43">
        <v>2.1578064467665314E-2</v>
      </c>
      <c r="Y50" s="43">
        <v>3.5069627147333596E-2</v>
      </c>
      <c r="Z50" s="43">
        <v>3.5352846035294018E-2</v>
      </c>
    </row>
    <row r="51" spans="1:26" ht="16" x14ac:dyDescent="0.15">
      <c r="A51" s="27"/>
      <c r="B51" s="51" t="s">
        <v>45</v>
      </c>
      <c r="C51" s="53">
        <f>C59+C61+C63+C64</f>
        <v>18896874450.674805</v>
      </c>
      <c r="D51" s="53">
        <f t="shared" ref="D51:L51" si="3">D59+D61+D63+D64</f>
        <v>7714706050.8261433</v>
      </c>
      <c r="E51" s="53">
        <f t="shared" si="3"/>
        <v>11797105239.208614</v>
      </c>
      <c r="F51" s="53">
        <f t="shared" si="3"/>
        <v>18001072083.945019</v>
      </c>
      <c r="G51" s="53">
        <f t="shared" si="3"/>
        <v>19224103661.593018</v>
      </c>
      <c r="H51" s="53">
        <f t="shared" si="3"/>
        <v>18877024015.405407</v>
      </c>
      <c r="I51" s="53">
        <f t="shared" si="3"/>
        <v>19281948536.611774</v>
      </c>
      <c r="J51" s="53">
        <f t="shared" si="3"/>
        <v>21062371799.125717</v>
      </c>
      <c r="K51" s="53">
        <f t="shared" si="3"/>
        <v>21466838716.79644</v>
      </c>
      <c r="L51" s="53">
        <f t="shared" si="3"/>
        <v>22241153303.906525</v>
      </c>
      <c r="M51" s="53">
        <f>M59+M61+M63+M64</f>
        <v>23057281657.690361</v>
      </c>
      <c r="O51" s="28" t="s">
        <v>45</v>
      </c>
      <c r="P51" s="31">
        <v>2.4628538459696703E-2</v>
      </c>
      <c r="Q51" s="31">
        <v>-0.59174698064680997</v>
      </c>
      <c r="R51" s="31">
        <v>0.52917106128046187</v>
      </c>
      <c r="S51" s="31">
        <v>0.52588891248651648</v>
      </c>
      <c r="T51" s="31">
        <v>6.7942152108751763E-2</v>
      </c>
      <c r="U51" s="31">
        <v>-1.8054399429869195E-2</v>
      </c>
      <c r="V51" s="31">
        <v>2.1450654556349091E-2</v>
      </c>
      <c r="W51" s="31">
        <v>9.233627292041291E-2</v>
      </c>
      <c r="X51" s="31">
        <v>1.9203293984560332E-2</v>
      </c>
      <c r="Y51" s="31">
        <v>3.607026620571907E-2</v>
      </c>
      <c r="Z51" s="31">
        <v>3.6694515910759451E-2</v>
      </c>
    </row>
    <row r="52" spans="1:26" ht="16" x14ac:dyDescent="0.15">
      <c r="A52" s="27"/>
      <c r="B52" s="51" t="s">
        <v>46</v>
      </c>
      <c r="C52" s="53">
        <f>C53+C54+C55+C56+C57+C58+C60+C62</f>
        <v>6069313478.9647703</v>
      </c>
      <c r="D52" s="53">
        <f t="shared" ref="D52:L52" si="4">D53+D54+D55+D56+D57+D58+D60+D62</f>
        <v>4263341817.0660605</v>
      </c>
      <c r="E52" s="53">
        <f t="shared" si="4"/>
        <v>6698579538.9847078</v>
      </c>
      <c r="F52" s="53">
        <f t="shared" si="4"/>
        <v>7639602842.6169758</v>
      </c>
      <c r="G52" s="53">
        <f t="shared" si="4"/>
        <v>7459004666.0769157</v>
      </c>
      <c r="H52" s="53">
        <f t="shared" si="4"/>
        <v>7433286318.0963488</v>
      </c>
      <c r="I52" s="53">
        <f t="shared" si="4"/>
        <v>7568146040.6559315</v>
      </c>
      <c r="J52" s="53">
        <f t="shared" si="4"/>
        <v>7957146130.5897436</v>
      </c>
      <c r="K52" s="53">
        <f t="shared" si="4"/>
        <v>8178864241.6269865</v>
      </c>
      <c r="L52" s="53">
        <f t="shared" si="4"/>
        <v>8444213403.7894258</v>
      </c>
      <c r="M52" s="53">
        <f>M53+M54+M55+M56+M57+M58+M60+M62</f>
        <v>8712900094.7592945</v>
      </c>
      <c r="O52" s="28" t="s">
        <v>46</v>
      </c>
      <c r="P52" s="31">
        <v>4.4102941354457581E-2</v>
      </c>
      <c r="Q52" s="31">
        <v>-0.29761496813885779</v>
      </c>
      <c r="R52" s="31">
        <v>0.5720082757953775</v>
      </c>
      <c r="S52" s="31">
        <v>0.14002656809140346</v>
      </c>
      <c r="T52" s="31">
        <v>-2.339130922407795E-2</v>
      </c>
      <c r="U52" s="31">
        <v>-3.6265254168440508E-3</v>
      </c>
      <c r="V52" s="31">
        <v>1.8142678324022166E-2</v>
      </c>
      <c r="W52" s="31">
        <v>5.1399654267256345E-2</v>
      </c>
      <c r="X52" s="31">
        <v>2.7864024035563872E-2</v>
      </c>
      <c r="Y52" s="31">
        <v>3.2443277492235856E-2</v>
      </c>
      <c r="Z52" s="31">
        <v>3.1819031343914173E-2</v>
      </c>
    </row>
    <row r="53" spans="1:26" ht="15" customHeight="1" x14ac:dyDescent="0.15">
      <c r="B53" s="54" t="s">
        <v>4</v>
      </c>
      <c r="C53" s="55">
        <v>1933112078.942796</v>
      </c>
      <c r="D53" s="55">
        <v>1230355184.3410182</v>
      </c>
      <c r="E53" s="55">
        <v>2169743422.4273262</v>
      </c>
      <c r="F53" s="55">
        <v>2473827853.5866861</v>
      </c>
      <c r="G53" s="55">
        <v>2314105950.0608201</v>
      </c>
      <c r="H53" s="55">
        <v>2369134260.1854053</v>
      </c>
      <c r="I53" s="55">
        <v>2419960384.0032592</v>
      </c>
      <c r="J53" s="55">
        <v>2618105475.0474439</v>
      </c>
      <c r="K53" s="55">
        <v>2688335276.5206485</v>
      </c>
      <c r="L53" s="55">
        <v>2777658527.3373027</v>
      </c>
      <c r="M53" s="55">
        <v>2865641860.0648785</v>
      </c>
      <c r="O53" s="54" t="s">
        <v>4</v>
      </c>
      <c r="P53" s="46">
        <v>2.6924015831232939E-2</v>
      </c>
      <c r="Q53" s="46">
        <v>-0.36353654930660317</v>
      </c>
      <c r="R53" s="46">
        <v>0.76350979785520012</v>
      </c>
      <c r="S53" s="46">
        <v>0.14014764511611055</v>
      </c>
      <c r="T53" s="46">
        <v>-6.4564679912667677E-2</v>
      </c>
      <c r="U53" s="46">
        <v>2.3779511963632816E-2</v>
      </c>
      <c r="V53" s="46">
        <v>2.1453458620735298E-2</v>
      </c>
      <c r="W53" s="46">
        <v>8.1879477182349544E-2</v>
      </c>
      <c r="X53" s="46">
        <v>2.6824664683126238E-2</v>
      </c>
      <c r="Y53" s="46">
        <v>3.3226231711790039E-2</v>
      </c>
      <c r="Z53" s="46">
        <v>3.1675359610138142E-2</v>
      </c>
    </row>
    <row r="54" spans="1:26" ht="15" customHeight="1" x14ac:dyDescent="0.15">
      <c r="A54" s="39"/>
      <c r="B54" s="44" t="s">
        <v>5</v>
      </c>
      <c r="C54" s="55">
        <v>921188304.04577303</v>
      </c>
      <c r="D54" s="55">
        <v>782551852.70906711</v>
      </c>
      <c r="E54" s="55">
        <v>1094216937.154979</v>
      </c>
      <c r="F54" s="55">
        <v>1147926681.2042685</v>
      </c>
      <c r="G54" s="55">
        <v>1143876056.0241458</v>
      </c>
      <c r="H54" s="55">
        <v>1124708448.4182854</v>
      </c>
      <c r="I54" s="55">
        <v>1124452471.1299248</v>
      </c>
      <c r="J54" s="55">
        <v>1140783828.7804868</v>
      </c>
      <c r="K54" s="55">
        <v>1172279307.8452346</v>
      </c>
      <c r="L54" s="55">
        <v>1207262861.7770073</v>
      </c>
      <c r="M54" s="55">
        <v>1245542932.7745807</v>
      </c>
      <c r="O54" s="44" t="s">
        <v>5</v>
      </c>
      <c r="P54" s="47">
        <v>2.8552283865985517E-2</v>
      </c>
      <c r="Q54" s="47">
        <v>-0.15049740723783356</v>
      </c>
      <c r="R54" s="47">
        <v>0.3982676462485879</v>
      </c>
      <c r="S54" s="47">
        <v>4.9085096588741939E-2</v>
      </c>
      <c r="T54" s="47">
        <v>-3.5286445087877594E-3</v>
      </c>
      <c r="U54" s="47">
        <v>-1.6756717220292847E-2</v>
      </c>
      <c r="V54" s="47">
        <v>-2.275943500918705E-4</v>
      </c>
      <c r="W54" s="47">
        <v>1.4523830993186588E-2</v>
      </c>
      <c r="X54" s="47">
        <v>2.7608630373395896E-2</v>
      </c>
      <c r="Y54" s="47">
        <v>2.9842336802886969E-2</v>
      </c>
      <c r="Z54" s="47">
        <v>3.1708149243676528E-2</v>
      </c>
    </row>
    <row r="55" spans="1:26" ht="15" customHeight="1" x14ac:dyDescent="0.15">
      <c r="A55" s="39"/>
      <c r="B55" s="44" t="s">
        <v>6</v>
      </c>
      <c r="C55" s="55">
        <v>796793076.53311181</v>
      </c>
      <c r="D55" s="55">
        <v>491982616.64838105</v>
      </c>
      <c r="E55" s="55">
        <v>816521071.54194689</v>
      </c>
      <c r="F55" s="55">
        <v>1087863613.0374541</v>
      </c>
      <c r="G55" s="55">
        <v>1113023663.2933161</v>
      </c>
      <c r="H55" s="55">
        <v>1064661285.8593024</v>
      </c>
      <c r="I55" s="55">
        <v>1089657177.9433277</v>
      </c>
      <c r="J55" s="55">
        <v>1144270703.6717539</v>
      </c>
      <c r="K55" s="55">
        <v>1177826128.6888304</v>
      </c>
      <c r="L55" s="55">
        <v>1216039622.7106948</v>
      </c>
      <c r="M55" s="55">
        <v>1254028313.5789893</v>
      </c>
      <c r="O55" s="44" t="s">
        <v>6</v>
      </c>
      <c r="P55" s="47">
        <v>4.2082787042834413E-2</v>
      </c>
      <c r="Q55" s="47">
        <v>-0.38254657182888308</v>
      </c>
      <c r="R55" s="47">
        <v>0.65965431279762621</v>
      </c>
      <c r="S55" s="47">
        <v>0.33231541836770306</v>
      </c>
      <c r="T55" s="47">
        <v>2.3127945410005735E-2</v>
      </c>
      <c r="U55" s="47">
        <v>-4.3451347018907668E-2</v>
      </c>
      <c r="V55" s="47">
        <v>2.3477788115354212E-2</v>
      </c>
      <c r="W55" s="47">
        <v>5.0119915542158368E-2</v>
      </c>
      <c r="X55" s="47">
        <v>2.9324726141640535E-2</v>
      </c>
      <c r="Y55" s="47">
        <v>3.2444087536421112E-2</v>
      </c>
      <c r="Z55" s="47">
        <v>3.123968179886543E-2</v>
      </c>
    </row>
    <row r="56" spans="1:26" ht="15" customHeight="1" x14ac:dyDescent="0.15">
      <c r="A56" s="39"/>
      <c r="B56" s="44" t="s">
        <v>7</v>
      </c>
      <c r="C56" s="55">
        <v>694631368.74919701</v>
      </c>
      <c r="D56" s="55">
        <v>430227556.88048536</v>
      </c>
      <c r="E56" s="55">
        <v>622190048.75154722</v>
      </c>
      <c r="F56" s="55">
        <v>728952941.6644814</v>
      </c>
      <c r="G56" s="55">
        <v>757047570.22111094</v>
      </c>
      <c r="H56" s="55">
        <v>763077648.42159295</v>
      </c>
      <c r="I56" s="55">
        <v>791785716.26066732</v>
      </c>
      <c r="J56" s="55">
        <v>813018409.36310351</v>
      </c>
      <c r="K56" s="55">
        <v>838428306.39717817</v>
      </c>
      <c r="L56" s="55">
        <v>866545938.38537586</v>
      </c>
      <c r="M56" s="55">
        <v>895704165.52558339</v>
      </c>
      <c r="O56" s="44" t="s">
        <v>7</v>
      </c>
      <c r="P56" s="47">
        <v>1.2282939987215302E-2</v>
      </c>
      <c r="Q56" s="47">
        <v>-0.38063903210247485</v>
      </c>
      <c r="R56" s="47">
        <v>0.44618827595087751</v>
      </c>
      <c r="S56" s="47">
        <v>0.17159209332768777</v>
      </c>
      <c r="T56" s="47">
        <v>3.8541073025206041E-2</v>
      </c>
      <c r="U56" s="47">
        <v>7.9652566597906201E-3</v>
      </c>
      <c r="V56" s="47">
        <v>3.7621424108616332E-2</v>
      </c>
      <c r="W56" s="47">
        <v>2.6816211338985655E-2</v>
      </c>
      <c r="X56" s="47">
        <v>3.1253778194247885E-2</v>
      </c>
      <c r="Y56" s="47">
        <v>3.3536119634393485E-2</v>
      </c>
      <c r="Z56" s="47">
        <v>3.3648795578613742E-2</v>
      </c>
    </row>
    <row r="57" spans="1:26" ht="15" customHeight="1" x14ac:dyDescent="0.15">
      <c r="A57" s="39"/>
      <c r="B57" s="44" t="s">
        <v>8</v>
      </c>
      <c r="C57" s="55">
        <v>526960775.6788609</v>
      </c>
      <c r="D57" s="55">
        <v>360458867.74718076</v>
      </c>
      <c r="E57" s="55">
        <v>546768593.50569057</v>
      </c>
      <c r="F57" s="55">
        <v>660306184.00377989</v>
      </c>
      <c r="G57" s="55">
        <v>659950068.86980259</v>
      </c>
      <c r="H57" s="55">
        <v>680998601.05363297</v>
      </c>
      <c r="I57" s="55">
        <v>705391352.15427923</v>
      </c>
      <c r="J57" s="55">
        <v>746569026.85557854</v>
      </c>
      <c r="K57" s="55">
        <v>768480420.51101172</v>
      </c>
      <c r="L57" s="55">
        <v>795902569.9610033</v>
      </c>
      <c r="M57" s="55">
        <v>823080944.1726675</v>
      </c>
      <c r="O57" s="44" t="s">
        <v>8</v>
      </c>
      <c r="P57" s="47">
        <v>5.3218484779088637E-2</v>
      </c>
      <c r="Q57" s="47">
        <v>-0.31596641650829305</v>
      </c>
      <c r="R57" s="47">
        <v>0.51686819892355684</v>
      </c>
      <c r="S57" s="47">
        <v>0.20765199729217354</v>
      </c>
      <c r="T57" s="47">
        <v>-5.3931818693253586E-4</v>
      </c>
      <c r="U57" s="47">
        <v>3.1894128323794319E-2</v>
      </c>
      <c r="V57" s="47">
        <v>3.5819091350416991E-2</v>
      </c>
      <c r="W57" s="47">
        <v>5.837564435053233E-2</v>
      </c>
      <c r="X57" s="47">
        <v>2.9349454460654806E-2</v>
      </c>
      <c r="Y57" s="47">
        <v>3.568360197356342E-2</v>
      </c>
      <c r="Z57" s="47">
        <v>3.4147865878854815E-2</v>
      </c>
    </row>
    <row r="58" spans="1:26" ht="15" customHeight="1" x14ac:dyDescent="0.15">
      <c r="A58" s="39"/>
      <c r="B58" s="44" t="s">
        <v>9</v>
      </c>
      <c r="C58" s="55">
        <v>697485335.98970032</v>
      </c>
      <c r="D58" s="55">
        <v>580369718.77270341</v>
      </c>
      <c r="E58" s="55">
        <v>868206057.63724768</v>
      </c>
      <c r="F58" s="55">
        <v>964334284.57354307</v>
      </c>
      <c r="G58" s="55">
        <v>945729201.71182048</v>
      </c>
      <c r="H58" s="55">
        <v>908357548.13477242</v>
      </c>
      <c r="I58" s="55">
        <v>909099983.09918475</v>
      </c>
      <c r="J58" s="55">
        <v>945271834.17779219</v>
      </c>
      <c r="K58" s="55">
        <v>970632406.1532234</v>
      </c>
      <c r="L58" s="55">
        <v>1001462371.058524</v>
      </c>
      <c r="M58" s="55">
        <v>1033211575.8743469</v>
      </c>
      <c r="O58" s="44" t="s">
        <v>9</v>
      </c>
      <c r="P58" s="47">
        <v>3.821809705143453E-2</v>
      </c>
      <c r="Q58" s="47">
        <v>-0.1679112250450614</v>
      </c>
      <c r="R58" s="47">
        <v>0.49595340617223482</v>
      </c>
      <c r="S58" s="47">
        <v>0.11072052088406337</v>
      </c>
      <c r="T58" s="47">
        <v>-1.9293188222536561E-2</v>
      </c>
      <c r="U58" s="47">
        <v>-3.9516230977539202E-2</v>
      </c>
      <c r="V58" s="47">
        <v>8.173378048510221E-4</v>
      </c>
      <c r="W58" s="47">
        <v>3.9788639039784267E-2</v>
      </c>
      <c r="X58" s="47">
        <v>2.6828866637595424E-2</v>
      </c>
      <c r="Y58" s="47">
        <v>3.1762760762835913E-2</v>
      </c>
      <c r="Z58" s="47">
        <v>3.1702843495022802E-2</v>
      </c>
    </row>
    <row r="59" spans="1:26" ht="15" customHeight="1" x14ac:dyDescent="0.15">
      <c r="A59" s="39"/>
      <c r="B59" s="44" t="s">
        <v>10</v>
      </c>
      <c r="C59" s="55">
        <v>5640493356.55021</v>
      </c>
      <c r="D59" s="55">
        <v>2576949216.4788032</v>
      </c>
      <c r="E59" s="55">
        <v>4060730520.5466695</v>
      </c>
      <c r="F59" s="55">
        <v>5739187894.5852242</v>
      </c>
      <c r="G59" s="55">
        <v>6089331684.2521162</v>
      </c>
      <c r="H59" s="55">
        <v>5828976245.9411163</v>
      </c>
      <c r="I59" s="55">
        <v>5793399405.8884478</v>
      </c>
      <c r="J59" s="55">
        <v>6097981942.2042208</v>
      </c>
      <c r="K59" s="55">
        <v>6471651747.1075687</v>
      </c>
      <c r="L59" s="55">
        <v>6642945029.5660229</v>
      </c>
      <c r="M59" s="55">
        <v>6854411532.5011702</v>
      </c>
      <c r="O59" s="44" t="s">
        <v>10</v>
      </c>
      <c r="P59" s="47">
        <v>3.7004095037527884E-2</v>
      </c>
      <c r="Q59" s="47">
        <v>-0.54313407470177488</v>
      </c>
      <c r="R59" s="47">
        <v>0.5757898892921669</v>
      </c>
      <c r="S59" s="47">
        <v>0.41333877378610051</v>
      </c>
      <c r="T59" s="47">
        <v>6.100929192390514E-2</v>
      </c>
      <c r="U59" s="47">
        <v>-4.2755995536310876E-2</v>
      </c>
      <c r="V59" s="47">
        <v>-6.103445708402354E-3</v>
      </c>
      <c r="W59" s="47">
        <v>5.2574061440713617E-2</v>
      </c>
      <c r="X59" s="47">
        <v>6.1277617488037131E-2</v>
      </c>
      <c r="Y59" s="47">
        <v>2.6468247852646232E-2</v>
      </c>
      <c r="Z59" s="47">
        <v>3.1833245946483797E-2</v>
      </c>
    </row>
    <row r="60" spans="1:26" ht="15" customHeight="1" x14ac:dyDescent="0.15">
      <c r="A60" s="39"/>
      <c r="B60" s="44" t="s">
        <v>11</v>
      </c>
      <c r="C60" s="55">
        <v>269506454.80782419</v>
      </c>
      <c r="D60" s="55">
        <v>200257297.50456414</v>
      </c>
      <c r="E60" s="55">
        <v>314020318.79103035</v>
      </c>
      <c r="F60" s="55">
        <v>327195287.13510609</v>
      </c>
      <c r="G60" s="55">
        <v>298325026.49545658</v>
      </c>
      <c r="H60" s="55">
        <v>292272868.6141898</v>
      </c>
      <c r="I60" s="55">
        <v>295181657.486269</v>
      </c>
      <c r="J60" s="55">
        <v>312833139.82135963</v>
      </c>
      <c r="K60" s="55">
        <v>320514984.49721116</v>
      </c>
      <c r="L60" s="55">
        <v>330861467.38663536</v>
      </c>
      <c r="M60" s="55">
        <v>340083380.51376748</v>
      </c>
      <c r="O60" s="44" t="s">
        <v>11</v>
      </c>
      <c r="P60" s="47">
        <v>-0.28955345314187875</v>
      </c>
      <c r="Q60" s="47">
        <v>-0.25694804732094179</v>
      </c>
      <c r="R60" s="47">
        <v>0.56808427310307308</v>
      </c>
      <c r="S60" s="47">
        <v>4.1955782972258104E-2</v>
      </c>
      <c r="T60" s="47">
        <v>-8.8235563820112106E-2</v>
      </c>
      <c r="U60" s="47">
        <v>-2.0287127608313298E-2</v>
      </c>
      <c r="V60" s="47">
        <v>9.9523054803930307E-3</v>
      </c>
      <c r="W60" s="47">
        <v>5.9798710005928242E-2</v>
      </c>
      <c r="X60" s="47">
        <v>2.4555725394816444E-2</v>
      </c>
      <c r="Y60" s="47">
        <v>3.2280808666885374E-2</v>
      </c>
      <c r="Z60" s="47">
        <v>2.7872430113947511E-2</v>
      </c>
    </row>
    <row r="61" spans="1:26" ht="15" customHeight="1" x14ac:dyDescent="0.15">
      <c r="B61" s="44" t="s">
        <v>12</v>
      </c>
      <c r="C61" s="55">
        <v>2668166800.5509944</v>
      </c>
      <c r="D61" s="55">
        <v>1116070719.6922889</v>
      </c>
      <c r="E61" s="55">
        <v>2020245039.734498</v>
      </c>
      <c r="F61" s="55">
        <v>3126678579.9126029</v>
      </c>
      <c r="G61" s="55">
        <v>3312577928.9763904</v>
      </c>
      <c r="H61" s="55">
        <v>3329912935.4826584</v>
      </c>
      <c r="I61" s="55">
        <v>3389562732.1986871</v>
      </c>
      <c r="J61" s="55">
        <v>3698554015.0814595</v>
      </c>
      <c r="K61" s="55">
        <v>3778649098.7555757</v>
      </c>
      <c r="L61" s="55">
        <v>3933930180.2832918</v>
      </c>
      <c r="M61" s="55">
        <v>4059655674.052979</v>
      </c>
      <c r="O61" s="44" t="s">
        <v>12</v>
      </c>
      <c r="P61" s="47">
        <v>6.6470754717997682E-3</v>
      </c>
      <c r="Q61" s="47">
        <v>-0.58170878992204966</v>
      </c>
      <c r="R61" s="47">
        <v>0.81014070532331384</v>
      </c>
      <c r="S61" s="47">
        <v>0.5476729398744189</v>
      </c>
      <c r="T61" s="47">
        <v>5.9455855251032474E-2</v>
      </c>
      <c r="U61" s="47">
        <v>5.2330863991551929E-3</v>
      </c>
      <c r="V61" s="47">
        <v>1.7913320219401674E-2</v>
      </c>
      <c r="W61" s="47">
        <v>9.1159629514318191E-2</v>
      </c>
      <c r="X61" s="47">
        <v>2.1655783137819622E-2</v>
      </c>
      <c r="Y61" s="47">
        <v>4.1094337544826526E-2</v>
      </c>
      <c r="Z61" s="47">
        <v>3.1959259063574275E-2</v>
      </c>
    </row>
    <row r="62" spans="1:26" ht="15" customHeight="1" x14ac:dyDescent="0.15">
      <c r="B62" s="44" t="s">
        <v>13</v>
      </c>
      <c r="C62" s="55">
        <v>229636084.21750778</v>
      </c>
      <c r="D62" s="55">
        <v>187138722.4626601</v>
      </c>
      <c r="E62" s="55">
        <v>266913089.17493981</v>
      </c>
      <c r="F62" s="55">
        <v>249195997.41165614</v>
      </c>
      <c r="G62" s="55">
        <v>226947129.4004432</v>
      </c>
      <c r="H62" s="55">
        <v>230075657.40916869</v>
      </c>
      <c r="I62" s="55">
        <v>232617298.57901821</v>
      </c>
      <c r="J62" s="55">
        <v>236293712.87222451</v>
      </c>
      <c r="K62" s="55">
        <v>242367411.01364857</v>
      </c>
      <c r="L62" s="55">
        <v>248480045.17288214</v>
      </c>
      <c r="M62" s="55">
        <v>255606922.25448206</v>
      </c>
      <c r="O62" s="44" t="s">
        <v>13</v>
      </c>
      <c r="P62" s="47">
        <v>8.5952709491963653E-2</v>
      </c>
      <c r="Q62" s="47">
        <v>-0.18506395412401666</v>
      </c>
      <c r="R62" s="47">
        <v>0.4262846601840895</v>
      </c>
      <c r="S62" s="47">
        <v>-6.6377755463582933E-2</v>
      </c>
      <c r="T62" s="47">
        <v>-8.9282605829576034E-2</v>
      </c>
      <c r="U62" s="47">
        <v>1.3785272442046515E-2</v>
      </c>
      <c r="V62" s="47">
        <v>1.1046979930299348E-2</v>
      </c>
      <c r="W62" s="47">
        <v>1.5804561035074768E-2</v>
      </c>
      <c r="X62" s="47">
        <v>2.5704019237737415E-2</v>
      </c>
      <c r="Y62" s="47">
        <v>2.5220528344420637E-2</v>
      </c>
      <c r="Z62" s="47">
        <v>2.8681889029122377E-2</v>
      </c>
    </row>
    <row r="63" spans="1:26" ht="15" customHeight="1" x14ac:dyDescent="0.15">
      <c r="B63" s="44" t="s">
        <v>14</v>
      </c>
      <c r="C63" s="55">
        <v>3013625735.1701994</v>
      </c>
      <c r="D63" s="55">
        <v>1385879741.8462985</v>
      </c>
      <c r="E63" s="55">
        <v>2365381667.3351974</v>
      </c>
      <c r="F63" s="55">
        <v>3461475734.3130016</v>
      </c>
      <c r="G63" s="55">
        <v>3611430389.086926</v>
      </c>
      <c r="H63" s="55">
        <v>3712492487.8343945</v>
      </c>
      <c r="I63" s="55">
        <v>3701097944.6910872</v>
      </c>
      <c r="J63" s="55">
        <v>4070477834.6320343</v>
      </c>
      <c r="K63" s="55">
        <v>4149934955.261848</v>
      </c>
      <c r="L63" s="55">
        <v>4306957325.7155075</v>
      </c>
      <c r="M63" s="55">
        <v>4470298775.9424753</v>
      </c>
      <c r="O63" s="44" t="s">
        <v>14</v>
      </c>
      <c r="P63" s="47">
        <v>2.143107233669661E-2</v>
      </c>
      <c r="Q63" s="47">
        <v>-0.54012878053417979</v>
      </c>
      <c r="R63" s="47">
        <v>0.70677267003267219</v>
      </c>
      <c r="S63" s="47">
        <v>0.46338993918585958</v>
      </c>
      <c r="T63" s="47">
        <v>4.3321018630132269E-2</v>
      </c>
      <c r="U63" s="47">
        <v>2.7983953131938921E-2</v>
      </c>
      <c r="V63" s="47">
        <v>-3.0692434208678975E-3</v>
      </c>
      <c r="W63" s="47">
        <v>9.9802787027236425E-2</v>
      </c>
      <c r="X63" s="47">
        <v>1.9520342293424253E-2</v>
      </c>
      <c r="Y63" s="47">
        <v>3.7837308812410507E-2</v>
      </c>
      <c r="Z63" s="47">
        <v>3.7925021743704455E-2</v>
      </c>
    </row>
    <row r="64" spans="1:26" ht="15" customHeight="1" x14ac:dyDescent="0.15">
      <c r="B64" s="44" t="s">
        <v>15</v>
      </c>
      <c r="C64" s="55">
        <v>7574588558.4034004</v>
      </c>
      <c r="D64" s="55">
        <v>2635806372.8087535</v>
      </c>
      <c r="E64" s="55">
        <v>3350748011.5922484</v>
      </c>
      <c r="F64" s="55">
        <v>5673729875.1341906</v>
      </c>
      <c r="G64" s="55">
        <v>6210763659.2775879</v>
      </c>
      <c r="H64" s="55">
        <v>6005642346.1472368</v>
      </c>
      <c r="I64" s="55">
        <v>6397888453.8335505</v>
      </c>
      <c r="J64" s="55">
        <v>7195358007.2080011</v>
      </c>
      <c r="K64" s="55">
        <v>7066602915.6714487</v>
      </c>
      <c r="L64" s="55">
        <v>7357320768.3417015</v>
      </c>
      <c r="M64" s="55">
        <v>7672915675.1937389</v>
      </c>
      <c r="O64" s="44" t="s">
        <v>15</v>
      </c>
      <c r="P64" s="47">
        <v>2.3248078700374153E-2</v>
      </c>
      <c r="Q64" s="47">
        <v>-0.65201986187295446</v>
      </c>
      <c r="R64" s="47">
        <v>0.27124209356153983</v>
      </c>
      <c r="S64" s="47">
        <v>0.69327262315917348</v>
      </c>
      <c r="T64" s="47">
        <v>9.4652688083902703E-2</v>
      </c>
      <c r="U64" s="47">
        <v>-3.3026745885579231E-2</v>
      </c>
      <c r="V64" s="47">
        <v>6.5312931586402057E-2</v>
      </c>
      <c r="W64" s="47">
        <v>0.12464574197079271</v>
      </c>
      <c r="X64" s="47">
        <v>-1.7894188365272595E-2</v>
      </c>
      <c r="Y64" s="47">
        <v>4.1139689910343523E-2</v>
      </c>
      <c r="Z64" s="47">
        <v>4.2895357806068679E-2</v>
      </c>
    </row>
    <row r="65" spans="1:26" ht="15" customHeight="1" x14ac:dyDescent="0.15">
      <c r="B65" s="44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O65" s="44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" customHeight="1" x14ac:dyDescent="0.15">
      <c r="A66" s="39"/>
      <c r="B66" s="56" t="s">
        <v>42</v>
      </c>
      <c r="C66" s="57"/>
      <c r="D66" s="57"/>
      <c r="E66" s="57"/>
      <c r="F66" s="57"/>
      <c r="G66" s="57"/>
      <c r="H66" s="58"/>
      <c r="I66" s="58"/>
      <c r="J66" s="58"/>
      <c r="K66" s="58"/>
      <c r="L66" s="58"/>
      <c r="M66" s="58"/>
      <c r="O66" s="56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" customHeight="1" x14ac:dyDescent="0.15">
      <c r="A67" s="60"/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O67" s="61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5" customHeight="1" x14ac:dyDescent="0.15">
      <c r="B68" s="1"/>
      <c r="P68" s="64"/>
      <c r="S68" s="64"/>
      <c r="V68" s="64"/>
      <c r="W68" s="64"/>
      <c r="X68" s="64"/>
      <c r="Y68" s="64"/>
      <c r="Z68" s="64"/>
    </row>
    <row r="69" spans="1:26" ht="15" customHeight="1" x14ac:dyDescent="0.15">
      <c r="B69" s="1"/>
      <c r="P69" s="64"/>
      <c r="S69" s="64"/>
      <c r="V69" s="64"/>
      <c r="W69" s="64"/>
      <c r="X69" s="64"/>
      <c r="Y69" s="64"/>
      <c r="Z69" s="64"/>
    </row>
    <row r="70" spans="1:26" ht="15" customHeight="1" x14ac:dyDescent="0.15">
      <c r="P70" s="64"/>
      <c r="S70" s="64"/>
      <c r="V70" s="64"/>
      <c r="W70" s="64"/>
      <c r="X70" s="64"/>
      <c r="Y70" s="64"/>
      <c r="Z70" s="64"/>
    </row>
    <row r="71" spans="1:26" ht="15" customHeight="1" x14ac:dyDescent="0.15">
      <c r="C71" s="64"/>
      <c r="D71" s="64"/>
      <c r="P71" s="64"/>
      <c r="S71" s="64"/>
      <c r="V71" s="64"/>
      <c r="W71" s="64"/>
      <c r="X71" s="64"/>
      <c r="Y71" s="64"/>
      <c r="Z71" s="64"/>
    </row>
    <row r="72" spans="1:26" ht="15" customHeight="1" x14ac:dyDescent="0.15">
      <c r="C72" s="64"/>
      <c r="D72" s="64"/>
      <c r="P72" s="64"/>
      <c r="S72" s="64"/>
      <c r="V72" s="64"/>
      <c r="W72" s="64"/>
      <c r="X72" s="64"/>
      <c r="Y72" s="64"/>
      <c r="Z72" s="64"/>
    </row>
    <row r="73" spans="1:26" ht="15" customHeight="1" x14ac:dyDescent="0.15">
      <c r="C73" s="64"/>
      <c r="D73" s="64"/>
      <c r="P73" s="64"/>
      <c r="S73" s="64"/>
      <c r="V73" s="64"/>
      <c r="W73" s="64"/>
      <c r="X73" s="64"/>
      <c r="Y73" s="64"/>
      <c r="Z73" s="64"/>
    </row>
    <row r="74" spans="1:26" ht="15" customHeight="1" x14ac:dyDescent="0.15">
      <c r="C74" s="64"/>
      <c r="D74" s="64"/>
      <c r="P74" s="64"/>
      <c r="S74" s="64"/>
      <c r="V74" s="64"/>
      <c r="W74" s="64"/>
      <c r="X74" s="64"/>
      <c r="Y74" s="64"/>
      <c r="Z74" s="64"/>
    </row>
    <row r="75" spans="1:26" ht="15" customHeight="1" x14ac:dyDescent="0.15">
      <c r="C75" s="64"/>
      <c r="D75" s="64"/>
      <c r="P75" s="64"/>
      <c r="S75" s="64"/>
      <c r="V75" s="64"/>
      <c r="W75" s="64"/>
      <c r="X75" s="64"/>
      <c r="Y75" s="64"/>
      <c r="Z75" s="64"/>
    </row>
    <row r="76" spans="1:26" ht="15" customHeight="1" x14ac:dyDescent="0.15">
      <c r="C76" s="64"/>
      <c r="D76" s="64"/>
      <c r="P76" s="64"/>
      <c r="S76" s="64"/>
      <c r="V76" s="64"/>
      <c r="W76" s="64"/>
      <c r="X76" s="64"/>
      <c r="Y76" s="64"/>
      <c r="Z76" s="64"/>
    </row>
    <row r="77" spans="1:26" ht="15" customHeight="1" x14ac:dyDescent="0.15">
      <c r="C77" s="64"/>
      <c r="D77" s="64"/>
      <c r="P77" s="64"/>
      <c r="S77" s="64"/>
      <c r="V77" s="64"/>
      <c r="W77" s="64"/>
      <c r="X77" s="64"/>
      <c r="Y77" s="64"/>
      <c r="Z77" s="64"/>
    </row>
    <row r="78" spans="1:26" ht="15" customHeight="1" x14ac:dyDescent="0.15">
      <c r="C78" s="64"/>
      <c r="D78" s="64"/>
      <c r="P78" s="64"/>
      <c r="S78" s="64"/>
      <c r="V78" s="64"/>
      <c r="W78" s="64"/>
      <c r="X78" s="64"/>
      <c r="Y78" s="64"/>
      <c r="Z78" s="64"/>
    </row>
    <row r="79" spans="1:26" ht="15" customHeight="1" x14ac:dyDescent="0.15">
      <c r="C79" s="64"/>
      <c r="P79" s="65"/>
      <c r="S79" s="65"/>
      <c r="V79" s="65"/>
      <c r="W79" s="65"/>
      <c r="X79" s="65"/>
      <c r="Y79" s="65"/>
      <c r="Z79" s="65"/>
    </row>
    <row r="80" spans="1:26" ht="15" customHeight="1" x14ac:dyDescent="0.15">
      <c r="P80" s="65"/>
      <c r="S80" s="65"/>
      <c r="V80" s="65"/>
      <c r="W80" s="65"/>
      <c r="X80" s="65"/>
      <c r="Y80" s="65"/>
      <c r="Z80" s="65"/>
    </row>
    <row r="81" spans="16:26" ht="15" customHeight="1" x14ac:dyDescent="0.15">
      <c r="P81" s="65"/>
      <c r="S81" s="65"/>
      <c r="V81" s="65"/>
      <c r="W81" s="65"/>
      <c r="X81" s="65"/>
      <c r="Y81" s="65"/>
      <c r="Z81" s="65"/>
    </row>
    <row r="82" spans="16:26" ht="15" customHeight="1" x14ac:dyDescent="0.15">
      <c r="P82" s="65"/>
      <c r="S82" s="65"/>
      <c r="V82" s="65"/>
      <c r="W82" s="65"/>
      <c r="X82" s="65"/>
      <c r="Y82" s="65"/>
      <c r="Z82" s="65"/>
    </row>
    <row r="83" spans="16:26" ht="15" customHeight="1" x14ac:dyDescent="0.15">
      <c r="P83" s="65"/>
      <c r="S83" s="65"/>
      <c r="V83" s="65"/>
      <c r="W83" s="65"/>
      <c r="X83" s="65"/>
      <c r="Y83" s="65"/>
      <c r="Z83" s="65"/>
    </row>
    <row r="84" spans="16:26" ht="15" customHeight="1" x14ac:dyDescent="0.15">
      <c r="P84" s="65"/>
      <c r="S84" s="65"/>
      <c r="V84" s="65"/>
      <c r="W84" s="65"/>
      <c r="X84" s="65"/>
      <c r="Y84" s="65"/>
      <c r="Z84" s="65"/>
    </row>
    <row r="85" spans="16:26" ht="15" customHeight="1" x14ac:dyDescent="0.15">
      <c r="P85" s="65"/>
      <c r="S85" s="65"/>
      <c r="V85" s="65"/>
      <c r="W85" s="65"/>
      <c r="X85" s="65"/>
      <c r="Y85" s="65"/>
      <c r="Z85" s="65"/>
    </row>
    <row r="86" spans="16:26" ht="15" customHeight="1" x14ac:dyDescent="0.15">
      <c r="P86" s="65"/>
      <c r="S86" s="65"/>
      <c r="V86" s="65"/>
      <c r="W86" s="65"/>
      <c r="X86" s="65"/>
      <c r="Y86" s="65"/>
      <c r="Z86" s="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04A2-32F1-4C4C-A5D0-64E3B334DC1F}">
  <sheetPr>
    <tabColor theme="4" tint="0.79998168889431442"/>
  </sheetPr>
  <dimension ref="B1:W54"/>
  <sheetViews>
    <sheetView zoomScale="150" zoomScaleNormal="150" workbookViewId="0">
      <selection activeCell="R50" sqref="R50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41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500567.83333333331</v>
      </c>
      <c r="D5" s="74">
        <v>265841.44696625194</v>
      </c>
      <c r="E5" s="75">
        <v>0.53107976434679405</v>
      </c>
      <c r="F5" s="76">
        <v>0</v>
      </c>
      <c r="G5" s="76">
        <v>0</v>
      </c>
      <c r="H5" s="77">
        <v>0</v>
      </c>
      <c r="J5" s="4"/>
      <c r="K5" s="9">
        <v>500567.83333333331</v>
      </c>
      <c r="L5" s="9">
        <v>265841.44696625194</v>
      </c>
      <c r="M5" s="20">
        <v>0.53107976434679405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503981.75</v>
      </c>
      <c r="D6" s="74">
        <v>366114.2276156834</v>
      </c>
      <c r="E6" s="75">
        <v>0.72644342303205101</v>
      </c>
      <c r="F6" s="76">
        <v>140.09927927904477</v>
      </c>
      <c r="G6" s="76">
        <v>101.77420000379257</v>
      </c>
      <c r="H6" s="77">
        <v>18721703889.307907</v>
      </c>
      <c r="J6" s="4"/>
      <c r="K6" s="9">
        <v>503981.75</v>
      </c>
      <c r="L6" s="9">
        <v>366114.2276156834</v>
      </c>
      <c r="M6" s="20">
        <v>0.72644342303205101</v>
      </c>
      <c r="N6" s="11">
        <v>140.09927927904477</v>
      </c>
      <c r="O6" s="11">
        <v>101.77420000379257</v>
      </c>
      <c r="P6" s="12">
        <v>18721703889.307907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506140.91666666669</v>
      </c>
      <c r="D7" s="74">
        <v>378148.76728718186</v>
      </c>
      <c r="E7" s="75">
        <v>0.74712151267593008</v>
      </c>
      <c r="F7" s="76">
        <v>149.80810650325651</v>
      </c>
      <c r="G7" s="76">
        <v>111.92485914182986</v>
      </c>
      <c r="H7" s="77">
        <v>20677159043.399158</v>
      </c>
      <c r="J7" s="4"/>
      <c r="K7" s="9">
        <v>506140.91666666669</v>
      </c>
      <c r="L7" s="9">
        <v>378148.76728718186</v>
      </c>
      <c r="M7" s="20">
        <v>0.74712151267593008</v>
      </c>
      <c r="N7" s="11">
        <v>149.80810650325651</v>
      </c>
      <c r="O7" s="11">
        <v>111.92485914182986</v>
      </c>
      <c r="P7" s="12">
        <v>20677159043.399158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509332.33333333331</v>
      </c>
      <c r="D8" s="74">
        <v>383821.87352016772</v>
      </c>
      <c r="E8" s="75">
        <v>0.75357845634546616</v>
      </c>
      <c r="F8" s="76">
        <v>158.35168320731688</v>
      </c>
      <c r="G8" s="76">
        <v>119.33041699107612</v>
      </c>
      <c r="H8" s="77">
        <v>22184276499.152122</v>
      </c>
      <c r="J8" s="4"/>
      <c r="K8" s="9">
        <v>509332.33333333331</v>
      </c>
      <c r="L8" s="9">
        <v>383821.87352016772</v>
      </c>
      <c r="M8" s="20">
        <v>0.75357845634546616</v>
      </c>
      <c r="N8" s="11">
        <v>158.35168320731688</v>
      </c>
      <c r="O8" s="11">
        <v>119.33041699107612</v>
      </c>
      <c r="P8" s="12">
        <v>22184276499.152122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515094.58333333331</v>
      </c>
      <c r="D9" s="74">
        <v>388202.9692619369</v>
      </c>
      <c r="E9" s="75">
        <v>0.7536537595673356</v>
      </c>
      <c r="F9" s="76">
        <v>161.79529966851484</v>
      </c>
      <c r="G9" s="76">
        <v>121.93763587549989</v>
      </c>
      <c r="H9" s="77">
        <v>22925436746.538952</v>
      </c>
      <c r="J9" s="4"/>
      <c r="K9" s="9">
        <v>515094.58333333331</v>
      </c>
      <c r="L9" s="9">
        <v>388202.9692619369</v>
      </c>
      <c r="M9" s="20">
        <v>0.7536537595673356</v>
      </c>
      <c r="N9" s="11">
        <v>161.79529966851484</v>
      </c>
      <c r="O9" s="11">
        <v>121.93763587549989</v>
      </c>
      <c r="P9" s="12">
        <v>22925436746.538952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523671.41666666669</v>
      </c>
      <c r="D10" s="74">
        <v>395294.18985012447</v>
      </c>
      <c r="E10" s="75">
        <v>0.75485156773744944</v>
      </c>
      <c r="F10" s="76">
        <v>168.1077203281871</v>
      </c>
      <c r="G10" s="76">
        <v>126.89637623850074</v>
      </c>
      <c r="H10" s="77">
        <v>24254981866.858936</v>
      </c>
      <c r="J10" s="4"/>
      <c r="K10" s="9">
        <v>523671.41666666669</v>
      </c>
      <c r="L10" s="9">
        <v>395294.18985012447</v>
      </c>
      <c r="M10" s="20">
        <v>0.75485156773744944</v>
      </c>
      <c r="N10" s="11">
        <v>168.1077203281871</v>
      </c>
      <c r="O10" s="11">
        <v>126.89637623850074</v>
      </c>
      <c r="P10" s="12">
        <v>24254981866.858936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541426.58333333337</v>
      </c>
      <c r="D11" s="74">
        <v>407202.72515641176</v>
      </c>
      <c r="E11" s="75">
        <v>0.75209222762842132</v>
      </c>
      <c r="F11" s="76">
        <v>167.9721927521737</v>
      </c>
      <c r="G11" s="76">
        <v>126.33058062661289</v>
      </c>
      <c r="H11" s="77">
        <v>24965538143.301872</v>
      </c>
      <c r="J11" s="8">
        <v>2019</v>
      </c>
      <c r="K11" s="9">
        <v>541426.58333333337</v>
      </c>
      <c r="L11" s="9">
        <v>407202.72515641176</v>
      </c>
      <c r="M11" s="20">
        <v>0.75209222762842132</v>
      </c>
      <c r="N11" s="11">
        <v>167.9721927521737</v>
      </c>
      <c r="O11" s="11">
        <v>126.33058062661289</v>
      </c>
      <c r="P11" s="12">
        <v>24965538143.301872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509685.91666666669</v>
      </c>
      <c r="D12" s="74">
        <v>250110.56731915314</v>
      </c>
      <c r="E12" s="75">
        <v>0.49071508382038509</v>
      </c>
      <c r="F12" s="76">
        <v>131.19944949439727</v>
      </c>
      <c r="G12" s="76">
        <v>64.381548855831539</v>
      </c>
      <c r="H12" s="77">
        <v>11977244591.926563</v>
      </c>
      <c r="J12" s="8">
        <v>2020</v>
      </c>
      <c r="K12" s="9">
        <v>509685.91666666669</v>
      </c>
      <c r="L12" s="9">
        <v>250110.56731915314</v>
      </c>
      <c r="M12" s="20">
        <v>0.49071508382038509</v>
      </c>
      <c r="N12" s="11">
        <v>131.19944949439727</v>
      </c>
      <c r="O12" s="11">
        <v>64.381548855831539</v>
      </c>
      <c r="P12" s="12">
        <v>11977244591.926563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539837.08333333337</v>
      </c>
      <c r="D13" s="74">
        <v>328241.40623047733</v>
      </c>
      <c r="E13" s="75">
        <v>0.60803789951532095</v>
      </c>
      <c r="F13" s="76">
        <v>154.39564647338736</v>
      </c>
      <c r="G13" s="76">
        <v>93.878404575988526</v>
      </c>
      <c r="H13" s="77">
        <v>18497851101.715229</v>
      </c>
      <c r="J13" s="8">
        <v>2021</v>
      </c>
      <c r="K13" s="9">
        <v>539837.08333333337</v>
      </c>
      <c r="L13" s="9">
        <v>328241.40623047733</v>
      </c>
      <c r="M13" s="20">
        <v>0.60803789951532095</v>
      </c>
      <c r="N13" s="11">
        <v>154.39564647338736</v>
      </c>
      <c r="O13" s="11">
        <v>93.878404575988526</v>
      </c>
      <c r="P13" s="12">
        <v>18497851101.715229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559898.25</v>
      </c>
      <c r="D14" s="74">
        <v>377315.35225758702</v>
      </c>
      <c r="E14" s="75">
        <v>0.67389985994345758</v>
      </c>
      <c r="F14" s="76">
        <v>186.17543646741842</v>
      </c>
      <c r="G14" s="76">
        <v>125.46360056030535</v>
      </c>
      <c r="H14" s="77">
        <v>25640100393.231106</v>
      </c>
      <c r="J14" s="8">
        <v>2022</v>
      </c>
      <c r="K14" s="9">
        <v>559898.25</v>
      </c>
      <c r="L14" s="9">
        <v>377315.35225758702</v>
      </c>
      <c r="M14" s="20">
        <v>0.67389985994345758</v>
      </c>
      <c r="N14" s="11">
        <v>186.17543646741842</v>
      </c>
      <c r="O14" s="11">
        <v>125.46360056030535</v>
      </c>
      <c r="P14" s="12">
        <v>25640100393.231106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566384.46236559132</v>
      </c>
      <c r="D15" s="74">
        <v>380050.7338006557</v>
      </c>
      <c r="E15" s="75">
        <v>0.6710119345670531</v>
      </c>
      <c r="F15" s="76">
        <v>192.36397211823152</v>
      </c>
      <c r="G15" s="76">
        <v>129.07852107205719</v>
      </c>
      <c r="H15" s="77">
        <v>26684445097.525108</v>
      </c>
      <c r="J15" s="8">
        <v>2023</v>
      </c>
      <c r="K15" s="9">
        <v>566384.46236559132</v>
      </c>
      <c r="L15" s="9">
        <v>380050.7338006557</v>
      </c>
      <c r="M15" s="20">
        <v>0.6710119345670531</v>
      </c>
      <c r="N15" s="11">
        <v>192.36397211823152</v>
      </c>
      <c r="O15" s="11">
        <v>129.07852107205719</v>
      </c>
      <c r="P15" s="12">
        <v>26684445097.525108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570400.24999999988</v>
      </c>
      <c r="D16" s="74">
        <v>382616.84955837176</v>
      </c>
      <c r="E16" s="75">
        <v>0.67078660915448729</v>
      </c>
      <c r="F16" s="76">
        <v>188.39484485012704</v>
      </c>
      <c r="G16" s="76">
        <v>126.37273915920244</v>
      </c>
      <c r="H16" s="77">
        <v>26310310333.501755</v>
      </c>
      <c r="J16" s="8">
        <v>2024</v>
      </c>
      <c r="K16" s="9">
        <v>570400.24999999988</v>
      </c>
      <c r="L16" s="9">
        <v>382616.84955837176</v>
      </c>
      <c r="M16" s="20">
        <v>0.67078660915448729</v>
      </c>
      <c r="N16" s="11">
        <v>188.39484485012704</v>
      </c>
      <c r="O16" s="11">
        <v>126.37273915920244</v>
      </c>
      <c r="P16" s="12">
        <v>26310310333.501755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573126.08333333326</v>
      </c>
      <c r="D17" s="74">
        <v>385856.02531112218</v>
      </c>
      <c r="E17" s="75">
        <v>0.67324806274207938</v>
      </c>
      <c r="F17" s="76">
        <v>190.64598743042606</v>
      </c>
      <c r="G17" s="76">
        <v>128.35204170708516</v>
      </c>
      <c r="H17" s="77">
        <v>26850094577.2677</v>
      </c>
      <c r="J17" s="8">
        <v>2025</v>
      </c>
      <c r="K17" s="9">
        <v>573126.08333333326</v>
      </c>
      <c r="L17" s="9">
        <v>385856.02531112218</v>
      </c>
      <c r="M17" s="20">
        <v>0.67324806274207938</v>
      </c>
      <c r="N17" s="11">
        <v>190.64598743042606</v>
      </c>
      <c r="O17" s="11">
        <v>128.35204170708516</v>
      </c>
      <c r="P17" s="12">
        <v>26850094577.2677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571585.6</v>
      </c>
      <c r="D18" s="74">
        <v>397964.12080646877</v>
      </c>
      <c r="E18" s="75">
        <v>0.69624588304266022</v>
      </c>
      <c r="F18" s="76">
        <v>199.78064458033569</v>
      </c>
      <c r="G18" s="76">
        <v>139.09645130066767</v>
      </c>
      <c r="H18" s="77">
        <v>29019517929.715462</v>
      </c>
      <c r="J18" s="8">
        <v>2026</v>
      </c>
      <c r="K18" s="9">
        <v>574419.04166666663</v>
      </c>
      <c r="L18" s="9">
        <v>394474.16522526735</v>
      </c>
      <c r="M18" s="20">
        <v>0.68673587853339191</v>
      </c>
      <c r="N18" s="11">
        <v>196.17571563190262</v>
      </c>
      <c r="O18" s="11">
        <v>134.72090242139149</v>
      </c>
      <c r="P18" s="12">
        <v>28245981856.397938</v>
      </c>
      <c r="Q18" s="9"/>
      <c r="R18" s="22">
        <v>-2833.4416666666511</v>
      </c>
      <c r="S18" s="22">
        <v>3489.955581201415</v>
      </c>
      <c r="T18" s="21">
        <v>9.5100045092683105E-3</v>
      </c>
      <c r="U18" s="23">
        <v>3.60492894843307</v>
      </c>
      <c r="V18" s="23">
        <v>4.375548879276181</v>
      </c>
      <c r="W18" s="24">
        <v>773536073.31752396</v>
      </c>
    </row>
    <row r="19" spans="2:23" s="5" customFormat="1" outlineLevel="1" x14ac:dyDescent="0.15">
      <c r="B19" s="78">
        <v>2027</v>
      </c>
      <c r="C19" s="74">
        <v>577260.27500000002</v>
      </c>
      <c r="D19" s="74">
        <v>402211.82948752114</v>
      </c>
      <c r="E19" s="75">
        <v>0.69675993118965462</v>
      </c>
      <c r="F19" s="76">
        <v>201.93613922088923</v>
      </c>
      <c r="G19" s="76">
        <v>140.7010104682513</v>
      </c>
      <c r="H19" s="77">
        <v>29645702958.423431</v>
      </c>
      <c r="J19" s="8">
        <v>2027</v>
      </c>
      <c r="K19" s="9">
        <v>580469.11666666658</v>
      </c>
      <c r="L19" s="9">
        <v>397557.66762737476</v>
      </c>
      <c r="M19" s="20">
        <v>0.68489030029770137</v>
      </c>
      <c r="N19" s="11">
        <v>198.15435478825324</v>
      </c>
      <c r="O19" s="11">
        <v>135.71399555622403</v>
      </c>
      <c r="P19" s="12">
        <v>28753890838.736225</v>
      </c>
      <c r="Q19" s="9"/>
      <c r="R19" s="22">
        <v>-3208.841666666558</v>
      </c>
      <c r="S19" s="22">
        <v>4654.1618601463852</v>
      </c>
      <c r="T19" s="21">
        <v>1.1869630891953253E-2</v>
      </c>
      <c r="U19" s="23">
        <v>3.7817844326359875</v>
      </c>
      <c r="V19" s="23">
        <v>4.9870149120272629</v>
      </c>
      <c r="W19" s="24">
        <v>891812119.68720627</v>
      </c>
    </row>
    <row r="20" spans="2:23" s="5" customFormat="1" outlineLevel="1" x14ac:dyDescent="0.15">
      <c r="B20" s="78">
        <v>2028</v>
      </c>
      <c r="C20" s="74">
        <v>582602.00233507785</v>
      </c>
      <c r="D20" s="74">
        <v>409229.23547597695</v>
      </c>
      <c r="E20" s="75">
        <v>0.70241645898191185</v>
      </c>
      <c r="F20" s="76">
        <v>205.43375336203005</v>
      </c>
      <c r="G20" s="76">
        <v>144.30004959192058</v>
      </c>
      <c r="H20" s="77">
        <v>30685366707.695946</v>
      </c>
      <c r="J20" s="8">
        <v>2028</v>
      </c>
      <c r="K20" s="9">
        <v>590565.35031389655</v>
      </c>
      <c r="L20" s="9">
        <v>404532.88583464309</v>
      </c>
      <c r="M20" s="20">
        <v>0.68499258485047643</v>
      </c>
      <c r="N20" s="11">
        <v>201.37661090622564</v>
      </c>
      <c r="O20" s="11">
        <v>137.94148523308414</v>
      </c>
      <c r="P20" s="12">
        <v>29734163465.565865</v>
      </c>
      <c r="Q20" s="9"/>
      <c r="R20" s="22">
        <v>-7963.347978818696</v>
      </c>
      <c r="S20" s="22">
        <v>4696.349641333858</v>
      </c>
      <c r="T20" s="21">
        <v>1.7423874131435424E-2</v>
      </c>
      <c r="U20" s="23">
        <v>4.05714245580441</v>
      </c>
      <c r="V20" s="23">
        <v>6.3585643588364462</v>
      </c>
      <c r="W20" s="24">
        <v>951203242.13008118</v>
      </c>
    </row>
    <row r="21" spans="2:23" s="5" customFormat="1" outlineLevel="1" x14ac:dyDescent="0.15">
      <c r="B21" s="78">
        <v>2029</v>
      </c>
      <c r="C21" s="74">
        <v>586843.67440270178</v>
      </c>
      <c r="D21" s="74">
        <v>416355.41882635927</v>
      </c>
      <c r="E21" s="75">
        <v>0.70948267313289526</v>
      </c>
      <c r="F21" s="76">
        <v>209.05598896174922</v>
      </c>
      <c r="G21" s="76">
        <v>148.32160188302288</v>
      </c>
      <c r="H21" s="77">
        <v>31770181752.449657</v>
      </c>
      <c r="J21" s="8">
        <v>2029</v>
      </c>
      <c r="K21" s="9">
        <v>595203.62856954092</v>
      </c>
      <c r="L21" s="9">
        <v>411595.72113654355</v>
      </c>
      <c r="M21" s="20">
        <v>0.69152085333507762</v>
      </c>
      <c r="N21" s="11">
        <v>205.02165308116179</v>
      </c>
      <c r="O21" s="11">
        <v>141.77674849085324</v>
      </c>
      <c r="P21" s="12">
        <v>30800902829.219669</v>
      </c>
      <c r="Q21" s="9"/>
      <c r="R21" s="22">
        <v>-8359.9541668391321</v>
      </c>
      <c r="S21" s="22">
        <v>4759.6976898157154</v>
      </c>
      <c r="T21" s="21">
        <v>1.7961819797817635E-2</v>
      </c>
      <c r="U21" s="23">
        <v>4.0343358805874345</v>
      </c>
      <c r="V21" s="23">
        <v>6.5448533921696423</v>
      </c>
      <c r="W21" s="24">
        <v>969278923.2299881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6.8200879867430508E-3</v>
      </c>
      <c r="D24" s="75">
        <v>0.37719017028281865</v>
      </c>
      <c r="E24" s="75">
        <v>0.36786123629761369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4.284215979381667E-3</v>
      </c>
      <c r="D25" s="75">
        <v>3.2870996983300316E-2</v>
      </c>
      <c r="E25" s="75">
        <v>2.8464831517879707E-2</v>
      </c>
      <c r="F25" s="75">
        <v>6.9299622911507264E-2</v>
      </c>
      <c r="G25" s="75">
        <v>9.9737056519815681E-2</v>
      </c>
      <c r="H25" s="75">
        <v>0.10444856759047583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6.3053915650301828E-3</v>
      </c>
      <c r="D26" s="75">
        <v>1.5002313173422266E-2</v>
      </c>
      <c r="E26" s="75">
        <v>8.642427717560297E-3</v>
      </c>
      <c r="F26" s="75">
        <v>5.7030136108653373E-2</v>
      </c>
      <c r="G26" s="75">
        <v>6.6165442655255147E-2</v>
      </c>
      <c r="H26" s="75">
        <v>7.2888033244300265E-2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1.1313340274882844E-2</v>
      </c>
      <c r="D27" s="75">
        <v>1.1414398303016382E-2</v>
      </c>
      <c r="E27" s="75">
        <v>9.9927514163100639E-5</v>
      </c>
      <c r="F27" s="75">
        <v>2.1746636293657362E-2</v>
      </c>
      <c r="G27" s="75">
        <v>2.1848736895126564E-2</v>
      </c>
      <c r="H27" s="75">
        <v>3.3409259365080324E-2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1.6650987237780912E-2</v>
      </c>
      <c r="D28" s="75">
        <v>1.8266786062119955E-2</v>
      </c>
      <c r="E28" s="75">
        <v>1.5893348303621657E-3</v>
      </c>
      <c r="F28" s="75">
        <v>3.901485811148464E-2</v>
      </c>
      <c r="G28" s="75">
        <v>4.0666200614745351E-2</v>
      </c>
      <c r="H28" s="75">
        <v>5.7994320239971309E-2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3.3905166678150689E-2</v>
      </c>
      <c r="D29" s="75">
        <v>3.0125753456690996E-2</v>
      </c>
      <c r="E29" s="75">
        <v>-3.6554737738689891E-3</v>
      </c>
      <c r="F29" s="75">
        <v>-8.0619483595889552E-4</v>
      </c>
      <c r="G29" s="75">
        <v>-4.4587215857483375E-3</v>
      </c>
      <c r="H29" s="75">
        <v>2.9295271393866118E-2</v>
      </c>
      <c r="J29" s="8">
        <v>2019</v>
      </c>
      <c r="K29" s="10">
        <v>3.3905166678150689E-2</v>
      </c>
      <c r="L29" s="10">
        <v>3.0125753456690996E-2</v>
      </c>
      <c r="M29" s="10">
        <v>-3.6554737738689891E-3</v>
      </c>
      <c r="N29" s="10">
        <v>-8.0619483595889552E-4</v>
      </c>
      <c r="O29" s="10">
        <v>-4.4587215857483375E-3</v>
      </c>
      <c r="P29" s="10">
        <v>2.9295271393866118E-2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-5.8624137867876569E-2</v>
      </c>
      <c r="D30" s="75">
        <v>-0.38578366040383816</v>
      </c>
      <c r="E30" s="75">
        <v>-0.34753336652904787</v>
      </c>
      <c r="F30" s="75">
        <v>-0.21892161229347618</v>
      </c>
      <c r="G30" s="75">
        <v>-0.49037241389620523</v>
      </c>
      <c r="H30" s="75">
        <v>-0.52024889176522726</v>
      </c>
      <c r="J30" s="8">
        <v>2020</v>
      </c>
      <c r="K30" s="10">
        <v>-5.8624137867876569E-2</v>
      </c>
      <c r="L30" s="10">
        <v>-0.38578366040383816</v>
      </c>
      <c r="M30" s="10">
        <v>-0.34753336652904787</v>
      </c>
      <c r="N30" s="10">
        <v>-0.21892161229347618</v>
      </c>
      <c r="O30" s="10">
        <v>-0.49037241389620523</v>
      </c>
      <c r="P30" s="10">
        <v>-0.52024889176522726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5.9156366069234467E-2</v>
      </c>
      <c r="D31" s="75">
        <v>0.31238519727007574</v>
      </c>
      <c r="E31" s="75">
        <v>0.23908540732340544</v>
      </c>
      <c r="F31" s="75">
        <v>0.17680102369622097</v>
      </c>
      <c r="G31" s="75">
        <v>0.45815697578523262</v>
      </c>
      <c r="H31" s="75">
        <v>0.54441624363119168</v>
      </c>
      <c r="J31" s="8">
        <v>2021</v>
      </c>
      <c r="K31" s="10">
        <v>5.9156366069234467E-2</v>
      </c>
      <c r="L31" s="10">
        <v>0.31238519727007574</v>
      </c>
      <c r="M31" s="10">
        <v>0.23908540732340544</v>
      </c>
      <c r="N31" s="10">
        <v>0.17680102369622097</v>
      </c>
      <c r="O31" s="10">
        <v>0.45815697578523262</v>
      </c>
      <c r="P31" s="10">
        <v>0.54441624363119168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3.7161520180857055E-2</v>
      </c>
      <c r="D32" s="75">
        <v>0.14950565375244596</v>
      </c>
      <c r="E32" s="75">
        <v>0.10831884078383358</v>
      </c>
      <c r="F32" s="75">
        <v>0.20583345916757323</v>
      </c>
      <c r="G32" s="75">
        <v>0.33644794164296488</v>
      </c>
      <c r="H32" s="75">
        <v>0.38611237879699467</v>
      </c>
      <c r="J32" s="8">
        <v>2022</v>
      </c>
      <c r="K32" s="10">
        <v>3.7161520180857055E-2</v>
      </c>
      <c r="L32" s="10">
        <v>0.14950565375244596</v>
      </c>
      <c r="M32" s="10">
        <v>0.10831884078383358</v>
      </c>
      <c r="N32" s="10">
        <v>0.20583345916757323</v>
      </c>
      <c r="O32" s="10">
        <v>0.33644794164296488</v>
      </c>
      <c r="P32" s="10">
        <v>0.38611237879699467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1.1584626966759215E-2</v>
      </c>
      <c r="D33" s="75">
        <v>7.249589836994641E-3</v>
      </c>
      <c r="E33" s="75">
        <v>-4.2853924567468615E-3</v>
      </c>
      <c r="F33" s="75">
        <v>3.324034452792124E-2</v>
      </c>
      <c r="G33" s="75">
        <v>2.8812504149474671E-2</v>
      </c>
      <c r="H33" s="75">
        <v>4.073091322878386E-2</v>
      </c>
      <c r="J33" s="8">
        <v>2023</v>
      </c>
      <c r="K33" s="10">
        <v>1.1584626966759215E-2</v>
      </c>
      <c r="L33" s="10">
        <v>7.249589836994641E-3</v>
      </c>
      <c r="M33" s="10">
        <v>-4.2853924567468615E-3</v>
      </c>
      <c r="N33" s="10">
        <v>3.324034452792124E-2</v>
      </c>
      <c r="O33" s="10">
        <v>2.8812504149474671E-2</v>
      </c>
      <c r="P33" s="10">
        <v>4.073091322878386E-2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7.0902150416274345E-3</v>
      </c>
      <c r="D34" s="75">
        <v>6.7520347403460246E-3</v>
      </c>
      <c r="E34" s="75">
        <v>-3.3579941124473045E-4</v>
      </c>
      <c r="F34" s="75">
        <v>-2.0633423319336264E-2</v>
      </c>
      <c r="G34" s="75">
        <v>-2.0962294039178375E-2</v>
      </c>
      <c r="H34" s="75">
        <v>-1.4020706170054575E-2</v>
      </c>
      <c r="J34" s="8">
        <v>2024</v>
      </c>
      <c r="K34" s="10">
        <v>7.0902150416274345E-3</v>
      </c>
      <c r="L34" s="10">
        <v>6.7520347403460246E-3</v>
      </c>
      <c r="M34" s="10">
        <v>-3.3579941124473045E-4</v>
      </c>
      <c r="N34" s="10">
        <v>-2.0633423319336264E-2</v>
      </c>
      <c r="O34" s="10">
        <v>-2.0962294039178375E-2</v>
      </c>
      <c r="P34" s="10">
        <v>-1.4020706170054575E-2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4.7788080971797875E-3</v>
      </c>
      <c r="D35" s="75">
        <v>8.4658471170027116E-3</v>
      </c>
      <c r="E35" s="75">
        <v>3.6695031683693369E-3</v>
      </c>
      <c r="F35" s="75">
        <v>1.1949066770324146E-2</v>
      </c>
      <c r="G35" s="75">
        <v>1.5662417077066282E-2</v>
      </c>
      <c r="H35" s="75">
        <v>2.0516072859795287E-2</v>
      </c>
      <c r="J35" s="8">
        <v>2025</v>
      </c>
      <c r="K35" s="10">
        <v>4.7788080971797875E-3</v>
      </c>
      <c r="L35" s="10">
        <v>8.4658471170027116E-3</v>
      </c>
      <c r="M35" s="10">
        <v>3.6695031683693369E-3</v>
      </c>
      <c r="N35" s="10">
        <v>1.1949066770324146E-2</v>
      </c>
      <c r="O35" s="10">
        <v>1.5662417077066282E-2</v>
      </c>
      <c r="P35" s="10">
        <v>2.0516072859795287E-2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-2.6878611498080129E-3</v>
      </c>
      <c r="D36" s="75">
        <v>3.1379827451401443E-2</v>
      </c>
      <c r="E36" s="75">
        <v>3.4159504606537938E-2</v>
      </c>
      <c r="F36" s="75">
        <v>4.7914237656028424E-2</v>
      </c>
      <c r="G36" s="75">
        <v>8.371046888449607E-2</v>
      </c>
      <c r="H36" s="75">
        <v>8.0797605617541457E-2</v>
      </c>
      <c r="J36" s="8">
        <v>2026</v>
      </c>
      <c r="K36" s="10">
        <v>2.2559753794721971E-3</v>
      </c>
      <c r="L36" s="10">
        <v>2.2335118149823474E-2</v>
      </c>
      <c r="M36" s="10">
        <v>2.0033946679887782E-2</v>
      </c>
      <c r="N36" s="10">
        <v>2.9005216821017976E-2</v>
      </c>
      <c r="O36" s="10">
        <v>4.9620252468136172E-2</v>
      </c>
      <c r="P36" s="10">
        <v>5.1988169915500038E-2</v>
      </c>
      <c r="Q36" s="10"/>
      <c r="R36" s="19">
        <v>-4.94383652928021E-3</v>
      </c>
      <c r="S36" s="19">
        <v>9.0447093015779689E-3</v>
      </c>
      <c r="T36" s="19">
        <v>1.4125557926650156E-2</v>
      </c>
      <c r="U36" s="19">
        <v>1.8909020835010448E-2</v>
      </c>
      <c r="V36" s="19">
        <v>3.4090216416359898E-2</v>
      </c>
      <c r="W36" s="19">
        <v>2.8809435702041419E-2</v>
      </c>
    </row>
    <row r="37" spans="2:23" s="5" customFormat="1" outlineLevel="1" x14ac:dyDescent="0.15">
      <c r="B37" s="78">
        <v>2027</v>
      </c>
      <c r="C37" s="75">
        <v>9.9279530485023582E-3</v>
      </c>
      <c r="D37" s="75">
        <v>1.0673597088211029E-2</v>
      </c>
      <c r="E37" s="75">
        <v>7.3831409206759346E-4</v>
      </c>
      <c r="F37" s="75">
        <v>1.0789306667227105E-2</v>
      </c>
      <c r="G37" s="75">
        <v>1.1535586656450825E-2</v>
      </c>
      <c r="H37" s="75">
        <v>2.1578064467665303E-2</v>
      </c>
      <c r="J37" s="8">
        <v>2027</v>
      </c>
      <c r="K37" s="10">
        <v>1.0532511217674401E-2</v>
      </c>
      <c r="L37" s="10">
        <v>7.8167410541234439E-3</v>
      </c>
      <c r="M37" s="10">
        <v>-2.6874644144587734E-3</v>
      </c>
      <c r="N37" s="10">
        <v>1.0086055503746749E-2</v>
      </c>
      <c r="O37" s="10">
        <v>7.371485174039849E-3</v>
      </c>
      <c r="P37" s="10">
        <v>1.7981636642000476E-2</v>
      </c>
      <c r="Q37" s="10"/>
      <c r="R37" s="19">
        <v>-6.0455816917204253E-4</v>
      </c>
      <c r="S37" s="19">
        <v>2.8568560340875848E-3</v>
      </c>
      <c r="T37" s="19">
        <v>3.4257785065263668E-3</v>
      </c>
      <c r="U37" s="19">
        <v>7.0325116348035621E-4</v>
      </c>
      <c r="V37" s="19">
        <v>4.1641014824109757E-3</v>
      </c>
      <c r="W37" s="19">
        <v>3.5964278256648274E-3</v>
      </c>
    </row>
    <row r="38" spans="2:23" s="5" customFormat="1" outlineLevel="1" x14ac:dyDescent="0.15">
      <c r="B38" s="78">
        <v>2028</v>
      </c>
      <c r="C38" s="75">
        <v>9.2535855426356672E-3</v>
      </c>
      <c r="D38" s="75">
        <v>1.7447040275759829E-2</v>
      </c>
      <c r="E38" s="75">
        <v>8.1183310621768534E-3</v>
      </c>
      <c r="F38" s="75">
        <v>1.7320397203964166E-2</v>
      </c>
      <c r="G38" s="75">
        <v>2.5579340984771326E-2</v>
      </c>
      <c r="H38" s="75">
        <v>3.5069627147333637E-2</v>
      </c>
      <c r="J38" s="8">
        <v>2028</v>
      </c>
      <c r="K38" s="10">
        <v>1.7393231366394479E-2</v>
      </c>
      <c r="L38" s="10">
        <v>1.7545173380497214E-2</v>
      </c>
      <c r="M38" s="10">
        <v>1.4934443184633217E-4</v>
      </c>
      <c r="N38" s="10">
        <v>1.6261343947831408E-2</v>
      </c>
      <c r="O38" s="10">
        <v>1.6413116920850568E-2</v>
      </c>
      <c r="P38" s="10">
        <v>3.4091825427293054E-2</v>
      </c>
      <c r="Q38" s="10"/>
      <c r="R38" s="19">
        <v>-8.1396458237588121E-3</v>
      </c>
      <c r="S38" s="19">
        <v>-9.8133104737385679E-5</v>
      </c>
      <c r="T38" s="19">
        <v>7.9689866303305212E-3</v>
      </c>
      <c r="U38" s="19">
        <v>1.0590532561327581E-3</v>
      </c>
      <c r="V38" s="19">
        <v>9.1662240639207582E-3</v>
      </c>
      <c r="W38" s="19">
        <v>9.7780172004058308E-4</v>
      </c>
    </row>
    <row r="39" spans="2:23" s="5" customFormat="1" outlineLevel="1" x14ac:dyDescent="0.15">
      <c r="B39" s="78">
        <v>2029</v>
      </c>
      <c r="C39" s="75">
        <v>7.280565550106699E-3</v>
      </c>
      <c r="D39" s="75">
        <v>1.741367119603221E-2</v>
      </c>
      <c r="E39" s="75">
        <v>1.005986414558846E-2</v>
      </c>
      <c r="F39" s="75">
        <v>1.7632134644085529E-2</v>
      </c>
      <c r="G39" s="75">
        <v>2.7869375668790219E-2</v>
      </c>
      <c r="H39" s="75">
        <v>3.5352846035294094E-2</v>
      </c>
      <c r="J39" s="8">
        <v>2029</v>
      </c>
      <c r="K39" s="10">
        <v>7.8539627378730881E-3</v>
      </c>
      <c r="L39" s="10">
        <v>1.7459236440884762E-2</v>
      </c>
      <c r="M39" s="10">
        <v>9.5304221227827668E-3</v>
      </c>
      <c r="N39" s="10">
        <v>1.8100623297476748E-2</v>
      </c>
      <c r="O39" s="10">
        <v>2.7803552000970067E-2</v>
      </c>
      <c r="P39" s="10">
        <v>3.5875882800239456E-2</v>
      </c>
      <c r="Q39" s="10"/>
      <c r="R39" s="19">
        <v>-5.7339718776638904E-4</v>
      </c>
      <c r="S39" s="19">
        <v>-4.5565244852552311E-5</v>
      </c>
      <c r="T39" s="19">
        <v>5.2944202280569286E-4</v>
      </c>
      <c r="U39" s="19">
        <v>-4.6848865339121915E-4</v>
      </c>
      <c r="V39" s="19">
        <v>6.582366782015292E-5</v>
      </c>
      <c r="W39" s="19">
        <v>-5.2303676494536155E-4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AB89-B20F-4C3D-AFC6-37F2749007FB}">
  <sheetPr>
    <tabColor theme="4" tint="0.79998168889431442"/>
  </sheetPr>
  <dimension ref="B1:W54"/>
  <sheetViews>
    <sheetView zoomScale="150" zoomScaleNormal="150" workbookViewId="0">
      <selection sqref="A1:XFD1048576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44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325856.58959371585</v>
      </c>
      <c r="D5" s="74">
        <v>158764.73749453021</v>
      </c>
      <c r="E5" s="75">
        <v>0.48722273099488672</v>
      </c>
      <c r="F5" s="76" t="e">
        <v>#DIV/0!</v>
      </c>
      <c r="G5" s="76" t="e">
        <v>#DIV/0!</v>
      </c>
      <c r="H5" s="77" t="e">
        <v>#DIV/0!</v>
      </c>
      <c r="J5" s="4"/>
      <c r="K5" s="9">
        <v>325856.58959371585</v>
      </c>
      <c r="L5" s="9">
        <v>158764.73749453021</v>
      </c>
      <c r="M5" s="20">
        <v>0.48722273099488672</v>
      </c>
      <c r="N5" s="11" t="e">
        <v>#DIV/0!</v>
      </c>
      <c r="O5" s="11" t="e">
        <v>#DIV/0!</v>
      </c>
      <c r="P5" s="12" t="e">
        <v>#DIV/0!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328224.24579047685</v>
      </c>
      <c r="D6" s="74">
        <v>255051.62094975193</v>
      </c>
      <c r="E6" s="75">
        <v>0.77706514439693486</v>
      </c>
      <c r="F6" s="76">
        <v>154.3014761394158</v>
      </c>
      <c r="G6" s="76">
        <v>119.90229883693533</v>
      </c>
      <c r="H6" s="77">
        <v>14364517185.568575</v>
      </c>
      <c r="J6" s="4"/>
      <c r="K6" s="9">
        <v>328224.24579047685</v>
      </c>
      <c r="L6" s="9">
        <v>255051.62094975193</v>
      </c>
      <c r="M6" s="20">
        <v>0.77706514439693486</v>
      </c>
      <c r="N6" s="11">
        <v>154.3014761394158</v>
      </c>
      <c r="O6" s="11">
        <v>119.90229883693533</v>
      </c>
      <c r="P6" s="12">
        <v>14364517185.568575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330151.25</v>
      </c>
      <c r="D7" s="74">
        <v>261461.16032709531</v>
      </c>
      <c r="E7" s="75">
        <v>0.79194357230843526</v>
      </c>
      <c r="F7" s="76">
        <v>166.22049002235789</v>
      </c>
      <c r="G7" s="76">
        <v>131.63724865916473</v>
      </c>
      <c r="H7" s="77">
        <v>15862973799.855183</v>
      </c>
      <c r="J7" s="4"/>
      <c r="K7" s="9">
        <v>330151.25</v>
      </c>
      <c r="L7" s="9">
        <v>261461.16032709531</v>
      </c>
      <c r="M7" s="20">
        <v>0.79194357230843526</v>
      </c>
      <c r="N7" s="11">
        <v>166.22049002235789</v>
      </c>
      <c r="O7" s="11">
        <v>131.63724865916473</v>
      </c>
      <c r="P7" s="12">
        <v>15862973799.855183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332995.16666666663</v>
      </c>
      <c r="D8" s="74">
        <v>264686.39169326716</v>
      </c>
      <c r="E8" s="75">
        <v>0.79486556619670812</v>
      </c>
      <c r="F8" s="76">
        <v>175.78716016652444</v>
      </c>
      <c r="G8" s="76">
        <v>139.72716059587586</v>
      </c>
      <c r="H8" s="77">
        <v>16982891232.626577</v>
      </c>
      <c r="J8" s="4"/>
      <c r="K8" s="9">
        <v>332995.16666666663</v>
      </c>
      <c r="L8" s="9">
        <v>264686.39169326716</v>
      </c>
      <c r="M8" s="20">
        <v>0.79486556619670812</v>
      </c>
      <c r="N8" s="11">
        <v>175.78716016652444</v>
      </c>
      <c r="O8" s="11">
        <v>139.72716059587586</v>
      </c>
      <c r="P8" s="12">
        <v>16982891232.626577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337962.75</v>
      </c>
      <c r="D9" s="74">
        <v>266779.15692633507</v>
      </c>
      <c r="E9" s="75">
        <v>0.78937444119606393</v>
      </c>
      <c r="F9" s="76">
        <v>179.09453452722602</v>
      </c>
      <c r="G9" s="76">
        <v>141.37264811369826</v>
      </c>
      <c r="H9" s="77">
        <v>17439221459.920036</v>
      </c>
      <c r="J9" s="4"/>
      <c r="K9" s="9">
        <v>337962.75</v>
      </c>
      <c r="L9" s="9">
        <v>266779.15692633507</v>
      </c>
      <c r="M9" s="20">
        <v>0.78937444119606393</v>
      </c>
      <c r="N9" s="11">
        <v>179.09453452722602</v>
      </c>
      <c r="O9" s="11">
        <v>141.37264811369826</v>
      </c>
      <c r="P9" s="12">
        <v>17439221459.920036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343724.66666666669</v>
      </c>
      <c r="D10" s="74">
        <v>271404.72814900131</v>
      </c>
      <c r="E10" s="75">
        <v>0.78959921841222125</v>
      </c>
      <c r="F10" s="76">
        <v>186.1715249292354</v>
      </c>
      <c r="G10" s="76">
        <v>147.00089057473568</v>
      </c>
      <c r="H10" s="77">
        <v>18442658721.064018</v>
      </c>
      <c r="J10" s="4"/>
      <c r="K10" s="9">
        <v>343724.66666666669</v>
      </c>
      <c r="L10" s="9">
        <v>271404.72814900131</v>
      </c>
      <c r="M10" s="20">
        <v>0.78959921841222125</v>
      </c>
      <c r="N10" s="11">
        <v>186.1715249292354</v>
      </c>
      <c r="O10" s="11">
        <v>147.00089057473568</v>
      </c>
      <c r="P10" s="12">
        <v>18442658721.064018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354151.25</v>
      </c>
      <c r="D11" s="74">
        <v>278551.11220900004</v>
      </c>
      <c r="E11" s="75">
        <v>0.78653149525520538</v>
      </c>
      <c r="F11" s="76">
        <v>185.86268910722123</v>
      </c>
      <c r="G11" s="76">
        <v>146.18685877565608</v>
      </c>
      <c r="H11" s="77">
        <v>18896874450.674805</v>
      </c>
      <c r="J11" s="8">
        <v>2019</v>
      </c>
      <c r="K11" s="9">
        <v>354151.25</v>
      </c>
      <c r="L11" s="9">
        <v>278551.11220900004</v>
      </c>
      <c r="M11" s="20">
        <v>0.78653149525520538</v>
      </c>
      <c r="N11" s="11">
        <v>185.86268910722123</v>
      </c>
      <c r="O11" s="11">
        <v>146.18685877565608</v>
      </c>
      <c r="P11" s="12">
        <v>18896874450.674805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322574</v>
      </c>
      <c r="D12" s="74">
        <v>150621.69459716664</v>
      </c>
      <c r="E12" s="75">
        <v>0.46693687215078289</v>
      </c>
      <c r="F12" s="76">
        <v>140.32627250473857</v>
      </c>
      <c r="G12" s="76">
        <v>65.523510763941033</v>
      </c>
      <c r="H12" s="77">
        <v>7714706050.8261433</v>
      </c>
      <c r="J12" s="8">
        <v>2020</v>
      </c>
      <c r="K12" s="9">
        <v>322574</v>
      </c>
      <c r="L12" s="9">
        <v>150621.69459716664</v>
      </c>
      <c r="M12" s="20">
        <v>0.46693687215078289</v>
      </c>
      <c r="N12" s="11">
        <v>140.32627250473857</v>
      </c>
      <c r="O12" s="11">
        <v>65.523510763941033</v>
      </c>
      <c r="P12" s="12">
        <v>7714706050.8261433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345797.16666666669</v>
      </c>
      <c r="D13" s="74">
        <v>202174.56976929074</v>
      </c>
      <c r="E13" s="75">
        <v>0.58466230859600465</v>
      </c>
      <c r="F13" s="76">
        <v>159.86598269350583</v>
      </c>
      <c r="G13" s="76">
        <v>93.46761450755406</v>
      </c>
      <c r="H13" s="77">
        <v>11797105239.208614</v>
      </c>
      <c r="J13" s="8">
        <v>2021</v>
      </c>
      <c r="K13" s="9">
        <v>345797.16666666669</v>
      </c>
      <c r="L13" s="9">
        <v>202174.56976929074</v>
      </c>
      <c r="M13" s="20">
        <v>0.58466230859600465</v>
      </c>
      <c r="N13" s="11">
        <v>159.86598269350583</v>
      </c>
      <c r="O13" s="11">
        <v>93.46761450755406</v>
      </c>
      <c r="P13" s="12">
        <v>11797105239.208614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362946.41666666663</v>
      </c>
      <c r="D14" s="74">
        <v>249151.45446630646</v>
      </c>
      <c r="E14" s="75">
        <v>0.68646897455149547</v>
      </c>
      <c r="F14" s="76">
        <v>197.94388042036431</v>
      </c>
      <c r="G14" s="76">
        <v>135.88233261091133</v>
      </c>
      <c r="H14" s="77">
        <v>18001072083.945019</v>
      </c>
      <c r="J14" s="8">
        <v>2022</v>
      </c>
      <c r="K14" s="9">
        <v>362946.41666666663</v>
      </c>
      <c r="L14" s="9">
        <v>249151.45446630646</v>
      </c>
      <c r="M14" s="20">
        <v>0.68646897455149547</v>
      </c>
      <c r="N14" s="11">
        <v>197.94388042036431</v>
      </c>
      <c r="O14" s="11">
        <v>135.88233261091133</v>
      </c>
      <c r="P14" s="12">
        <v>18001072083.945019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367897.04838709679</v>
      </c>
      <c r="D15" s="74">
        <v>255187.67569422972</v>
      </c>
      <c r="E15" s="75">
        <v>0.69363882317893555</v>
      </c>
      <c r="F15" s="76">
        <v>206.39232287282559</v>
      </c>
      <c r="G15" s="76">
        <v>143.16172795067362</v>
      </c>
      <c r="H15" s="77">
        <v>19224103661.593018</v>
      </c>
      <c r="J15" s="8">
        <v>2023</v>
      </c>
      <c r="K15" s="9">
        <v>367897.04838709679</v>
      </c>
      <c r="L15" s="9">
        <v>255187.67569422972</v>
      </c>
      <c r="M15" s="20">
        <v>0.69363882317893555</v>
      </c>
      <c r="N15" s="11">
        <v>206.39232287282559</v>
      </c>
      <c r="O15" s="11">
        <v>143.16172795067362</v>
      </c>
      <c r="P15" s="12">
        <v>19224103661.593018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369223.08333333337</v>
      </c>
      <c r="D16" s="74">
        <v>258085.30056963646</v>
      </c>
      <c r="E16" s="75">
        <v>0.69899557264852241</v>
      </c>
      <c r="F16" s="76">
        <v>200.39062240530373</v>
      </c>
      <c r="G16" s="76">
        <v>140.07215786158909</v>
      </c>
      <c r="H16" s="77">
        <v>18877024015.405407</v>
      </c>
      <c r="J16" s="8">
        <v>2024</v>
      </c>
      <c r="K16" s="9">
        <v>369223.08333333337</v>
      </c>
      <c r="L16" s="9">
        <v>258085.30056963646</v>
      </c>
      <c r="M16" s="20">
        <v>0.69899557264852241</v>
      </c>
      <c r="N16" s="11">
        <v>200.39062240530373</v>
      </c>
      <c r="O16" s="11">
        <v>140.07215786158909</v>
      </c>
      <c r="P16" s="12">
        <v>18877024015.405407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369595.33333333331</v>
      </c>
      <c r="D17" s="74">
        <v>259775.85496760526</v>
      </c>
      <c r="E17" s="75">
        <v>0.70286562501944994</v>
      </c>
      <c r="F17" s="76">
        <v>203.35706823591244</v>
      </c>
      <c r="G17" s="76">
        <v>142.93269286775754</v>
      </c>
      <c r="H17" s="77">
        <v>19281948536.611774</v>
      </c>
      <c r="J17" s="8">
        <v>2025</v>
      </c>
      <c r="K17" s="9">
        <v>369595.33333333331</v>
      </c>
      <c r="L17" s="9">
        <v>259775.85496760526</v>
      </c>
      <c r="M17" s="20">
        <v>0.70286562501944994</v>
      </c>
      <c r="N17" s="11">
        <v>203.35706823591244</v>
      </c>
      <c r="O17" s="11">
        <v>142.93269286775754</v>
      </c>
      <c r="P17" s="12">
        <v>19281948536.611774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367105.5</v>
      </c>
      <c r="D18" s="74">
        <v>268778.19460977858</v>
      </c>
      <c r="E18" s="75">
        <v>0.73215518320967288</v>
      </c>
      <c r="F18" s="76">
        <v>214.69423254576537</v>
      </c>
      <c r="G18" s="76">
        <v>157.18949516360499</v>
      </c>
      <c r="H18" s="77">
        <v>21062371799.125717</v>
      </c>
      <c r="J18" s="8">
        <v>2026</v>
      </c>
      <c r="K18" s="9">
        <v>368380.75</v>
      </c>
      <c r="L18" s="9">
        <v>265739.91547653964</v>
      </c>
      <c r="M18" s="20">
        <v>0.72137296934364681</v>
      </c>
      <c r="N18" s="11">
        <v>210.16873410737617</v>
      </c>
      <c r="O18" s="11">
        <v>151.61004378623335</v>
      </c>
      <c r="P18" s="12">
        <v>20385330897.689499</v>
      </c>
      <c r="Q18" s="9"/>
      <c r="R18" s="22">
        <v>-1275.25</v>
      </c>
      <c r="S18" s="22">
        <v>3038.2791332389461</v>
      </c>
      <c r="T18" s="21">
        <v>1.0782213866026069E-2</v>
      </c>
      <c r="U18" s="23">
        <v>4.5254984383892065</v>
      </c>
      <c r="V18" s="23">
        <v>5.5794513773716403</v>
      </c>
      <c r="W18" s="24">
        <v>677040901.43621826</v>
      </c>
    </row>
    <row r="19" spans="2:23" s="5" customFormat="1" outlineLevel="1" x14ac:dyDescent="0.15">
      <c r="B19" s="78">
        <v>2027</v>
      </c>
      <c r="C19" s="74">
        <v>370162.15833333327</v>
      </c>
      <c r="D19" s="74">
        <v>271205.81241634989</v>
      </c>
      <c r="E19" s="75">
        <v>0.73266757908875013</v>
      </c>
      <c r="F19" s="76">
        <v>216.85839338891986</v>
      </c>
      <c r="G19" s="76">
        <v>158.88511408933573</v>
      </c>
      <c r="H19" s="77">
        <v>21466838716.79644</v>
      </c>
      <c r="J19" s="8">
        <v>2027</v>
      </c>
      <c r="K19" s="9">
        <v>371096.3833333333</v>
      </c>
      <c r="L19" s="9">
        <v>267208.53960321483</v>
      </c>
      <c r="M19" s="20">
        <v>0.7200515866068079</v>
      </c>
      <c r="N19" s="11">
        <v>212.28706605887777</v>
      </c>
      <c r="O19" s="11">
        <v>152.85763873179917</v>
      </c>
      <c r="P19" s="12">
        <v>20704594667.859032</v>
      </c>
      <c r="Q19" s="9"/>
      <c r="R19" s="22">
        <v>-934.22500000003492</v>
      </c>
      <c r="S19" s="22">
        <v>3997.2728131350596</v>
      </c>
      <c r="T19" s="21">
        <v>1.2615992481942229E-2</v>
      </c>
      <c r="U19" s="23">
        <v>4.5713273300420951</v>
      </c>
      <c r="V19" s="23">
        <v>6.0274753575365594</v>
      </c>
      <c r="W19" s="24">
        <v>762244048.93740845</v>
      </c>
    </row>
    <row r="20" spans="2:23" s="5" customFormat="1" outlineLevel="1" x14ac:dyDescent="0.15">
      <c r="B20" s="78">
        <v>2028</v>
      </c>
      <c r="C20" s="74">
        <v>372893.1805555555</v>
      </c>
      <c r="D20" s="74">
        <v>276204.50968960312</v>
      </c>
      <c r="E20" s="75">
        <v>0.74070678706995763</v>
      </c>
      <c r="F20" s="76">
        <v>220.6143073280131</v>
      </c>
      <c r="G20" s="76">
        <v>163.41051476259679</v>
      </c>
      <c r="H20" s="77">
        <v>22241153303.906525</v>
      </c>
      <c r="J20" s="8">
        <v>2028</v>
      </c>
      <c r="K20" s="9">
        <v>375862.69999999995</v>
      </c>
      <c r="L20" s="9">
        <v>272073.67915508838</v>
      </c>
      <c r="M20" s="20">
        <v>0.72386453658500405</v>
      </c>
      <c r="N20" s="11">
        <v>215.68109633204293</v>
      </c>
      <c r="O20" s="11">
        <v>156.12389684653988</v>
      </c>
      <c r="P20" s="12">
        <v>21418619532.190613</v>
      </c>
      <c r="Q20" s="9"/>
      <c r="R20" s="22">
        <v>-2969.5194444444496</v>
      </c>
      <c r="S20" s="22">
        <v>4130.8305345147382</v>
      </c>
      <c r="T20" s="21">
        <v>1.684225048495358E-2</v>
      </c>
      <c r="U20" s="23">
        <v>4.9332109959701711</v>
      </c>
      <c r="V20" s="23">
        <v>7.2866179160569118</v>
      </c>
      <c r="W20" s="24">
        <v>822533771.71591187</v>
      </c>
    </row>
    <row r="21" spans="2:23" s="5" customFormat="1" outlineLevel="1" x14ac:dyDescent="0.15">
      <c r="B21" s="78">
        <v>2029</v>
      </c>
      <c r="C21" s="74">
        <v>374780.26479130995</v>
      </c>
      <c r="D21" s="74">
        <v>281157.38645397092</v>
      </c>
      <c r="E21" s="75">
        <v>0.75019261382540692</v>
      </c>
      <c r="F21" s="76">
        <v>224.68068676881651</v>
      </c>
      <c r="G21" s="76">
        <v>168.55379168318595</v>
      </c>
      <c r="H21" s="77">
        <v>23057281657.690361</v>
      </c>
      <c r="J21" s="8">
        <v>2029</v>
      </c>
      <c r="K21" s="9">
        <v>378094.56285293883</v>
      </c>
      <c r="L21" s="9">
        <v>276952.68416177918</v>
      </c>
      <c r="M21" s="20">
        <v>0.73249581287816845</v>
      </c>
      <c r="N21" s="11">
        <v>219.68223332542772</v>
      </c>
      <c r="O21" s="11">
        <v>160.91631607460062</v>
      </c>
      <c r="P21" s="12">
        <v>22207178226.477982</v>
      </c>
      <c r="Q21" s="9"/>
      <c r="R21" s="22">
        <v>-3314.2980616288842</v>
      </c>
      <c r="S21" s="22">
        <v>4204.7022921917378</v>
      </c>
      <c r="T21" s="21">
        <v>1.7696800947238467E-2</v>
      </c>
      <c r="U21" s="23">
        <v>4.9984534433887973</v>
      </c>
      <c r="V21" s="23">
        <v>7.6374756085853335</v>
      </c>
      <c r="W21" s="24">
        <v>850103431.21237946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/>
      <c r="D24" s="75"/>
      <c r="E24" s="75"/>
      <c r="F24" s="75"/>
      <c r="G24" s="75"/>
      <c r="H24" s="75"/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/>
      <c r="D25" s="75"/>
      <c r="E25" s="75"/>
      <c r="F25" s="75"/>
      <c r="G25" s="75"/>
      <c r="H25" s="75"/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/>
      <c r="D26" s="75"/>
      <c r="E26" s="75"/>
      <c r="F26" s="75"/>
      <c r="G26" s="75"/>
      <c r="H26" s="75"/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/>
      <c r="D27" s="75"/>
      <c r="E27" s="75"/>
      <c r="F27" s="75"/>
      <c r="G27" s="75"/>
      <c r="H27" s="75"/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/>
      <c r="D28" s="75"/>
      <c r="E28" s="75"/>
      <c r="F28" s="75"/>
      <c r="G28" s="75"/>
      <c r="H28" s="75"/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3.0334114320182515E-2</v>
      </c>
      <c r="D29" s="75">
        <v>2.6331096398863663E-2</v>
      </c>
      <c r="E29" s="75">
        <v>-3.8851648855284804E-3</v>
      </c>
      <c r="F29" s="75">
        <v>-1.6588778661590364E-3</v>
      </c>
      <c r="G29" s="75">
        <v>-5.5375977376528329E-3</v>
      </c>
      <c r="H29" s="75">
        <v>2.4628538459696703E-2</v>
      </c>
      <c r="J29" s="8">
        <v>2019</v>
      </c>
      <c r="K29" s="10">
        <v>3.0334114320182515E-2</v>
      </c>
      <c r="L29" s="10">
        <v>2.6331096398863663E-2</v>
      </c>
      <c r="M29" s="10">
        <v>-3.8851648855284804E-3</v>
      </c>
      <c r="N29" s="10">
        <v>-1.6588778661590364E-3</v>
      </c>
      <c r="O29" s="10">
        <v>-5.5375977376528329E-3</v>
      </c>
      <c r="P29" s="10">
        <v>2.4628538459696703E-2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-8.9163175338220602E-2</v>
      </c>
      <c r="D30" s="75">
        <v>-0.45926730142023819</v>
      </c>
      <c r="E30" s="75">
        <v>-0.40633417101844582</v>
      </c>
      <c r="F30" s="75">
        <v>-0.24500031082738416</v>
      </c>
      <c r="G30" s="75">
        <v>-0.55178248364652327</v>
      </c>
      <c r="H30" s="75">
        <v>-0.59174698064680997</v>
      </c>
      <c r="J30" s="8">
        <v>2020</v>
      </c>
      <c r="K30" s="10">
        <v>-8.9163175338220602E-2</v>
      </c>
      <c r="L30" s="10">
        <v>-0.45926730142023819</v>
      </c>
      <c r="M30" s="10">
        <v>-0.40633417101844582</v>
      </c>
      <c r="N30" s="10">
        <v>-0.24500031082738416</v>
      </c>
      <c r="O30" s="10">
        <v>-0.55178248364652327</v>
      </c>
      <c r="P30" s="10">
        <v>-0.59174698064680997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7.1993299728641214E-2</v>
      </c>
      <c r="D31" s="75">
        <v>0.34226726309248323</v>
      </c>
      <c r="E31" s="75">
        <v>0.25212281031258099</v>
      </c>
      <c r="F31" s="75">
        <v>0.13924484588662778</v>
      </c>
      <c r="G31" s="75">
        <v>0.42647445806568807</v>
      </c>
      <c r="H31" s="75">
        <v>0.52917106128046187</v>
      </c>
      <c r="J31" s="8">
        <v>2021</v>
      </c>
      <c r="K31" s="10">
        <v>7.1993299728641214E-2</v>
      </c>
      <c r="L31" s="10">
        <v>0.34226726309248323</v>
      </c>
      <c r="M31" s="10">
        <v>0.25212281031258099</v>
      </c>
      <c r="N31" s="10">
        <v>0.13924484588662778</v>
      </c>
      <c r="O31" s="10">
        <v>0.42647445806568807</v>
      </c>
      <c r="P31" s="10">
        <v>0.52917106128046187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4.9593379163025642E-2</v>
      </c>
      <c r="D32" s="75">
        <v>0.23235802974935416</v>
      </c>
      <c r="E32" s="75">
        <v>0.17412900482667881</v>
      </c>
      <c r="F32" s="75">
        <v>0.2381863676393321</v>
      </c>
      <c r="G32" s="75">
        <v>0.45379052762632899</v>
      </c>
      <c r="H32" s="75">
        <v>0.52588891248651648</v>
      </c>
      <c r="J32" s="8">
        <v>2022</v>
      </c>
      <c r="K32" s="10">
        <v>4.9593379163025642E-2</v>
      </c>
      <c r="L32" s="10">
        <v>0.23235802974935416</v>
      </c>
      <c r="M32" s="10">
        <v>0.17412900482667881</v>
      </c>
      <c r="N32" s="10">
        <v>0.2381863676393321</v>
      </c>
      <c r="O32" s="10">
        <v>0.45379052762632899</v>
      </c>
      <c r="P32" s="10">
        <v>0.52588891248651648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1.3640117364698723E-2</v>
      </c>
      <c r="D33" s="75">
        <v>2.4227116156528616E-2</v>
      </c>
      <c r="E33" s="75">
        <v>1.044453412060542E-2</v>
      </c>
      <c r="F33" s="75">
        <v>4.2680998445214335E-2</v>
      </c>
      <c r="G33" s="75">
        <v>5.3571315710382095E-2</v>
      </c>
      <c r="H33" s="75">
        <v>6.7942152108751763E-2</v>
      </c>
      <c r="J33" s="8">
        <v>2023</v>
      </c>
      <c r="K33" s="10">
        <v>1.3640117364698723E-2</v>
      </c>
      <c r="L33" s="10">
        <v>2.4227116156528616E-2</v>
      </c>
      <c r="M33" s="10">
        <v>1.044453412060542E-2</v>
      </c>
      <c r="N33" s="10">
        <v>4.2680998445214335E-2</v>
      </c>
      <c r="O33" s="10">
        <v>5.3571315710382095E-2</v>
      </c>
      <c r="P33" s="10">
        <v>6.7942152108751763E-2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3.604364188432907E-3</v>
      </c>
      <c r="D34" s="75">
        <v>1.1354877807181918E-2</v>
      </c>
      <c r="E34" s="75">
        <v>7.7226782737405131E-3</v>
      </c>
      <c r="F34" s="75">
        <v>-2.9079087748917765E-2</v>
      </c>
      <c r="G34" s="75">
        <v>-2.1580977914355981E-2</v>
      </c>
      <c r="H34" s="75">
        <v>-1.8054399429869195E-2</v>
      </c>
      <c r="J34" s="8">
        <v>2024</v>
      </c>
      <c r="K34" s="10">
        <v>3.604364188432907E-3</v>
      </c>
      <c r="L34" s="10">
        <v>1.1354877807181918E-2</v>
      </c>
      <c r="M34" s="10">
        <v>7.7226782737405131E-3</v>
      </c>
      <c r="N34" s="10">
        <v>-2.9079087748917765E-2</v>
      </c>
      <c r="O34" s="10">
        <v>-2.1580977914355981E-2</v>
      </c>
      <c r="P34" s="10">
        <v>-1.8054399429869195E-2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1.0081980699561122E-3</v>
      </c>
      <c r="D35" s="75">
        <v>6.550370727187893E-3</v>
      </c>
      <c r="E35" s="75">
        <v>5.5365906771966955E-3</v>
      </c>
      <c r="F35" s="75">
        <v>1.4803316617325812E-2</v>
      </c>
      <c r="G35" s="75">
        <v>2.0421867199297727E-2</v>
      </c>
      <c r="H35" s="75">
        <v>2.1450654556349091E-2</v>
      </c>
      <c r="J35" s="8">
        <v>2025</v>
      </c>
      <c r="K35" s="10">
        <v>1.0081980699561122E-3</v>
      </c>
      <c r="L35" s="10">
        <v>6.550370727187893E-3</v>
      </c>
      <c r="M35" s="10">
        <v>5.5365906771966955E-3</v>
      </c>
      <c r="N35" s="10">
        <v>1.4803316617325812E-2</v>
      </c>
      <c r="O35" s="10">
        <v>2.0421867199297727E-2</v>
      </c>
      <c r="P35" s="10">
        <v>2.1450654556349091E-2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-6.7366471077375811E-3</v>
      </c>
      <c r="D36" s="75">
        <v>3.4654258546453098E-2</v>
      </c>
      <c r="E36" s="75">
        <v>4.1671632738352171E-2</v>
      </c>
      <c r="F36" s="75">
        <v>5.575003813833912E-2</v>
      </c>
      <c r="G36" s="75">
        <v>9.9744865991141518E-2</v>
      </c>
      <c r="H36" s="75">
        <v>9.233627292041291E-2</v>
      </c>
      <c r="J36" s="8">
        <v>2026</v>
      </c>
      <c r="K36" s="10">
        <v>-3.286251810538654E-3</v>
      </c>
      <c r="L36" s="10">
        <v>2.2958486691067259E-2</v>
      </c>
      <c r="M36" s="10">
        <v>2.6331269684279679E-2</v>
      </c>
      <c r="N36" s="10">
        <v>3.3496086123554702E-2</v>
      </c>
      <c r="O36" s="10">
        <v>6.0709350284921637E-2</v>
      </c>
      <c r="P36" s="10">
        <v>5.7223592262092504E-2</v>
      </c>
      <c r="Q36" s="10"/>
      <c r="R36" s="19">
        <v>-3.4503952971989271E-3</v>
      </c>
      <c r="S36" s="19">
        <v>1.1695771855385839E-2</v>
      </c>
      <c r="T36" s="19">
        <v>1.5340363054072492E-2</v>
      </c>
      <c r="U36" s="19">
        <v>2.2253952014784417E-2</v>
      </c>
      <c r="V36" s="19">
        <v>3.9035515706219881E-2</v>
      </c>
      <c r="W36" s="19">
        <v>3.5112680658320405E-2</v>
      </c>
    </row>
    <row r="37" spans="2:23" s="5" customFormat="1" outlineLevel="1" x14ac:dyDescent="0.15">
      <c r="B37" s="78">
        <v>2027</v>
      </c>
      <c r="C37" s="75">
        <v>8.3263757512030967E-3</v>
      </c>
      <c r="D37" s="75">
        <v>9.0320489357249567E-3</v>
      </c>
      <c r="E37" s="75">
        <v>6.9984600372685613E-4</v>
      </c>
      <c r="F37" s="75">
        <v>1.0080200187460475E-2</v>
      </c>
      <c r="G37" s="75">
        <v>1.0787100779005021E-2</v>
      </c>
      <c r="H37" s="75">
        <v>1.9203293984560332E-2</v>
      </c>
      <c r="J37" s="8">
        <v>2027</v>
      </c>
      <c r="K37" s="10">
        <v>7.3718111853926516E-3</v>
      </c>
      <c r="L37" s="10">
        <v>5.5265469774894438E-3</v>
      </c>
      <c r="M37" s="10">
        <v>-1.8317608130523633E-3</v>
      </c>
      <c r="N37" s="10">
        <v>1.0079196415673009E-2</v>
      </c>
      <c r="O37" s="10">
        <v>8.2289729255990984E-3</v>
      </c>
      <c r="P37" s="10">
        <v>1.5661446545649049E-2</v>
      </c>
      <c r="Q37" s="10"/>
      <c r="R37" s="19">
        <v>9.5456456581044513E-4</v>
      </c>
      <c r="S37" s="19">
        <v>3.5055019582355129E-3</v>
      </c>
      <c r="T37" s="19">
        <v>2.5316068167792194E-3</v>
      </c>
      <c r="U37" s="19">
        <v>1.0037717874666896E-6</v>
      </c>
      <c r="V37" s="19">
        <v>2.5581278534059226E-3</v>
      </c>
      <c r="W37" s="19">
        <v>3.5418474389112831E-3</v>
      </c>
    </row>
    <row r="38" spans="2:23" s="5" customFormat="1" outlineLevel="1" x14ac:dyDescent="0.15">
      <c r="B38" s="78">
        <v>2028</v>
      </c>
      <c r="C38" s="75">
        <v>7.3779076567921376E-3</v>
      </c>
      <c r="D38" s="75">
        <v>1.8431379581125285E-2</v>
      </c>
      <c r="E38" s="75">
        <v>1.0972517701965501E-2</v>
      </c>
      <c r="F38" s="75">
        <v>1.731966137163643E-2</v>
      </c>
      <c r="G38" s="75">
        <v>2.8482219364594386E-2</v>
      </c>
      <c r="H38" s="75">
        <v>3.607026620571907E-2</v>
      </c>
      <c r="J38" s="8">
        <v>2028</v>
      </c>
      <c r="K38" s="10">
        <v>1.2843877980846186E-2</v>
      </c>
      <c r="L38" s="10">
        <v>1.8207275707198267E-2</v>
      </c>
      <c r="M38" s="10">
        <v>5.295384454556018E-3</v>
      </c>
      <c r="N38" s="10">
        <v>1.5987927744141706E-2</v>
      </c>
      <c r="O38" s="10">
        <v>2.1367974422734637E-2</v>
      </c>
      <c r="P38" s="10">
        <v>3.4486300059764163E-2</v>
      </c>
      <c r="Q38" s="10"/>
      <c r="R38" s="19">
        <v>-5.465970324054048E-3</v>
      </c>
      <c r="S38" s="19">
        <v>2.2410387392701736E-4</v>
      </c>
      <c r="T38" s="19">
        <v>5.6771332474094827E-3</v>
      </c>
      <c r="U38" s="19">
        <v>1.3317336274947245E-3</v>
      </c>
      <c r="V38" s="19">
        <v>7.1142449418597486E-3</v>
      </c>
      <c r="W38" s="19">
        <v>1.583966145954907E-3</v>
      </c>
    </row>
    <row r="39" spans="2:23" s="5" customFormat="1" outlineLevel="1" x14ac:dyDescent="0.15">
      <c r="B39" s="78">
        <v>2029</v>
      </c>
      <c r="C39" s="75">
        <v>5.0606563331165866E-3</v>
      </c>
      <c r="D39" s="75">
        <v>1.7931918526362223E-2</v>
      </c>
      <c r="E39" s="75">
        <v>1.2806453135082885E-2</v>
      </c>
      <c r="F39" s="75">
        <v>1.8432074918683483E-2</v>
      </c>
      <c r="G39" s="75">
        <v>3.1474577557394801E-2</v>
      </c>
      <c r="H39" s="75">
        <v>3.6694515910759451E-2</v>
      </c>
      <c r="J39" s="8">
        <v>2029</v>
      </c>
      <c r="K39" s="10">
        <v>5.9379737679181588E-3</v>
      </c>
      <c r="L39" s="10">
        <v>1.7932660821297741E-2</v>
      </c>
      <c r="M39" s="10">
        <v>1.1923883346854458E-2</v>
      </c>
      <c r="N39" s="10">
        <v>1.8551171435186919E-2</v>
      </c>
      <c r="O39" s="10">
        <v>3.0696256786181708E-2</v>
      </c>
      <c r="P39" s="10">
        <v>3.6816504121669702E-2</v>
      </c>
      <c r="Q39" s="10"/>
      <c r="R39" s="19">
        <v>-8.773174348015722E-4</v>
      </c>
      <c r="S39" s="19">
        <v>-7.422949355184727E-7</v>
      </c>
      <c r="T39" s="19">
        <v>8.8256978822842669E-4</v>
      </c>
      <c r="U39" s="19">
        <v>-1.1909651650343633E-4</v>
      </c>
      <c r="V39" s="19">
        <v>7.783207712130924E-4</v>
      </c>
      <c r="W39" s="19">
        <v>-1.2198821091025103E-4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2" spans="2:23" x14ac:dyDescent="0.15">
      <c r="B42" s="1" t="s">
        <v>22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738C-6F08-44AE-9AD5-7A5386BD33CF}">
  <sheetPr>
    <tabColor theme="4" tint="0.79998168889431442"/>
  </sheetPr>
  <dimension ref="B1:W54"/>
  <sheetViews>
    <sheetView zoomScale="150" zoomScaleNormal="150" workbookViewId="0">
      <selection sqref="A1:XFD1048576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43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174711.24373961746</v>
      </c>
      <c r="D5" s="74">
        <v>107076.70947172173</v>
      </c>
      <c r="E5" s="75">
        <v>0.6128781821924667</v>
      </c>
      <c r="F5" s="76" t="e">
        <v>#DIV/0!</v>
      </c>
      <c r="G5" s="76" t="e">
        <v>#DIV/0!</v>
      </c>
      <c r="H5" s="77" t="e">
        <v>#DIV/0!</v>
      </c>
      <c r="J5" s="4"/>
      <c r="K5" s="9">
        <v>174711.24373961746</v>
      </c>
      <c r="L5" s="9">
        <v>107076.70947172173</v>
      </c>
      <c r="M5" s="20">
        <v>0.6128781821924667</v>
      </c>
      <c r="N5" s="11" t="e">
        <v>#DIV/0!</v>
      </c>
      <c r="O5" s="11" t="e">
        <v>#DIV/0!</v>
      </c>
      <c r="P5" s="12" t="e">
        <v>#DIV/0!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175757.50420952315</v>
      </c>
      <c r="D6" s="74">
        <v>111062.60666593147</v>
      </c>
      <c r="E6" s="75">
        <v>0.6319081917181304</v>
      </c>
      <c r="F6" s="76">
        <v>107.48440160756429</v>
      </c>
      <c r="G6" s="76">
        <v>67.92027385774125</v>
      </c>
      <c r="H6" s="77">
        <v>4357186703.7393322</v>
      </c>
      <c r="J6" s="4"/>
      <c r="K6" s="9">
        <v>175757.50420952315</v>
      </c>
      <c r="L6" s="9">
        <v>111062.60666593147</v>
      </c>
      <c r="M6" s="20">
        <v>0.6319081917181304</v>
      </c>
      <c r="N6" s="11">
        <v>107.48440160756429</v>
      </c>
      <c r="O6" s="11">
        <v>67.92027385774125</v>
      </c>
      <c r="P6" s="12">
        <v>4357186703.7393322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175989.66666666669</v>
      </c>
      <c r="D7" s="74">
        <v>116687.60696008656</v>
      </c>
      <c r="E7" s="75">
        <v>0.66303669510948493</v>
      </c>
      <c r="F7" s="76">
        <v>113.03298573053078</v>
      </c>
      <c r="G7" s="76">
        <v>74.9450172971287</v>
      </c>
      <c r="H7" s="77">
        <v>4814185243.5439758</v>
      </c>
      <c r="J7" s="4"/>
      <c r="K7" s="9">
        <v>175989.66666666669</v>
      </c>
      <c r="L7" s="9">
        <v>116687.60696008656</v>
      </c>
      <c r="M7" s="20">
        <v>0.66303669510948493</v>
      </c>
      <c r="N7" s="11">
        <v>113.03298573053078</v>
      </c>
      <c r="O7" s="11">
        <v>74.9450172971287</v>
      </c>
      <c r="P7" s="12">
        <v>4814185243.5439758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176337.16666666669</v>
      </c>
      <c r="D8" s="74">
        <v>119135.48182690056</v>
      </c>
      <c r="E8" s="75">
        <v>0.67561186378878657</v>
      </c>
      <c r="F8" s="76">
        <v>119.61483157407238</v>
      </c>
      <c r="G8" s="76">
        <v>80.81319929654083</v>
      </c>
      <c r="H8" s="77">
        <v>5201385266.5255451</v>
      </c>
      <c r="J8" s="4"/>
      <c r="K8" s="9">
        <v>176337.16666666669</v>
      </c>
      <c r="L8" s="9">
        <v>119135.48182690056</v>
      </c>
      <c r="M8" s="20">
        <v>0.67561186378878657</v>
      </c>
      <c r="N8" s="11">
        <v>119.61483157407238</v>
      </c>
      <c r="O8" s="11">
        <v>80.81319929654083</v>
      </c>
      <c r="P8" s="12">
        <v>5201385266.5255451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177131.83333333331</v>
      </c>
      <c r="D9" s="74">
        <v>121423.81233560183</v>
      </c>
      <c r="E9" s="75">
        <v>0.68549966457526557</v>
      </c>
      <c r="F9" s="76">
        <v>123.78730764202425</v>
      </c>
      <c r="G9" s="76">
        <v>84.856157867282832</v>
      </c>
      <c r="H9" s="77">
        <v>5486215286.6189156</v>
      </c>
      <c r="J9" s="4"/>
      <c r="K9" s="9">
        <v>177131.83333333331</v>
      </c>
      <c r="L9" s="9">
        <v>121423.81233560183</v>
      </c>
      <c r="M9" s="20">
        <v>0.68549966457526557</v>
      </c>
      <c r="N9" s="11">
        <v>123.78730764202425</v>
      </c>
      <c r="O9" s="11">
        <v>84.856157867282832</v>
      </c>
      <c r="P9" s="12">
        <v>5486215286.6189156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179946.75</v>
      </c>
      <c r="D10" s="74">
        <v>123889.46170112316</v>
      </c>
      <c r="E10" s="75">
        <v>0.68847846210683528</v>
      </c>
      <c r="F10" s="76">
        <v>128.53533128260813</v>
      </c>
      <c r="G10" s="76">
        <v>88.493807207842636</v>
      </c>
      <c r="H10" s="77">
        <v>5812323145.7949181</v>
      </c>
      <c r="J10" s="4"/>
      <c r="K10" s="9">
        <v>179946.75</v>
      </c>
      <c r="L10" s="9">
        <v>123889.46170112316</v>
      </c>
      <c r="M10" s="20">
        <v>0.68847846210683528</v>
      </c>
      <c r="N10" s="11">
        <v>128.53533128260813</v>
      </c>
      <c r="O10" s="11">
        <v>88.493807207842636</v>
      </c>
      <c r="P10" s="12">
        <v>5812323145.7949181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187275.33333333337</v>
      </c>
      <c r="D11" s="74">
        <v>128651.61294741172</v>
      </c>
      <c r="E11" s="75">
        <v>0.68696507253533134</v>
      </c>
      <c r="F11" s="76">
        <v>129.23643543441204</v>
      </c>
      <c r="G11" s="76">
        <v>88.780917242408549</v>
      </c>
      <c r="H11" s="77">
        <v>6068663692.6270676</v>
      </c>
      <c r="J11" s="8">
        <v>2019</v>
      </c>
      <c r="K11" s="9">
        <v>187275.33333333337</v>
      </c>
      <c r="L11" s="9">
        <v>128651.61294741172</v>
      </c>
      <c r="M11" s="20">
        <v>0.68696507253533134</v>
      </c>
      <c r="N11" s="11">
        <v>129.23643543441204</v>
      </c>
      <c r="O11" s="11">
        <v>88.780917242408549</v>
      </c>
      <c r="P11" s="12">
        <v>6068663692.6270676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187111.91666666669</v>
      </c>
      <c r="D12" s="74">
        <v>99488.872721986496</v>
      </c>
      <c r="E12" s="75">
        <v>0.53170783825181178</v>
      </c>
      <c r="F12" s="76">
        <v>117.3818484854131</v>
      </c>
      <c r="G12" s="76">
        <v>62.412848908180706</v>
      </c>
      <c r="H12" s="77">
        <v>4262538541.10042</v>
      </c>
      <c r="J12" s="8">
        <v>2020</v>
      </c>
      <c r="K12" s="9">
        <v>187111.91666666669</v>
      </c>
      <c r="L12" s="9">
        <v>99488.872721986496</v>
      </c>
      <c r="M12" s="20">
        <v>0.53170783825181178</v>
      </c>
      <c r="N12" s="11">
        <v>117.3818484854131</v>
      </c>
      <c r="O12" s="11">
        <v>62.412848908180706</v>
      </c>
      <c r="P12" s="12">
        <v>4262538541.10042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194039.91666666669</v>
      </c>
      <c r="D13" s="74">
        <v>126066.83646118658</v>
      </c>
      <c r="E13" s="75">
        <v>0.64969537519309339</v>
      </c>
      <c r="F13" s="76">
        <v>145.62281689471914</v>
      </c>
      <c r="G13" s="76">
        <v>94.610470659089671</v>
      </c>
      <c r="H13" s="77">
        <v>6700745862.5066147</v>
      </c>
      <c r="J13" s="8">
        <v>2021</v>
      </c>
      <c r="K13" s="9">
        <v>194039.91666666669</v>
      </c>
      <c r="L13" s="9">
        <v>126066.83646118658</v>
      </c>
      <c r="M13" s="20">
        <v>0.64969537519309339</v>
      </c>
      <c r="N13" s="11">
        <v>145.62281689471914</v>
      </c>
      <c r="O13" s="11">
        <v>94.610470659089671</v>
      </c>
      <c r="P13" s="12">
        <v>6700745862.5066147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196951.83333333337</v>
      </c>
      <c r="D14" s="74">
        <v>128163.89779128056</v>
      </c>
      <c r="E14" s="75">
        <v>0.65073726718942548</v>
      </c>
      <c r="F14" s="76">
        <v>163.29750455201466</v>
      </c>
      <c r="G14" s="76">
        <v>106.26377185103081</v>
      </c>
      <c r="H14" s="77">
        <v>7639028309.286087</v>
      </c>
      <c r="J14" s="8">
        <v>2022</v>
      </c>
      <c r="K14" s="9">
        <v>196951.83333333337</v>
      </c>
      <c r="L14" s="9">
        <v>128163.89779128056</v>
      </c>
      <c r="M14" s="20">
        <v>0.65073726718942548</v>
      </c>
      <c r="N14" s="11">
        <v>163.29750455201466</v>
      </c>
      <c r="O14" s="11">
        <v>106.26377185103081</v>
      </c>
      <c r="P14" s="12">
        <v>7639028309.286087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198487.41397849453</v>
      </c>
      <c r="D15" s="74">
        <v>124863.05810642597</v>
      </c>
      <c r="E15" s="75">
        <v>0.6290729250971776</v>
      </c>
      <c r="F15" s="76">
        <v>163.69366500596311</v>
      </c>
      <c r="G15" s="76">
        <v>102.97525266517872</v>
      </c>
      <c r="H15" s="77">
        <v>7460341435.9320908</v>
      </c>
      <c r="J15" s="8">
        <v>2023</v>
      </c>
      <c r="K15" s="9">
        <v>198487.41397849453</v>
      </c>
      <c r="L15" s="9">
        <v>124863.05810642597</v>
      </c>
      <c r="M15" s="20">
        <v>0.6290729250971776</v>
      </c>
      <c r="N15" s="11">
        <v>163.69366500596311</v>
      </c>
      <c r="O15" s="11">
        <v>102.97525266517872</v>
      </c>
      <c r="P15" s="12">
        <v>7460341435.9320908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201177.16666666651</v>
      </c>
      <c r="D16" s="74">
        <v>124531.5489887353</v>
      </c>
      <c r="E16" s="75">
        <v>0.6190143297677192</v>
      </c>
      <c r="F16" s="76">
        <v>163.53420607196236</v>
      </c>
      <c r="G16" s="76">
        <v>101.23001696573185</v>
      </c>
      <c r="H16" s="77">
        <v>7433286318.0963478</v>
      </c>
      <c r="J16" s="8">
        <v>2024</v>
      </c>
      <c r="K16" s="9">
        <v>201177.16666666651</v>
      </c>
      <c r="L16" s="9">
        <v>124531.5489887353</v>
      </c>
      <c r="M16" s="20">
        <v>0.6190143297677192</v>
      </c>
      <c r="N16" s="11">
        <v>163.53420607196236</v>
      </c>
      <c r="O16" s="11">
        <v>101.23001696573185</v>
      </c>
      <c r="P16" s="12">
        <v>7433286318.0963478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203530.74999999994</v>
      </c>
      <c r="D17" s="74">
        <v>126080.17034351692</v>
      </c>
      <c r="E17" s="75">
        <v>0.61946497196869243</v>
      </c>
      <c r="F17" s="76">
        <v>164.45604911728094</v>
      </c>
      <c r="G17" s="76">
        <v>101.87476185651833</v>
      </c>
      <c r="H17" s="77">
        <v>7568146040.6559258</v>
      </c>
      <c r="J17" s="8">
        <v>2025</v>
      </c>
      <c r="K17" s="9">
        <v>203530.74999999994</v>
      </c>
      <c r="L17" s="9">
        <v>126080.17034351692</v>
      </c>
      <c r="M17" s="20">
        <v>0.61946497196869243</v>
      </c>
      <c r="N17" s="11">
        <v>164.45604911728094</v>
      </c>
      <c r="O17" s="11">
        <v>101.87476185651833</v>
      </c>
      <c r="P17" s="12">
        <v>7568146040.6559258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204480.09999999998</v>
      </c>
      <c r="D18" s="74">
        <v>129185.92619669018</v>
      </c>
      <c r="E18" s="75">
        <v>0.63177749911453585</v>
      </c>
      <c r="F18" s="76">
        <v>168.75213113066383</v>
      </c>
      <c r="G18" s="76">
        <v>106.613799375979</v>
      </c>
      <c r="H18" s="77">
        <v>7957146130.5897446</v>
      </c>
      <c r="J18" s="8">
        <v>2026</v>
      </c>
      <c r="K18" s="9">
        <v>206038.29166666663</v>
      </c>
      <c r="L18" s="9">
        <v>128734.24974872771</v>
      </c>
      <c r="M18" s="20">
        <v>0.62480740209687269</v>
      </c>
      <c r="N18" s="11">
        <v>167.29060110960546</v>
      </c>
      <c r="O18" s="11">
        <v>104.52440587451682</v>
      </c>
      <c r="P18" s="12">
        <v>7860650958.7084389</v>
      </c>
      <c r="Q18" s="9"/>
      <c r="R18" s="22">
        <v>-1558.1916666666511</v>
      </c>
      <c r="S18" s="22">
        <v>451.67644796246896</v>
      </c>
      <c r="T18" s="21">
        <v>6.9700970176631571E-3</v>
      </c>
      <c r="U18" s="23">
        <v>1.4615300210583655</v>
      </c>
      <c r="V18" s="23">
        <v>2.0893935014621832</v>
      </c>
      <c r="W18" s="24">
        <v>96495171.881305695</v>
      </c>
    </row>
    <row r="19" spans="2:23" s="5" customFormat="1" outlineLevel="1" x14ac:dyDescent="0.15">
      <c r="B19" s="78">
        <v>2027</v>
      </c>
      <c r="C19" s="74">
        <v>207098.11666666676</v>
      </c>
      <c r="D19" s="74">
        <v>131006.01707117126</v>
      </c>
      <c r="E19" s="75">
        <v>0.63257947092793232</v>
      </c>
      <c r="F19" s="76">
        <v>171.04441260252023</v>
      </c>
      <c r="G19" s="76">
        <v>108.19918402928118</v>
      </c>
      <c r="H19" s="77">
        <v>8178864241.6269913</v>
      </c>
      <c r="J19" s="8">
        <v>2027</v>
      </c>
      <c r="K19" s="9">
        <v>209372.73333333328</v>
      </c>
      <c r="L19" s="9">
        <v>130349.12802415993</v>
      </c>
      <c r="M19" s="20">
        <v>0.62256973937784299</v>
      </c>
      <c r="N19" s="11">
        <v>169.18307437771199</v>
      </c>
      <c r="O19" s="11">
        <v>105.32826252247439</v>
      </c>
      <c r="P19" s="12">
        <v>8049296170.8771935</v>
      </c>
      <c r="Q19" s="9"/>
      <c r="R19" s="22">
        <v>-2274.6166666665231</v>
      </c>
      <c r="S19" s="22">
        <v>656.8890470113256</v>
      </c>
      <c r="T19" s="21">
        <v>1.0009731550089329E-2</v>
      </c>
      <c r="U19" s="23">
        <v>1.861338224808236</v>
      </c>
      <c r="V19" s="23">
        <v>2.8709215068067948</v>
      </c>
      <c r="W19" s="24">
        <v>129568070.74979782</v>
      </c>
    </row>
    <row r="20" spans="2:23" s="5" customFormat="1" outlineLevel="1" x14ac:dyDescent="0.15">
      <c r="B20" s="78">
        <v>2028</v>
      </c>
      <c r="C20" s="74">
        <v>209708.82177952235</v>
      </c>
      <c r="D20" s="74">
        <v>133024.72578637383</v>
      </c>
      <c r="E20" s="75">
        <v>0.63433061450428418</v>
      </c>
      <c r="F20" s="76">
        <v>173.91376758341318</v>
      </c>
      <c r="G20" s="76">
        <v>110.31882706194175</v>
      </c>
      <c r="H20" s="77">
        <v>8444213403.7894211</v>
      </c>
      <c r="J20" s="8">
        <v>2028</v>
      </c>
      <c r="K20" s="9">
        <v>214702.65031389659</v>
      </c>
      <c r="L20" s="9">
        <v>132459.20667955471</v>
      </c>
      <c r="M20" s="20">
        <v>0.61694257842601641</v>
      </c>
      <c r="N20" s="11">
        <v>171.99493124965281</v>
      </c>
      <c r="O20" s="11">
        <v>106.11099636136622</v>
      </c>
      <c r="P20" s="12">
        <v>8315543933.3752518</v>
      </c>
      <c r="Q20" s="9"/>
      <c r="R20" s="22">
        <v>-4993.8285343742464</v>
      </c>
      <c r="S20" s="22">
        <v>565.51910681911977</v>
      </c>
      <c r="T20" s="21">
        <v>1.7388036078267777E-2</v>
      </c>
      <c r="U20" s="23">
        <v>1.9188363337603676</v>
      </c>
      <c r="V20" s="23">
        <v>4.2078307005755278</v>
      </c>
      <c r="W20" s="24">
        <v>128669470.41416931</v>
      </c>
    </row>
    <row r="21" spans="2:23" s="5" customFormat="1" outlineLevel="1" x14ac:dyDescent="0.15">
      <c r="B21" s="78">
        <v>2029</v>
      </c>
      <c r="C21" s="74">
        <v>212063.40961139183</v>
      </c>
      <c r="D21" s="74">
        <v>135198.03237238835</v>
      </c>
      <c r="E21" s="75">
        <v>0.63753587957554769</v>
      </c>
      <c r="F21" s="76">
        <v>176.56291844524873</v>
      </c>
      <c r="G21" s="76">
        <v>112.56519551141733</v>
      </c>
      <c r="H21" s="77">
        <v>8712900094.7592964</v>
      </c>
      <c r="J21" s="8">
        <v>2029</v>
      </c>
      <c r="K21" s="9">
        <v>217109.06571660208</v>
      </c>
      <c r="L21" s="9">
        <v>134643.03697476437</v>
      </c>
      <c r="M21" s="20">
        <v>0.62016312644685834</v>
      </c>
      <c r="N21" s="11">
        <v>174.86571526775964</v>
      </c>
      <c r="O21" s="11">
        <v>108.44526868881997</v>
      </c>
      <c r="P21" s="12">
        <v>8593724602.7416878</v>
      </c>
      <c r="Q21" s="9"/>
      <c r="R21" s="22">
        <v>-5045.6561052102479</v>
      </c>
      <c r="S21" s="22">
        <v>554.99539762397762</v>
      </c>
      <c r="T21" s="21">
        <v>1.7372753128689356E-2</v>
      </c>
      <c r="U21" s="23">
        <v>1.6972031774890866</v>
      </c>
      <c r="V21" s="23">
        <v>4.119926822597364</v>
      </c>
      <c r="W21" s="24">
        <v>119175492.01760864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5.9885125164869102E-3</v>
      </c>
      <c r="D24" s="75">
        <v>3.7224688859741173E-2</v>
      </c>
      <c r="E24" s="75">
        <v>3.1050231642423709E-2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1.3209248628540671E-3</v>
      </c>
      <c r="D25" s="75">
        <v>5.064711213806361E-2</v>
      </c>
      <c r="E25" s="75">
        <v>4.9261117040938274E-2</v>
      </c>
      <c r="F25" s="75">
        <v>5.1622226481056188E-2</v>
      </c>
      <c r="G25" s="75">
        <v>0.10342631206259201</v>
      </c>
      <c r="H25" s="75">
        <v>0.10488385531252264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1.9745477480686002E-3</v>
      </c>
      <c r="D26" s="75">
        <v>2.0978019265158965E-2</v>
      </c>
      <c r="E26" s="75">
        <v>1.8966022200664456E-2</v>
      </c>
      <c r="F26" s="75">
        <v>5.8229425693776093E-2</v>
      </c>
      <c r="G26" s="75">
        <v>7.8299828474880595E-2</v>
      </c>
      <c r="H26" s="75">
        <v>8.0428982972938323E-2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4.5065182892998212E-3</v>
      </c>
      <c r="D27" s="75">
        <v>1.9207800007273512E-2</v>
      </c>
      <c r="E27" s="75">
        <v>1.4635327347611859E-2</v>
      </c>
      <c r="F27" s="75">
        <v>3.4882597860517173E-2</v>
      </c>
      <c r="G27" s="75">
        <v>5.0028443446552995E-2</v>
      </c>
      <c r="H27" s="75">
        <v>5.4760415831229814E-2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1.5891647558174737E-2</v>
      </c>
      <c r="D28" s="75">
        <v>2.0306143565205659E-2</v>
      </c>
      <c r="E28" s="75">
        <v>4.3454398090994051E-3</v>
      </c>
      <c r="F28" s="75">
        <v>3.8356304301524258E-2</v>
      </c>
      <c r="G28" s="75">
        <v>4.2868419122265466E-2</v>
      </c>
      <c r="H28" s="75">
        <v>5.9441316488507479E-2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4.0726400078541891E-2</v>
      </c>
      <c r="D29" s="75">
        <v>3.8438711258403924E-2</v>
      </c>
      <c r="E29" s="75">
        <v>-2.1981654544032114E-3</v>
      </c>
      <c r="F29" s="75">
        <v>5.454563697061765E-3</v>
      </c>
      <c r="G29" s="75">
        <v>3.2444082091709348E-3</v>
      </c>
      <c r="H29" s="75">
        <v>4.4102941354457581E-2</v>
      </c>
      <c r="J29" s="8">
        <v>2019</v>
      </c>
      <c r="K29" s="10">
        <v>4.0726400078541891E-2</v>
      </c>
      <c r="L29" s="10">
        <v>3.8438711258403924E-2</v>
      </c>
      <c r="M29" s="10">
        <v>-2.1981654544032114E-3</v>
      </c>
      <c r="N29" s="10">
        <v>5.454563697061765E-3</v>
      </c>
      <c r="O29" s="10">
        <v>3.2444082091709348E-3</v>
      </c>
      <c r="P29" s="10">
        <v>4.4102941354457581E-2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-8.7260112561549086E-4</v>
      </c>
      <c r="D30" s="75">
        <v>-0.22667994249979539</v>
      </c>
      <c r="E30" s="75">
        <v>-0.22600455320169788</v>
      </c>
      <c r="F30" s="75">
        <v>-9.1727900952631836E-2</v>
      </c>
      <c r="G30" s="75">
        <v>-0.29700153088340064</v>
      </c>
      <c r="H30" s="75">
        <v>-0.29761496813885779</v>
      </c>
      <c r="J30" s="8">
        <v>2020</v>
      </c>
      <c r="K30" s="10">
        <v>-8.7260112561549086E-4</v>
      </c>
      <c r="L30" s="10">
        <v>-0.22667994249979539</v>
      </c>
      <c r="M30" s="10">
        <v>-0.22600455320169788</v>
      </c>
      <c r="N30" s="10">
        <v>-9.1727900952631836E-2</v>
      </c>
      <c r="O30" s="10">
        <v>-0.29700153088340064</v>
      </c>
      <c r="P30" s="10">
        <v>-0.29761496813885779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3.7025968860882275E-2</v>
      </c>
      <c r="D31" s="75">
        <v>0.26714508881279642</v>
      </c>
      <c r="E31" s="75">
        <v>0.22190294829809121</v>
      </c>
      <c r="F31" s="75">
        <v>0.24059059193309174</v>
      </c>
      <c r="G31" s="75">
        <v>0.51588130191391879</v>
      </c>
      <c r="H31" s="75">
        <v>0.5720082757953775</v>
      </c>
      <c r="J31" s="8">
        <v>2021</v>
      </c>
      <c r="K31" s="10">
        <v>3.7025968860882275E-2</v>
      </c>
      <c r="L31" s="10">
        <v>0.26714508881279642</v>
      </c>
      <c r="M31" s="10">
        <v>0.22190294829809121</v>
      </c>
      <c r="N31" s="10">
        <v>0.24059059193309174</v>
      </c>
      <c r="O31" s="10">
        <v>0.51588130191391879</v>
      </c>
      <c r="P31" s="10">
        <v>0.5720082757953775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1.5006791987387524E-2</v>
      </c>
      <c r="D32" s="75">
        <v>1.66345201399547E-2</v>
      </c>
      <c r="E32" s="75">
        <v>1.6036623256283633E-3</v>
      </c>
      <c r="F32" s="75">
        <v>0.1213730652530487</v>
      </c>
      <c r="G32" s="75">
        <v>0.12317136899076986</v>
      </c>
      <c r="H32" s="75">
        <v>0.14002656809140346</v>
      </c>
      <c r="J32" s="8">
        <v>2022</v>
      </c>
      <c r="K32" s="10">
        <v>1.5006791987387524E-2</v>
      </c>
      <c r="L32" s="10">
        <v>1.66345201399547E-2</v>
      </c>
      <c r="M32" s="10">
        <v>1.6036623256283633E-3</v>
      </c>
      <c r="N32" s="10">
        <v>0.1213730652530487</v>
      </c>
      <c r="O32" s="10">
        <v>0.12317136899076986</v>
      </c>
      <c r="P32" s="10">
        <v>0.14002656809140346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7.7967319175051841E-3</v>
      </c>
      <c r="D33" s="75">
        <v>-2.5754832224517021E-2</v>
      </c>
      <c r="E33" s="75">
        <v>-3.3291995379052919E-2</v>
      </c>
      <c r="F33" s="75">
        <v>2.4260043350647909E-3</v>
      </c>
      <c r="G33" s="75">
        <v>-3.0946757569100813E-2</v>
      </c>
      <c r="H33" s="75">
        <v>-2.339130922407795E-2</v>
      </c>
      <c r="J33" s="8">
        <v>2023</v>
      </c>
      <c r="K33" s="10">
        <v>7.7967319175051841E-3</v>
      </c>
      <c r="L33" s="10">
        <v>-2.5754832224517021E-2</v>
      </c>
      <c r="M33" s="10">
        <v>-3.3291995379052919E-2</v>
      </c>
      <c r="N33" s="10">
        <v>2.4260043350647909E-3</v>
      </c>
      <c r="O33" s="10">
        <v>-3.0946757569100813E-2</v>
      </c>
      <c r="P33" s="10">
        <v>-2.339130922407795E-2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1.3551250602032772E-2</v>
      </c>
      <c r="D34" s="75">
        <v>-2.654981567151049E-3</v>
      </c>
      <c r="E34" s="75">
        <v>-1.5989553719713112E-2</v>
      </c>
      <c r="F34" s="75">
        <v>-9.741301472780961E-4</v>
      </c>
      <c r="G34" s="75">
        <v>-1.6948107960671366E-2</v>
      </c>
      <c r="H34" s="75">
        <v>-3.6265254168440508E-3</v>
      </c>
      <c r="J34" s="8">
        <v>2024</v>
      </c>
      <c r="K34" s="10">
        <v>1.3551250602032772E-2</v>
      </c>
      <c r="L34" s="10">
        <v>-2.654981567151049E-3</v>
      </c>
      <c r="M34" s="10">
        <v>-1.5989553719713112E-2</v>
      </c>
      <c r="N34" s="10">
        <v>-9.741301472780961E-4</v>
      </c>
      <c r="O34" s="10">
        <v>-1.6948107960671366E-2</v>
      </c>
      <c r="P34" s="10">
        <v>-3.6265254168440508E-3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1.1699057961349624E-2</v>
      </c>
      <c r="D35" s="75">
        <v>1.243557449784638E-2</v>
      </c>
      <c r="E35" s="75">
        <v>7.2799962666825202E-4</v>
      </c>
      <c r="F35" s="75">
        <v>5.6370044375482209E-3</v>
      </c>
      <c r="G35" s="75">
        <v>6.3691078013425884E-3</v>
      </c>
      <c r="H35" s="75">
        <v>1.8142678324022166E-2</v>
      </c>
      <c r="J35" s="8">
        <v>2025</v>
      </c>
      <c r="K35" s="10">
        <v>1.1699057961349624E-2</v>
      </c>
      <c r="L35" s="10">
        <v>1.243557449784638E-2</v>
      </c>
      <c r="M35" s="10">
        <v>7.2799962666825202E-4</v>
      </c>
      <c r="N35" s="10">
        <v>5.6370044375482209E-3</v>
      </c>
      <c r="O35" s="10">
        <v>6.3691078013425884E-3</v>
      </c>
      <c r="P35" s="10">
        <v>1.8142678324022166E-2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4.6644057470432987E-3</v>
      </c>
      <c r="D36" s="75">
        <v>2.463318255925051E-2</v>
      </c>
      <c r="E36" s="75">
        <v>1.9876066772126944E-2</v>
      </c>
      <c r="F36" s="75">
        <v>2.6122979582947181E-2</v>
      </c>
      <c r="G36" s="75">
        <v>4.6518268441551713E-2</v>
      </c>
      <c r="H36" s="75">
        <v>5.1399654267256345E-2</v>
      </c>
      <c r="J36" s="8">
        <v>2026</v>
      </c>
      <c r="K36" s="10">
        <v>1.2320210418655053E-2</v>
      </c>
      <c r="L36" s="10">
        <v>2.1050728262656415E-2</v>
      </c>
      <c r="M36" s="10">
        <v>8.6242650834666978E-3</v>
      </c>
      <c r="N36" s="10">
        <v>1.7235924172683159E-2</v>
      </c>
      <c r="O36" s="10">
        <v>2.6008836435174043E-2</v>
      </c>
      <c r="P36" s="10">
        <v>3.8649481191454615E-2</v>
      </c>
      <c r="Q36" s="10"/>
      <c r="R36" s="19">
        <v>-7.6558046716117545E-3</v>
      </c>
      <c r="S36" s="19">
        <v>3.5824542965940953E-3</v>
      </c>
      <c r="T36" s="19">
        <v>1.1251801688660246E-2</v>
      </c>
      <c r="U36" s="19">
        <v>8.887055410264022E-3</v>
      </c>
      <c r="V36" s="19">
        <v>2.050943200637767E-2</v>
      </c>
      <c r="W36" s="19">
        <v>1.275017307580173E-2</v>
      </c>
    </row>
    <row r="37" spans="2:23" s="5" customFormat="1" outlineLevel="1" x14ac:dyDescent="0.15">
      <c r="B37" s="78">
        <v>2027</v>
      </c>
      <c r="C37" s="75">
        <v>1.2803283383892916E-2</v>
      </c>
      <c r="D37" s="75">
        <v>1.4088925381158912E-2</v>
      </c>
      <c r="E37" s="75">
        <v>1.2693896419553319E-3</v>
      </c>
      <c r="F37" s="75">
        <v>1.3583718655864052E-2</v>
      </c>
      <c r="G37" s="75">
        <v>1.4870351329580256E-2</v>
      </c>
      <c r="H37" s="75">
        <v>2.7864024035563872E-2</v>
      </c>
      <c r="J37" s="8">
        <v>2027</v>
      </c>
      <c r="K37" s="10">
        <v>1.6183601794083957E-2</v>
      </c>
      <c r="L37" s="10">
        <v>1.2544278454135194E-2</v>
      </c>
      <c r="M37" s="10">
        <v>-3.5813639715535084E-3</v>
      </c>
      <c r="N37" s="10">
        <v>1.1312490095403582E-2</v>
      </c>
      <c r="O37" s="10">
        <v>7.6906119793938021E-3</v>
      </c>
      <c r="P37" s="10">
        <v>2.3998675575304995E-2</v>
      </c>
      <c r="Q37" s="10"/>
      <c r="R37" s="19">
        <v>-3.3803184101910411E-3</v>
      </c>
      <c r="S37" s="19">
        <v>1.5446469270237184E-3</v>
      </c>
      <c r="T37" s="19">
        <v>4.8507536135088403E-3</v>
      </c>
      <c r="U37" s="19">
        <v>2.2712285604604698E-3</v>
      </c>
      <c r="V37" s="19">
        <v>7.1797393501864537E-3</v>
      </c>
      <c r="W37" s="19">
        <v>3.8653484602588772E-3</v>
      </c>
    </row>
    <row r="38" spans="2:23" s="5" customFormat="1" outlineLevel="1" x14ac:dyDescent="0.15">
      <c r="B38" s="78">
        <v>2028</v>
      </c>
      <c r="C38" s="75">
        <v>1.2606126771580684E-2</v>
      </c>
      <c r="D38" s="75">
        <v>1.5409282415676184E-2</v>
      </c>
      <c r="E38" s="75">
        <v>2.7682586249331287E-3</v>
      </c>
      <c r="F38" s="75">
        <v>1.6775496710090598E-2</v>
      </c>
      <c r="G38" s="75">
        <v>1.9590194248479076E-2</v>
      </c>
      <c r="H38" s="75">
        <v>3.2443277492235856E-2</v>
      </c>
      <c r="J38" s="8">
        <v>2028</v>
      </c>
      <c r="K38" s="10">
        <v>2.5456595496978096E-2</v>
      </c>
      <c r="L38" s="10">
        <v>1.6187900044898562E-2</v>
      </c>
      <c r="M38" s="10">
        <v>-9.0386033819279676E-3</v>
      </c>
      <c r="N38" s="10">
        <v>1.662020200474168E-2</v>
      </c>
      <c r="O38" s="10">
        <v>7.4313752087651341E-3</v>
      </c>
      <c r="P38" s="10">
        <v>3.3077148218419117E-2</v>
      </c>
      <c r="Q38" s="10"/>
      <c r="R38" s="19">
        <v>-1.2850468725397413E-2</v>
      </c>
      <c r="S38" s="19">
        <v>-7.7861762922237787E-4</v>
      </c>
      <c r="T38" s="19">
        <v>1.1806862006861096E-2</v>
      </c>
      <c r="U38" s="19">
        <v>1.5529470534891843E-4</v>
      </c>
      <c r="V38" s="19">
        <v>1.2158819039713942E-2</v>
      </c>
      <c r="W38" s="19">
        <v>-6.3387072618326101E-4</v>
      </c>
    </row>
    <row r="39" spans="2:23" s="5" customFormat="1" outlineLevel="1" x14ac:dyDescent="0.15">
      <c r="B39" s="78">
        <v>2029</v>
      </c>
      <c r="C39" s="75">
        <v>1.1227891186881056E-2</v>
      </c>
      <c r="D39" s="75">
        <v>1.6337613726824518E-2</v>
      </c>
      <c r="E39" s="75">
        <v>5.0529881389507203E-3</v>
      </c>
      <c r="F39" s="75">
        <v>1.5232554033221879E-2</v>
      </c>
      <c r="G39" s="75">
        <v>2.0362512087028328E-2</v>
      </c>
      <c r="H39" s="75">
        <v>3.1819031343914173E-2</v>
      </c>
      <c r="J39" s="8">
        <v>2029</v>
      </c>
      <c r="K39" s="10">
        <v>1.1208130869308386E-2</v>
      </c>
      <c r="L39" s="10">
        <v>1.6486813940330913E-2</v>
      </c>
      <c r="M39" s="10">
        <v>5.2201746701587837E-3</v>
      </c>
      <c r="N39" s="10">
        <v>1.6691096634352753E-2</v>
      </c>
      <c r="O39" s="10">
        <v>2.1998401744379725E-2</v>
      </c>
      <c r="P39" s="10">
        <v>3.3453093579354443E-2</v>
      </c>
      <c r="Q39" s="10"/>
      <c r="R39" s="19">
        <v>1.9760317572670161E-5</v>
      </c>
      <c r="S39" s="19">
        <v>-1.4920021350639523E-4</v>
      </c>
      <c r="T39" s="19">
        <v>-1.6718653120806337E-4</v>
      </c>
      <c r="U39" s="19">
        <v>-1.4585426011308744E-3</v>
      </c>
      <c r="V39" s="19">
        <v>-1.635889657351397E-3</v>
      </c>
      <c r="W39" s="19">
        <v>-1.6340622354402701E-3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2" spans="2:23" x14ac:dyDescent="0.15">
      <c r="B42" s="1" t="s">
        <v>28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63D3-90E0-485E-A62A-4255C2FD9430}">
  <sheetPr>
    <tabColor theme="7" tint="0.79998168889431442"/>
  </sheetPr>
  <dimension ref="B1:W54"/>
  <sheetViews>
    <sheetView zoomScale="150" zoomScaleNormal="150" workbookViewId="0">
      <selection activeCell="H62" sqref="H62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29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38643.697007457733</v>
      </c>
      <c r="D5" s="74">
        <v>25285.168098800143</v>
      </c>
      <c r="E5" s="75">
        <v>0.65431545263178192</v>
      </c>
      <c r="F5" s="76">
        <v>0</v>
      </c>
      <c r="G5" s="76">
        <v>0</v>
      </c>
      <c r="H5" s="77">
        <v>0</v>
      </c>
      <c r="J5" s="4"/>
      <c r="K5" s="9">
        <v>38643.697007457733</v>
      </c>
      <c r="L5" s="9">
        <v>25285.168098800143</v>
      </c>
      <c r="M5" s="20">
        <v>0.65431545263178192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38752.299402645927</v>
      </c>
      <c r="D6" s="74">
        <v>27044.908497251232</v>
      </c>
      <c r="E6" s="75">
        <v>0.69789171001823602</v>
      </c>
      <c r="F6" s="76">
        <v>151.37933315597442</v>
      </c>
      <c r="G6" s="76">
        <v>105.64638167764323</v>
      </c>
      <c r="H6" s="77">
        <v>1494324677.9560568</v>
      </c>
      <c r="J6" s="4"/>
      <c r="K6" s="9">
        <v>38752.299402645927</v>
      </c>
      <c r="L6" s="9">
        <v>27044.908497251232</v>
      </c>
      <c r="M6" s="20">
        <v>0.69789171001823602</v>
      </c>
      <c r="N6" s="11">
        <v>151.37933315597442</v>
      </c>
      <c r="O6" s="11">
        <v>105.64638167764323</v>
      </c>
      <c r="P6" s="12">
        <v>1494324677.9560568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38845.25</v>
      </c>
      <c r="D7" s="74">
        <v>28101.466218637972</v>
      </c>
      <c r="E7" s="75">
        <v>0.72342091294657573</v>
      </c>
      <c r="F7" s="76">
        <v>159.23057665937702</v>
      </c>
      <c r="G7" s="76">
        <v>115.19072913593624</v>
      </c>
      <c r="H7" s="77">
        <v>1633233624.9032204</v>
      </c>
      <c r="J7" s="4"/>
      <c r="K7" s="9">
        <v>38845.25</v>
      </c>
      <c r="L7" s="9">
        <v>28101.466218637972</v>
      </c>
      <c r="M7" s="20">
        <v>0.72342091294657573</v>
      </c>
      <c r="N7" s="11">
        <v>159.23057665937702</v>
      </c>
      <c r="O7" s="11">
        <v>115.19072913593624</v>
      </c>
      <c r="P7" s="12">
        <v>1633233624.9032204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39109.666666666664</v>
      </c>
      <c r="D8" s="74">
        <v>28551.476360086792</v>
      </c>
      <c r="E8" s="75">
        <v>0.73003630032012867</v>
      </c>
      <c r="F8" s="76">
        <v>167.20980794588692</v>
      </c>
      <c r="G8" s="76">
        <v>122.06922957005456</v>
      </c>
      <c r="H8" s="77">
        <v>1742541710.7406998</v>
      </c>
      <c r="J8" s="4"/>
      <c r="K8" s="9">
        <v>39109.666666666664</v>
      </c>
      <c r="L8" s="9">
        <v>28551.476360086792</v>
      </c>
      <c r="M8" s="20">
        <v>0.73003630032012867</v>
      </c>
      <c r="N8" s="11">
        <v>167.20980794588692</v>
      </c>
      <c r="O8" s="11">
        <v>122.06922957005456</v>
      </c>
      <c r="P8" s="12">
        <v>1742541710.7406998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39546.333333333336</v>
      </c>
      <c r="D9" s="74">
        <v>28593.738161406098</v>
      </c>
      <c r="E9" s="75">
        <v>0.72304397781689234</v>
      </c>
      <c r="F9" s="76">
        <v>171.17269134504636</v>
      </c>
      <c r="G9" s="76">
        <v>123.76538364374547</v>
      </c>
      <c r="H9" s="77">
        <v>1786480497.5967555</v>
      </c>
      <c r="J9" s="4"/>
      <c r="K9" s="9">
        <v>39546.333333333336</v>
      </c>
      <c r="L9" s="9">
        <v>28593.738161406098</v>
      </c>
      <c r="M9" s="20">
        <v>0.72304397781689234</v>
      </c>
      <c r="N9" s="11">
        <v>171.17269134504636</v>
      </c>
      <c r="O9" s="11">
        <v>123.76538364374547</v>
      </c>
      <c r="P9" s="12">
        <v>1786480497.5967555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40065</v>
      </c>
      <c r="D10" s="74">
        <v>28886.57724014335</v>
      </c>
      <c r="E10" s="75">
        <v>0.72099281767486212</v>
      </c>
      <c r="F10" s="76">
        <v>178.537633556467</v>
      </c>
      <c r="G10" s="76">
        <v>128.72435147887916</v>
      </c>
      <c r="H10" s="77">
        <v>1882429516.8304722</v>
      </c>
      <c r="J10" s="4"/>
      <c r="K10" s="9">
        <v>40065</v>
      </c>
      <c r="L10" s="9">
        <v>28886.57724014335</v>
      </c>
      <c r="M10" s="20">
        <v>0.72099281767486212</v>
      </c>
      <c r="N10" s="11">
        <v>178.537633556467</v>
      </c>
      <c r="O10" s="11">
        <v>128.72435147887916</v>
      </c>
      <c r="P10" s="12">
        <v>1882429516.8304722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41585.5</v>
      </c>
      <c r="D11" s="74">
        <v>29638.34085075001</v>
      </c>
      <c r="E11" s="75">
        <v>0.71270853664738931</v>
      </c>
      <c r="F11" s="76">
        <v>178.69412809663342</v>
      </c>
      <c r="G11" s="76">
        <v>127.35683054323275</v>
      </c>
      <c r="H11" s="77">
        <v>1933112078.942796</v>
      </c>
      <c r="J11" s="8">
        <v>2019</v>
      </c>
      <c r="K11" s="9">
        <v>41585.5</v>
      </c>
      <c r="L11" s="9">
        <v>29638.34085075001</v>
      </c>
      <c r="M11" s="20">
        <v>0.71270853664738931</v>
      </c>
      <c r="N11" s="11">
        <v>178.69412809663342</v>
      </c>
      <c r="O11" s="11">
        <v>127.35683054323275</v>
      </c>
      <c r="P11" s="12">
        <v>1933112078.942796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41817.833333333336</v>
      </c>
      <c r="D12" s="74">
        <v>20579.835509749999</v>
      </c>
      <c r="E12" s="75">
        <v>0.49213060240846207</v>
      </c>
      <c r="F12" s="76">
        <v>163.79315179099748</v>
      </c>
      <c r="G12" s="76">
        <v>80.607622461284251</v>
      </c>
      <c r="H12" s="77">
        <v>1230355184.3410182</v>
      </c>
      <c r="J12" s="8">
        <v>2020</v>
      </c>
      <c r="K12" s="9">
        <v>41817.833333333336</v>
      </c>
      <c r="L12" s="9">
        <v>20579.835509749999</v>
      </c>
      <c r="M12" s="20">
        <v>0.49213060240846207</v>
      </c>
      <c r="N12" s="11">
        <v>163.79315179099748</v>
      </c>
      <c r="O12" s="11">
        <v>80.607622461284251</v>
      </c>
      <c r="P12" s="12">
        <v>1230355184.3410182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42338.25</v>
      </c>
      <c r="D13" s="74">
        <v>27288.445735992809</v>
      </c>
      <c r="E13" s="75">
        <v>0.64453409708697951</v>
      </c>
      <c r="F13" s="76">
        <v>217.83954222638255</v>
      </c>
      <c r="G13" s="76">
        <v>140.4050126587224</v>
      </c>
      <c r="H13" s="77">
        <v>2169743422.4273262</v>
      </c>
      <c r="J13" s="8">
        <v>2021</v>
      </c>
      <c r="K13" s="9">
        <v>42338.25</v>
      </c>
      <c r="L13" s="9">
        <v>27288.445735992809</v>
      </c>
      <c r="M13" s="20">
        <v>0.64453409708697951</v>
      </c>
      <c r="N13" s="11">
        <v>217.83954222638255</v>
      </c>
      <c r="O13" s="11">
        <v>140.4050126587224</v>
      </c>
      <c r="P13" s="12">
        <v>2169743422.4273262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42556.583333333336</v>
      </c>
      <c r="D14" s="74">
        <v>29334.691999487943</v>
      </c>
      <c r="E14" s="75">
        <v>0.68931031821135247</v>
      </c>
      <c r="F14" s="76">
        <v>231.0442038351741</v>
      </c>
      <c r="G14" s="76">
        <v>159.26115366651246</v>
      </c>
      <c r="H14" s="77">
        <v>2473827853.5866861</v>
      </c>
      <c r="J14" s="8">
        <v>2022</v>
      </c>
      <c r="K14" s="9">
        <v>42556.583333333336</v>
      </c>
      <c r="L14" s="9">
        <v>29334.691999487943</v>
      </c>
      <c r="M14" s="20">
        <v>0.68931031821135247</v>
      </c>
      <c r="N14" s="11">
        <v>231.0442038351741</v>
      </c>
      <c r="O14" s="11">
        <v>159.26115366651246</v>
      </c>
      <c r="P14" s="12">
        <v>2473827853.5866861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42844.12634408602</v>
      </c>
      <c r="D15" s="74">
        <v>28532.372509405544</v>
      </c>
      <c r="E15" s="75">
        <v>0.66595762229480038</v>
      </c>
      <c r="F15" s="76">
        <v>222.20431544718343</v>
      </c>
      <c r="G15" s="76">
        <v>147.97865757885003</v>
      </c>
      <c r="H15" s="77">
        <v>2314105950.0608201</v>
      </c>
      <c r="J15" s="8">
        <v>2023</v>
      </c>
      <c r="K15" s="9">
        <v>42844.12634408602</v>
      </c>
      <c r="L15" s="9">
        <v>28532.372509405544</v>
      </c>
      <c r="M15" s="20">
        <v>0.66595762229480038</v>
      </c>
      <c r="N15" s="11">
        <v>222.20431544718343</v>
      </c>
      <c r="O15" s="11">
        <v>147.97865757885003</v>
      </c>
      <c r="P15" s="12">
        <v>2314105950.0608201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43056.833333333336</v>
      </c>
      <c r="D16" s="74">
        <v>28777.815239375323</v>
      </c>
      <c r="E16" s="75">
        <v>0.66836813140868823</v>
      </c>
      <c r="F16" s="76">
        <v>225.54800428864669</v>
      </c>
      <c r="G16" s="76">
        <v>150.74909816936159</v>
      </c>
      <c r="H16" s="77">
        <v>2369134260.1854053</v>
      </c>
      <c r="J16" s="8">
        <v>2024</v>
      </c>
      <c r="K16" s="9">
        <v>43056.833333333336</v>
      </c>
      <c r="L16" s="9">
        <v>28777.815239375323</v>
      </c>
      <c r="M16" s="20">
        <v>0.66836813140868823</v>
      </c>
      <c r="N16" s="11">
        <v>225.54800428864669</v>
      </c>
      <c r="O16" s="11">
        <v>150.74909816936159</v>
      </c>
      <c r="P16" s="12">
        <v>2369134260.1854053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43410</v>
      </c>
      <c r="D17" s="74">
        <v>29172.896226141958</v>
      </c>
      <c r="E17" s="75">
        <v>0.67203170297493564</v>
      </c>
      <c r="F17" s="76">
        <v>227.26672038077592</v>
      </c>
      <c r="G17" s="76">
        <v>152.73044112702138</v>
      </c>
      <c r="H17" s="77">
        <v>2419960384.0032592</v>
      </c>
      <c r="J17" s="8">
        <v>2025</v>
      </c>
      <c r="K17" s="9">
        <v>43410</v>
      </c>
      <c r="L17" s="9">
        <v>29172.896226141958</v>
      </c>
      <c r="M17" s="20">
        <v>0.67203170297493564</v>
      </c>
      <c r="N17" s="11">
        <v>227.26672038077592</v>
      </c>
      <c r="O17" s="11">
        <v>152.73044112702138</v>
      </c>
      <c r="P17" s="12">
        <v>2419960384.0032592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44047.625</v>
      </c>
      <c r="D18" s="74">
        <v>30259.232063089403</v>
      </c>
      <c r="E18" s="75">
        <v>0.68696625670713019</v>
      </c>
      <c r="F18" s="76">
        <v>237.04804198280812</v>
      </c>
      <c r="G18" s="76">
        <v>162.84400606068431</v>
      </c>
      <c r="H18" s="77">
        <v>2618105475.0474439</v>
      </c>
      <c r="J18" s="8">
        <v>2026</v>
      </c>
      <c r="K18" s="9">
        <v>44044.625</v>
      </c>
      <c r="L18" s="9">
        <v>30020.422540370873</v>
      </c>
      <c r="M18" s="20">
        <v>0.68159105771409956</v>
      </c>
      <c r="N18" s="11">
        <v>233.75098211519898</v>
      </c>
      <c r="O18" s="11">
        <v>159.32257914160803</v>
      </c>
      <c r="P18" s="12">
        <v>2561315687.0986061</v>
      </c>
      <c r="Q18" s="9"/>
      <c r="R18" s="22">
        <v>3</v>
      </c>
      <c r="S18" s="22">
        <v>238.80952271852948</v>
      </c>
      <c r="T18" s="21">
        <v>5.3751989930306276E-3</v>
      </c>
      <c r="U18" s="23">
        <v>3.2970598676091356</v>
      </c>
      <c r="V18" s="23">
        <v>3.5214269190762764</v>
      </c>
      <c r="W18" s="24">
        <v>56789787.948837757</v>
      </c>
    </row>
    <row r="19" spans="2:23" s="5" customFormat="1" outlineLevel="1" x14ac:dyDescent="0.15">
      <c r="B19" s="78">
        <v>2027</v>
      </c>
      <c r="C19" s="74">
        <v>44630.5</v>
      </c>
      <c r="D19" s="74">
        <v>30657.086436538797</v>
      </c>
      <c r="E19" s="75">
        <v>0.68690887255439215</v>
      </c>
      <c r="F19" s="76">
        <v>240.24794863335285</v>
      </c>
      <c r="G19" s="76">
        <v>165.0284475292419</v>
      </c>
      <c r="H19" s="77">
        <v>2688335276.5206485</v>
      </c>
      <c r="J19" s="8">
        <v>2027</v>
      </c>
      <c r="K19" s="9">
        <v>44631.941666666673</v>
      </c>
      <c r="L19" s="9">
        <v>30369.883902983591</v>
      </c>
      <c r="M19" s="20">
        <v>0.68045177442202365</v>
      </c>
      <c r="N19" s="11">
        <v>236.42897029688544</v>
      </c>
      <c r="O19" s="11">
        <v>160.87851236328763</v>
      </c>
      <c r="P19" s="12">
        <v>2620816938.4147038</v>
      </c>
      <c r="Q19" s="9"/>
      <c r="R19" s="22">
        <v>-1.4416666666729725</v>
      </c>
      <c r="S19" s="22">
        <v>287.20253355520617</v>
      </c>
      <c r="T19" s="21">
        <v>6.4570981323684995E-3</v>
      </c>
      <c r="U19" s="23">
        <v>3.8189783364674099</v>
      </c>
      <c r="V19" s="23">
        <v>4.1499351659542754</v>
      </c>
      <c r="W19" s="24">
        <v>67518338.105944633</v>
      </c>
    </row>
    <row r="20" spans="2:23" s="5" customFormat="1" outlineLevel="1" x14ac:dyDescent="0.15">
      <c r="B20" s="78">
        <v>2028</v>
      </c>
      <c r="C20" s="74">
        <v>45234.241666666661</v>
      </c>
      <c r="D20" s="74">
        <v>31132.473872925464</v>
      </c>
      <c r="E20" s="75">
        <v>0.68825015576346316</v>
      </c>
      <c r="F20" s="76">
        <v>244.4400465452909</v>
      </c>
      <c r="G20" s="76">
        <v>168.23590010962462</v>
      </c>
      <c r="H20" s="77">
        <v>2777658527.3373027</v>
      </c>
      <c r="J20" s="8">
        <v>2028</v>
      </c>
      <c r="K20" s="9">
        <v>45379.166666666664</v>
      </c>
      <c r="L20" s="9">
        <v>30826.423986850081</v>
      </c>
      <c r="M20" s="20">
        <v>0.67930784655624088</v>
      </c>
      <c r="N20" s="11">
        <v>240.47659542981856</v>
      </c>
      <c r="O20" s="11">
        <v>163.35763818860644</v>
      </c>
      <c r="P20" s="12">
        <v>2705757223.7163377</v>
      </c>
      <c r="Q20" s="9"/>
      <c r="R20" s="22">
        <v>-144.92500000000291</v>
      </c>
      <c r="S20" s="22">
        <v>306.04988607538326</v>
      </c>
      <c r="T20" s="21">
        <v>8.9423092072222765E-3</v>
      </c>
      <c r="U20" s="23">
        <v>3.9634511154723384</v>
      </c>
      <c r="V20" s="23">
        <v>4.8782619210181792</v>
      </c>
      <c r="W20" s="24">
        <v>71901303.620965004</v>
      </c>
    </row>
    <row r="21" spans="2:23" s="5" customFormat="1" outlineLevel="1" x14ac:dyDescent="0.15">
      <c r="B21" s="78">
        <v>2029</v>
      </c>
      <c r="C21" s="74">
        <v>45534.613870303008</v>
      </c>
      <c r="D21" s="74">
        <v>31636.818946185569</v>
      </c>
      <c r="E21" s="75">
        <v>0.69478614744153189</v>
      </c>
      <c r="F21" s="76">
        <v>248.16254764973596</v>
      </c>
      <c r="G21" s="76">
        <v>172.4199004208356</v>
      </c>
      <c r="H21" s="77">
        <v>2865641860.0648785</v>
      </c>
      <c r="J21" s="8">
        <v>2029</v>
      </c>
      <c r="K21" s="9">
        <v>45680.501226253022</v>
      </c>
      <c r="L21" s="9">
        <v>31328.999790947892</v>
      </c>
      <c r="M21" s="20">
        <v>0.68582872232020986</v>
      </c>
      <c r="N21" s="11">
        <v>244.66044517083196</v>
      </c>
      <c r="O21" s="11">
        <v>167.79516051380546</v>
      </c>
      <c r="P21" s="12">
        <v>2797712967.9977279</v>
      </c>
      <c r="Q21" s="9"/>
      <c r="R21" s="22">
        <v>-145.88735595001344</v>
      </c>
      <c r="S21" s="22">
        <v>307.81915523767748</v>
      </c>
      <c r="T21" s="21">
        <v>8.9574251213220268E-3</v>
      </c>
      <c r="U21" s="23">
        <v>3.5021024789039927</v>
      </c>
      <c r="V21" s="23">
        <v>4.6247399070301469</v>
      </c>
      <c r="W21" s="24">
        <v>67928892.067150593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2.8103521039208879E-3</v>
      </c>
      <c r="D24" s="75">
        <v>6.9595756357047733E-2</v>
      </c>
      <c r="E24" s="75">
        <v>6.6598239749928068E-2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2.3985827624908307E-3</v>
      </c>
      <c r="D25" s="75">
        <v>3.906678854151524E-2</v>
      </c>
      <c r="E25" s="75">
        <v>3.6580464507412813E-2</v>
      </c>
      <c r="F25" s="75">
        <v>5.1864698699082279E-2</v>
      </c>
      <c r="G25" s="75">
        <v>9.0342397976444611E-2</v>
      </c>
      <c r="H25" s="75">
        <v>9.2957674457443629E-2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6.8069240554935462E-3</v>
      </c>
      <c r="D26" s="75">
        <v>1.6013760205521033E-2</v>
      </c>
      <c r="E26" s="75">
        <v>9.1445896229453982E-3</v>
      </c>
      <c r="F26" s="75">
        <v>5.0111174963455074E-2</v>
      </c>
      <c r="G26" s="75">
        <v>5.9714010716965138E-2</v>
      </c>
      <c r="H26" s="75">
        <v>6.6927403508457939E-2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1.116518507785802E-2</v>
      </c>
      <c r="D27" s="75">
        <v>1.4801967080899647E-3</v>
      </c>
      <c r="E27" s="75">
        <v>-9.5780476945737103E-3</v>
      </c>
      <c r="F27" s="75">
        <v>2.3700065491624178E-2</v>
      </c>
      <c r="G27" s="75">
        <v>1.3895017439407242E-2</v>
      </c>
      <c r="H27" s="75">
        <v>2.5215342958636366E-2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1.3115417358541492E-2</v>
      </c>
      <c r="D28" s="75">
        <v>1.0241370928286253E-2</v>
      </c>
      <c r="E28" s="75">
        <v>-2.8368400885149248E-3</v>
      </c>
      <c r="F28" s="75">
        <v>4.3026385538184497E-2</v>
      </c>
      <c r="G28" s="75">
        <v>4.0067486474311131E-2</v>
      </c>
      <c r="H28" s="75">
        <v>5.3708405640470858E-2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3.7950829901410188E-2</v>
      </c>
      <c r="D29" s="75">
        <v>2.6024668978848142E-2</v>
      </c>
      <c r="E29" s="75">
        <v>-1.1490102015424886E-2</v>
      </c>
      <c r="F29" s="75">
        <v>8.765353110660179E-4</v>
      </c>
      <c r="G29" s="75">
        <v>-1.062363818450307E-2</v>
      </c>
      <c r="H29" s="75">
        <v>2.6924015831232939E-2</v>
      </c>
      <c r="J29" s="8">
        <v>2019</v>
      </c>
      <c r="K29" s="10">
        <v>3.7950829901410188E-2</v>
      </c>
      <c r="L29" s="10">
        <v>2.6024668978848142E-2</v>
      </c>
      <c r="M29" s="10">
        <v>-1.1490102015424886E-2</v>
      </c>
      <c r="N29" s="10">
        <v>8.765353110660179E-4</v>
      </c>
      <c r="O29" s="10">
        <v>-1.062363818450307E-2</v>
      </c>
      <c r="P29" s="10">
        <v>2.6924015831232939E-2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5.586883248568375E-3</v>
      </c>
      <c r="D30" s="75">
        <v>-0.30563469752291417</v>
      </c>
      <c r="E30" s="75">
        <v>-0.30949248240597071</v>
      </c>
      <c r="F30" s="75">
        <v>-8.3388169854007987E-2</v>
      </c>
      <c r="G30" s="75">
        <v>-0.36707264056857114</v>
      </c>
      <c r="H30" s="75">
        <v>-0.36353654930660306</v>
      </c>
      <c r="J30" s="8">
        <v>2020</v>
      </c>
      <c r="K30" s="10">
        <v>5.586883248568375E-3</v>
      </c>
      <c r="L30" s="10">
        <v>-0.30563469752291417</v>
      </c>
      <c r="M30" s="10">
        <v>-0.30949248240597071</v>
      </c>
      <c r="N30" s="10">
        <v>-8.3388169854007987E-2</v>
      </c>
      <c r="O30" s="10">
        <v>-0.36707264056857114</v>
      </c>
      <c r="P30" s="10">
        <v>-0.36353654930660306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1.244485008389562E-2</v>
      </c>
      <c r="D31" s="75">
        <v>0.32597977875306672</v>
      </c>
      <c r="E31" s="75">
        <v>0.30968099511118097</v>
      </c>
      <c r="F31" s="75">
        <v>0.32996733895412844</v>
      </c>
      <c r="G31" s="75">
        <v>0.74183294794681198</v>
      </c>
      <c r="H31" s="75">
        <v>0.7635097978551999</v>
      </c>
      <c r="J31" s="8">
        <v>2021</v>
      </c>
      <c r="K31" s="10">
        <v>1.244485008389562E-2</v>
      </c>
      <c r="L31" s="10">
        <v>0.32597977875306672</v>
      </c>
      <c r="M31" s="10">
        <v>0.30968099511118097</v>
      </c>
      <c r="N31" s="10">
        <v>0.32996733895412844</v>
      </c>
      <c r="O31" s="10">
        <v>0.74183294794681198</v>
      </c>
      <c r="P31" s="10">
        <v>0.7635097978551999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5.1568813858233753E-3</v>
      </c>
      <c r="D32" s="75">
        <v>7.4985812064634505E-2</v>
      </c>
      <c r="E32" s="75">
        <v>6.9470678629326876E-2</v>
      </c>
      <c r="F32" s="75">
        <v>6.0616458673370843E-2</v>
      </c>
      <c r="G32" s="75">
        <v>0.13429820382284374</v>
      </c>
      <c r="H32" s="75">
        <v>0.14014764511611055</v>
      </c>
      <c r="J32" s="8">
        <v>2022</v>
      </c>
      <c r="K32" s="10">
        <v>5.1568813858233753E-3</v>
      </c>
      <c r="L32" s="10">
        <v>7.4985812064634505E-2</v>
      </c>
      <c r="M32" s="10">
        <v>6.9470678629326876E-2</v>
      </c>
      <c r="N32" s="10">
        <v>6.0616458673370843E-2</v>
      </c>
      <c r="O32" s="10">
        <v>0.13429820382284374</v>
      </c>
      <c r="P32" s="10">
        <v>0.14014764511611055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6.7567221856239534E-3</v>
      </c>
      <c r="D33" s="75">
        <v>-2.7350533971735702E-2</v>
      </c>
      <c r="E33" s="75">
        <v>-3.3878349561266563E-2</v>
      </c>
      <c r="F33" s="75">
        <v>-3.8260593606135207E-2</v>
      </c>
      <c r="G33" s="75">
        <v>-7.08427374027919E-2</v>
      </c>
      <c r="H33" s="75">
        <v>-6.4564679912667677E-2</v>
      </c>
      <c r="J33" s="8">
        <v>2023</v>
      </c>
      <c r="K33" s="10">
        <v>6.7567221856239534E-3</v>
      </c>
      <c r="L33" s="10">
        <v>-2.7350533971735702E-2</v>
      </c>
      <c r="M33" s="10">
        <v>-3.3878349561266563E-2</v>
      </c>
      <c r="N33" s="10">
        <v>-3.8260593606135207E-2</v>
      </c>
      <c r="O33" s="10">
        <v>-7.08427374027919E-2</v>
      </c>
      <c r="P33" s="10">
        <v>-6.4564679912667677E-2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4.964670945535099E-3</v>
      </c>
      <c r="D34" s="75">
        <v>8.6022545054347255E-3</v>
      </c>
      <c r="E34" s="75">
        <v>3.6196133705648226E-3</v>
      </c>
      <c r="F34" s="75">
        <v>1.5047812346641987E-2</v>
      </c>
      <c r="G34" s="75">
        <v>1.8721892979974619E-2</v>
      </c>
      <c r="H34" s="75">
        <v>2.3779511963632816E-2</v>
      </c>
      <c r="J34" s="8">
        <v>2024</v>
      </c>
      <c r="K34" s="10">
        <v>4.964670945535099E-3</v>
      </c>
      <c r="L34" s="10">
        <v>8.6022545054347255E-3</v>
      </c>
      <c r="M34" s="10">
        <v>3.6196133705648226E-3</v>
      </c>
      <c r="N34" s="10">
        <v>1.5047812346641987E-2</v>
      </c>
      <c r="O34" s="10">
        <v>1.8721892979974619E-2</v>
      </c>
      <c r="P34" s="10">
        <v>2.3779511963632816E-2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8.2023372209598655E-3</v>
      </c>
      <c r="D35" s="75">
        <v>1.3728665066487178E-2</v>
      </c>
      <c r="E35" s="75">
        <v>5.481367818249927E-3</v>
      </c>
      <c r="F35" s="75">
        <v>7.6201786734928501E-3</v>
      </c>
      <c r="G35" s="75">
        <v>1.3143315493893137E-2</v>
      </c>
      <c r="H35" s="75">
        <v>2.1453458620735333E-2</v>
      </c>
      <c r="J35" s="8">
        <v>2025</v>
      </c>
      <c r="K35" s="10">
        <v>8.2023372209598655E-3</v>
      </c>
      <c r="L35" s="10">
        <v>1.3728665066487178E-2</v>
      </c>
      <c r="M35" s="10">
        <v>5.481367818249927E-3</v>
      </c>
      <c r="N35" s="10">
        <v>7.6201786734928501E-3</v>
      </c>
      <c r="O35" s="10">
        <v>1.3143315493893137E-2</v>
      </c>
      <c r="P35" s="10">
        <v>2.1453458620735333E-2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1.4688435844275594E-2</v>
      </c>
      <c r="D36" s="75">
        <v>3.7237846682290465E-2</v>
      </c>
      <c r="E36" s="75">
        <v>2.2222989876939714E-2</v>
      </c>
      <c r="F36" s="75">
        <v>4.303895258242818E-2</v>
      </c>
      <c r="G36" s="75">
        <v>6.6218396666920976E-2</v>
      </c>
      <c r="H36" s="75">
        <v>8.1879477182349447E-2</v>
      </c>
      <c r="J36" s="8">
        <v>2026</v>
      </c>
      <c r="K36" s="10">
        <v>1.46193273439299E-2</v>
      </c>
      <c r="L36" s="10">
        <v>2.9051840025038134E-2</v>
      </c>
      <c r="M36" s="10">
        <v>1.4224559193928954E-2</v>
      </c>
      <c r="N36" s="10">
        <v>2.8531505728418782E-2</v>
      </c>
      <c r="O36" s="10">
        <v>4.3161913014473363E-2</v>
      </c>
      <c r="P36" s="10">
        <v>5.8412238493552371E-2</v>
      </c>
      <c r="Q36" s="10"/>
      <c r="R36" s="19">
        <v>6.9108500345693713E-5</v>
      </c>
      <c r="S36" s="19">
        <v>8.1860066572523316E-3</v>
      </c>
      <c r="T36" s="19">
        <v>7.9984306830107599E-3</v>
      </c>
      <c r="U36" s="19">
        <v>1.4507446854009398E-2</v>
      </c>
      <c r="V36" s="19">
        <v>2.3056483652447612E-2</v>
      </c>
      <c r="W36" s="19">
        <v>2.3467238688797076E-2</v>
      </c>
    </row>
    <row r="37" spans="2:23" s="5" customFormat="1" outlineLevel="1" x14ac:dyDescent="0.15">
      <c r="B37" s="78">
        <v>2027</v>
      </c>
      <c r="C37" s="75">
        <v>1.3232836049616781E-2</v>
      </c>
      <c r="D37" s="75">
        <v>1.3148197965496378E-2</v>
      </c>
      <c r="E37" s="75">
        <v>-8.3532709471256794E-5</v>
      </c>
      <c r="F37" s="75">
        <v>1.349897946331402E-2</v>
      </c>
      <c r="G37" s="75">
        <v>1.3414319147513121E-2</v>
      </c>
      <c r="H37" s="75">
        <v>2.6824664683126276E-2</v>
      </c>
      <c r="J37" s="8">
        <v>2027</v>
      </c>
      <c r="K37" s="10">
        <v>1.3334582066862222E-2</v>
      </c>
      <c r="L37" s="10">
        <v>1.1640787605263325E-2</v>
      </c>
      <c r="M37" s="10">
        <v>-1.6715056325662392E-3</v>
      </c>
      <c r="N37" s="10">
        <v>1.1456585796788987E-2</v>
      </c>
      <c r="O37" s="10">
        <v>9.7659304165333971E-3</v>
      </c>
      <c r="P37" s="10">
        <v>2.3230737083994146E-2</v>
      </c>
      <c r="Q37" s="10"/>
      <c r="R37" s="19">
        <v>-1.0174601724544097E-4</v>
      </c>
      <c r="S37" s="19">
        <v>1.5074103602330524E-3</v>
      </c>
      <c r="T37" s="19">
        <v>1.5879729230949824E-3</v>
      </c>
      <c r="U37" s="19">
        <v>2.0423936665250331E-3</v>
      </c>
      <c r="V37" s="19">
        <v>3.6483887309797236E-3</v>
      </c>
      <c r="W37" s="19">
        <v>3.5939275991321296E-3</v>
      </c>
    </row>
    <row r="38" spans="2:23" s="5" customFormat="1" outlineLevel="1" x14ac:dyDescent="0.15">
      <c r="B38" s="78">
        <v>2028</v>
      </c>
      <c r="C38" s="75">
        <v>1.352755776132164E-2</v>
      </c>
      <c r="D38" s="75">
        <v>1.550660847601204E-2</v>
      </c>
      <c r="E38" s="75">
        <v>1.9526363141637582E-3</v>
      </c>
      <c r="F38" s="75">
        <v>1.7449047685046848E-2</v>
      </c>
      <c r="G38" s="75">
        <v>1.9435755643367969E-2</v>
      </c>
      <c r="H38" s="75">
        <v>3.3226231711789955E-2</v>
      </c>
      <c r="J38" s="8">
        <v>2028</v>
      </c>
      <c r="K38" s="10">
        <v>1.6741933514357044E-2</v>
      </c>
      <c r="L38" s="10">
        <v>1.5032658186145964E-2</v>
      </c>
      <c r="M38" s="10">
        <v>-1.6811299621555253E-3</v>
      </c>
      <c r="N38" s="10">
        <v>1.7119835728466315E-2</v>
      </c>
      <c r="O38" s="10">
        <v>1.5409925097520594E-2</v>
      </c>
      <c r="P38" s="10">
        <v>3.2409850553321462E-2</v>
      </c>
      <c r="Q38" s="10"/>
      <c r="R38" s="19">
        <v>-3.2143757530354033E-3</v>
      </c>
      <c r="S38" s="19">
        <v>4.7395028986607635E-4</v>
      </c>
      <c r="T38" s="19">
        <v>3.6337662763192835E-3</v>
      </c>
      <c r="U38" s="19">
        <v>3.2921195658053293E-4</v>
      </c>
      <c r="V38" s="19">
        <v>4.0258305458473753E-3</v>
      </c>
      <c r="W38" s="19">
        <v>8.1638115846849324E-4</v>
      </c>
    </row>
    <row r="39" spans="2:23" s="5" customFormat="1" outlineLevel="1" x14ac:dyDescent="0.15">
      <c r="B39" s="78">
        <v>2029</v>
      </c>
      <c r="C39" s="75">
        <v>6.6403722615668848E-3</v>
      </c>
      <c r="D39" s="75">
        <v>1.6199967767377199E-2</v>
      </c>
      <c r="E39" s="75">
        <v>9.4965349783588948E-3</v>
      </c>
      <c r="F39" s="75">
        <v>1.5228687594589063E-2</v>
      </c>
      <c r="G39" s="75">
        <v>2.4869842337364556E-2</v>
      </c>
      <c r="H39" s="75">
        <v>3.1675359610138232E-2</v>
      </c>
      <c r="J39" s="8">
        <v>2029</v>
      </c>
      <c r="K39" s="10">
        <v>6.6403722615668848E-3</v>
      </c>
      <c r="L39" s="10">
        <v>1.6303409189213802E-2</v>
      </c>
      <c r="M39" s="10">
        <v>9.5992940417612971E-3</v>
      </c>
      <c r="N39" s="10">
        <v>1.7398157743939047E-2</v>
      </c>
      <c r="O39" s="10">
        <v>2.7164461817669183E-2</v>
      </c>
      <c r="P39" s="10">
        <v>3.3985216217990777E-2</v>
      </c>
      <c r="Q39" s="10"/>
      <c r="R39" s="19">
        <v>0</v>
      </c>
      <c r="S39" s="19">
        <v>-1.034414218366031E-4</v>
      </c>
      <c r="T39" s="19">
        <v>-1.0275906340240226E-4</v>
      </c>
      <c r="U39" s="19">
        <v>-2.1694701493499835E-3</v>
      </c>
      <c r="V39" s="19">
        <v>-2.2946194803046271E-3</v>
      </c>
      <c r="W39" s="19">
        <v>-2.3098566078525451E-3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9362-ADF7-412A-81C6-D549E559E10C}">
  <sheetPr>
    <tabColor theme="7" tint="0.79998168889431442"/>
  </sheetPr>
  <dimension ref="B1:W54"/>
  <sheetViews>
    <sheetView zoomScale="150" zoomScaleNormal="150" workbookViewId="0">
      <selection activeCell="K65" sqref="K65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30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38386.674185441538</v>
      </c>
      <c r="D5" s="74">
        <v>23216.116115198678</v>
      </c>
      <c r="E5" s="75">
        <v>0.60479623744022037</v>
      </c>
      <c r="F5" s="76">
        <v>0</v>
      </c>
      <c r="G5" s="76">
        <v>0</v>
      </c>
      <c r="H5" s="77">
        <v>0</v>
      </c>
      <c r="J5" s="4"/>
      <c r="K5" s="9">
        <v>38386.674185441538</v>
      </c>
      <c r="L5" s="9">
        <v>23216.116115198678</v>
      </c>
      <c r="M5" s="20">
        <v>0.60479623744022037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38133.200555289448</v>
      </c>
      <c r="D6" s="74">
        <v>23600.52658591028</v>
      </c>
      <c r="E6" s="75">
        <v>0.61889708291576007</v>
      </c>
      <c r="F6" s="76">
        <v>76.692783974749318</v>
      </c>
      <c r="G6" s="76">
        <v>47.464940282660905</v>
      </c>
      <c r="H6" s="77">
        <v>660646381.80739403</v>
      </c>
      <c r="J6" s="4"/>
      <c r="K6" s="9">
        <v>38133.200555289448</v>
      </c>
      <c r="L6" s="9">
        <v>23600.52658591028</v>
      </c>
      <c r="M6" s="20">
        <v>0.61889708291576007</v>
      </c>
      <c r="N6" s="11">
        <v>76.692783974749318</v>
      </c>
      <c r="O6" s="11">
        <v>47.464940282660905</v>
      </c>
      <c r="P6" s="12">
        <v>660646381.80739403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37915.916666666664</v>
      </c>
      <c r="D7" s="74">
        <v>24626.859030977957</v>
      </c>
      <c r="E7" s="75">
        <v>0.64951242633752204</v>
      </c>
      <c r="F7" s="76">
        <v>81.099050816833881</v>
      </c>
      <c r="G7" s="76">
        <v>52.674841269711777</v>
      </c>
      <c r="H7" s="77">
        <v>728983435.58448434</v>
      </c>
      <c r="J7" s="4"/>
      <c r="K7" s="9">
        <v>37915.916666666664</v>
      </c>
      <c r="L7" s="9">
        <v>24626.859030977957</v>
      </c>
      <c r="M7" s="20">
        <v>0.64951242633752204</v>
      </c>
      <c r="N7" s="11">
        <v>81.099050816833881</v>
      </c>
      <c r="O7" s="11">
        <v>52.674841269711777</v>
      </c>
      <c r="P7" s="12">
        <v>728983435.58448434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38175.25</v>
      </c>
      <c r="D8" s="74">
        <v>24924.99222634573</v>
      </c>
      <c r="E8" s="75">
        <v>0.6529097314711948</v>
      </c>
      <c r="F8" s="76">
        <v>86.18957538424624</v>
      </c>
      <c r="G8" s="76">
        <v>56.27401251974451</v>
      </c>
      <c r="H8" s="77">
        <v>784120191.20219743</v>
      </c>
      <c r="J8" s="4"/>
      <c r="K8" s="9">
        <v>38175.25</v>
      </c>
      <c r="L8" s="9">
        <v>24924.99222634573</v>
      </c>
      <c r="M8" s="20">
        <v>0.6529097314711948</v>
      </c>
      <c r="N8" s="11">
        <v>86.18957538424624</v>
      </c>
      <c r="O8" s="11">
        <v>56.27401251974451</v>
      </c>
      <c r="P8" s="12">
        <v>784120191.20219743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38397.916666666664</v>
      </c>
      <c r="D9" s="74">
        <v>25714.306803785203</v>
      </c>
      <c r="E9" s="75">
        <v>0.66967973879967979</v>
      </c>
      <c r="F9" s="76">
        <v>89.990084699139842</v>
      </c>
      <c r="G9" s="76">
        <v>60.264536415881032</v>
      </c>
      <c r="H9" s="77">
        <v>844621916.24708891</v>
      </c>
      <c r="J9" s="4"/>
      <c r="K9" s="9">
        <v>38397.916666666664</v>
      </c>
      <c r="L9" s="9">
        <v>25714.306803785203</v>
      </c>
      <c r="M9" s="20">
        <v>0.66967973879967979</v>
      </c>
      <c r="N9" s="11">
        <v>89.990084699139842</v>
      </c>
      <c r="O9" s="11">
        <v>60.264536415881032</v>
      </c>
      <c r="P9" s="12">
        <v>844621916.24708891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38655.583333333336</v>
      </c>
      <c r="D10" s="74">
        <v>26162.707667690713</v>
      </c>
      <c r="E10" s="75">
        <v>0.6768157510930688</v>
      </c>
      <c r="F10" s="76">
        <v>93.787830388221337</v>
      </c>
      <c r="G10" s="76">
        <v>63.477080867593365</v>
      </c>
      <c r="H10" s="77">
        <v>895616410.07040799</v>
      </c>
      <c r="J10" s="4"/>
      <c r="K10" s="9">
        <v>38655.583333333336</v>
      </c>
      <c r="L10" s="9">
        <v>26162.707667690713</v>
      </c>
      <c r="M10" s="20">
        <v>0.6768157510930688</v>
      </c>
      <c r="N10" s="11">
        <v>93.787830388221337</v>
      </c>
      <c r="O10" s="11">
        <v>63.477080867593365</v>
      </c>
      <c r="P10" s="12">
        <v>895616410.07040799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39760.833333333336</v>
      </c>
      <c r="D11" s="74">
        <v>26961.307629500003</v>
      </c>
      <c r="E11" s="75">
        <v>0.67808708644185023</v>
      </c>
      <c r="F11" s="76">
        <v>93.608351917126555</v>
      </c>
      <c r="G11" s="76">
        <v>63.474614618107736</v>
      </c>
      <c r="H11" s="77">
        <v>921188304.04577303</v>
      </c>
      <c r="J11" s="8">
        <v>2019</v>
      </c>
      <c r="K11" s="9">
        <v>39760.833333333336</v>
      </c>
      <c r="L11" s="9">
        <v>26961.307629500003</v>
      </c>
      <c r="M11" s="20">
        <v>0.67808708644185023</v>
      </c>
      <c r="N11" s="11">
        <v>93.608351917126555</v>
      </c>
      <c r="O11" s="11">
        <v>63.474614618107736</v>
      </c>
      <c r="P11" s="12">
        <v>921188304.04577303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41031.583333333336</v>
      </c>
      <c r="D12" s="74">
        <v>23780.101744833333</v>
      </c>
      <c r="E12" s="75">
        <v>0.5795560349608736</v>
      </c>
      <c r="F12" s="76">
        <v>90.158473738271425</v>
      </c>
      <c r="G12" s="76">
        <v>52.251887557876636</v>
      </c>
      <c r="H12" s="77">
        <v>782551852.70906711</v>
      </c>
      <c r="J12" s="8">
        <v>2020</v>
      </c>
      <c r="K12" s="9">
        <v>41031.583333333336</v>
      </c>
      <c r="L12" s="9">
        <v>23780.101744833333</v>
      </c>
      <c r="M12" s="20">
        <v>0.5795560349608736</v>
      </c>
      <c r="N12" s="11">
        <v>90.158473738271425</v>
      </c>
      <c r="O12" s="11">
        <v>52.251887557876636</v>
      </c>
      <c r="P12" s="12">
        <v>782551852.70906711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41949.083333333336</v>
      </c>
      <c r="D13" s="74">
        <v>28412.853376562703</v>
      </c>
      <c r="E13" s="75">
        <v>0.67731762219427205</v>
      </c>
      <c r="F13" s="76">
        <v>105.51050901544754</v>
      </c>
      <c r="G13" s="76">
        <v>71.46412708285024</v>
      </c>
      <c r="H13" s="77">
        <v>1094216937.154979</v>
      </c>
      <c r="J13" s="8">
        <v>2021</v>
      </c>
      <c r="K13" s="9">
        <v>41949.083333333336</v>
      </c>
      <c r="L13" s="9">
        <v>28412.853376562703</v>
      </c>
      <c r="M13" s="20">
        <v>0.67731762219427205</v>
      </c>
      <c r="N13" s="11">
        <v>105.51050901544754</v>
      </c>
      <c r="O13" s="11">
        <v>71.46412708285024</v>
      </c>
      <c r="P13" s="12">
        <v>1094216937.154979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42146</v>
      </c>
      <c r="D14" s="74">
        <v>26770.812295186872</v>
      </c>
      <c r="E14" s="75">
        <v>0.63519224351508741</v>
      </c>
      <c r="F14" s="76">
        <v>117.47886359819319</v>
      </c>
      <c r="G14" s="76">
        <v>74.621662934539259</v>
      </c>
      <c r="H14" s="77">
        <v>1147926681.2042685</v>
      </c>
      <c r="J14" s="8">
        <v>2022</v>
      </c>
      <c r="K14" s="9">
        <v>42146</v>
      </c>
      <c r="L14" s="9">
        <v>26770.812295186872</v>
      </c>
      <c r="M14" s="20">
        <v>0.63519224351508741</v>
      </c>
      <c r="N14" s="11">
        <v>117.47886359819319</v>
      </c>
      <c r="O14" s="11">
        <v>74.621662934539259</v>
      </c>
      <c r="P14" s="12">
        <v>1147926681.2042685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42024.169354838705</v>
      </c>
      <c r="D15" s="74">
        <v>25929.041951296633</v>
      </c>
      <c r="E15" s="75">
        <v>0.61700308059298115</v>
      </c>
      <c r="F15" s="76">
        <v>120.86474342910159</v>
      </c>
      <c r="G15" s="76">
        <v>74.573919030835953</v>
      </c>
      <c r="H15" s="77">
        <v>1143876056.0241458</v>
      </c>
      <c r="J15" s="8">
        <v>2023</v>
      </c>
      <c r="K15" s="9">
        <v>42024.169354838705</v>
      </c>
      <c r="L15" s="9">
        <v>25929.041951296633</v>
      </c>
      <c r="M15" s="20">
        <v>0.61700308059298115</v>
      </c>
      <c r="N15" s="11">
        <v>120.86474342910159</v>
      </c>
      <c r="O15" s="11">
        <v>74.573919030835953</v>
      </c>
      <c r="P15" s="12">
        <v>1143876056.0241458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42963.416666666664</v>
      </c>
      <c r="D16" s="74">
        <v>25640.868413978493</v>
      </c>
      <c r="E16" s="75">
        <v>0.59680701404439418</v>
      </c>
      <c r="F16" s="76">
        <v>120.17506426129076</v>
      </c>
      <c r="G16" s="76">
        <v>71.721321264374126</v>
      </c>
      <c r="H16" s="77">
        <v>1124708448.4182854</v>
      </c>
      <c r="J16" s="8">
        <v>2024</v>
      </c>
      <c r="K16" s="9">
        <v>42963.416666666664</v>
      </c>
      <c r="L16" s="9">
        <v>25640.868413978493</v>
      </c>
      <c r="M16" s="20">
        <v>0.59680701404439418</v>
      </c>
      <c r="N16" s="11">
        <v>120.17506426129076</v>
      </c>
      <c r="O16" s="11">
        <v>71.721321264374126</v>
      </c>
      <c r="P16" s="12">
        <v>1124708448.4182854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43066.083333333336</v>
      </c>
      <c r="D17" s="74">
        <v>25922.216288360225</v>
      </c>
      <c r="E17" s="75">
        <v>0.60191719984659753</v>
      </c>
      <c r="F17" s="76">
        <v>118.84368479361602</v>
      </c>
      <c r="G17" s="76">
        <v>71.53405797042501</v>
      </c>
      <c r="H17" s="77">
        <v>1124452471.1299248</v>
      </c>
      <c r="J17" s="8">
        <v>2025</v>
      </c>
      <c r="K17" s="9">
        <v>43066.083333333336</v>
      </c>
      <c r="L17" s="9">
        <v>25922.216288360225</v>
      </c>
      <c r="M17" s="20">
        <v>0.60191719984659753</v>
      </c>
      <c r="N17" s="11">
        <v>118.84368479361602</v>
      </c>
      <c r="O17" s="11">
        <v>71.53405797042501</v>
      </c>
      <c r="P17" s="12">
        <v>1124452471.1299248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43487.1</v>
      </c>
      <c r="D18" s="74">
        <v>26202.443833676782</v>
      </c>
      <c r="E18" s="75">
        <v>0.6025337130706987</v>
      </c>
      <c r="F18" s="76">
        <v>119.28029183777214</v>
      </c>
      <c r="G18" s="76">
        <v>71.870397137169405</v>
      </c>
      <c r="H18" s="77">
        <v>1140783828.7804868</v>
      </c>
      <c r="J18" s="8">
        <v>2026</v>
      </c>
      <c r="K18" s="9">
        <v>43861.666666666664</v>
      </c>
      <c r="L18" s="9">
        <v>26488.491763262253</v>
      </c>
      <c r="M18" s="20">
        <v>0.60390983235009132</v>
      </c>
      <c r="N18" s="11">
        <v>119.55295306080477</v>
      </c>
      <c r="O18" s="11">
        <v>72.199203839908947</v>
      </c>
      <c r="P18" s="12">
        <v>1155873755.5350542</v>
      </c>
      <c r="Q18" s="9"/>
      <c r="R18" s="22">
        <v>-374.5666666666657</v>
      </c>
      <c r="S18" s="22">
        <v>-286.04792958547114</v>
      </c>
      <c r="T18" s="21">
        <v>-1.3761192793926291E-3</v>
      </c>
      <c r="U18" s="23">
        <v>-0.27266122303262819</v>
      </c>
      <c r="V18" s="23">
        <v>-0.32880670273954138</v>
      </c>
      <c r="W18" s="24">
        <v>-15089926.754567385</v>
      </c>
    </row>
    <row r="19" spans="2:23" s="5" customFormat="1" outlineLevel="1" x14ac:dyDescent="0.15">
      <c r="B19" s="78">
        <v>2027</v>
      </c>
      <c r="C19" s="74">
        <v>44010.350000000013</v>
      </c>
      <c r="D19" s="74">
        <v>26556.748190958235</v>
      </c>
      <c r="E19" s="75">
        <v>0.60342051792267559</v>
      </c>
      <c r="F19" s="76">
        <v>120.93815507789952</v>
      </c>
      <c r="G19" s="76">
        <v>72.976564173718998</v>
      </c>
      <c r="H19" s="77">
        <v>1172279307.8452346</v>
      </c>
      <c r="J19" s="8">
        <v>2027</v>
      </c>
      <c r="K19" s="9">
        <v>44892.900000000016</v>
      </c>
      <c r="L19" s="9">
        <v>26831.821267407187</v>
      </c>
      <c r="M19" s="20">
        <v>0.59768518557293415</v>
      </c>
      <c r="N19" s="11">
        <v>120.65566771201671</v>
      </c>
      <c r="O19" s="11">
        <v>72.114105146882991</v>
      </c>
      <c r="P19" s="12">
        <v>1181655128.4962041</v>
      </c>
      <c r="Q19" s="9"/>
      <c r="R19" s="22">
        <v>-882.55000000000291</v>
      </c>
      <c r="S19" s="22">
        <v>-275.07307644895263</v>
      </c>
      <c r="T19" s="21">
        <v>5.7353323497414399E-3</v>
      </c>
      <c r="U19" s="23">
        <v>0.28248736588281531</v>
      </c>
      <c r="V19" s="23">
        <v>0.86245902683600661</v>
      </c>
      <c r="W19" s="24">
        <v>-9375820.6509695053</v>
      </c>
    </row>
    <row r="20" spans="2:23" s="5" customFormat="1" outlineLevel="1" x14ac:dyDescent="0.15">
      <c r="B20" s="78">
        <v>2028</v>
      </c>
      <c r="C20" s="74">
        <v>44342.400000000023</v>
      </c>
      <c r="D20" s="74">
        <v>26934.1381277453</v>
      </c>
      <c r="E20" s="75">
        <v>0.60741272749660113</v>
      </c>
      <c r="F20" s="76">
        <v>122.80212823715291</v>
      </c>
      <c r="G20" s="76">
        <v>74.591575654916426</v>
      </c>
      <c r="H20" s="77">
        <v>1207262861.7770073</v>
      </c>
      <c r="J20" s="8">
        <v>2028</v>
      </c>
      <c r="K20" s="9">
        <v>47061.383333333339</v>
      </c>
      <c r="L20" s="9">
        <v>27203.241932748824</v>
      </c>
      <c r="M20" s="20">
        <v>0.57803744824221748</v>
      </c>
      <c r="N20" s="11">
        <v>122.56169311594773</v>
      </c>
      <c r="O20" s="11">
        <v>70.845248340988178</v>
      </c>
      <c r="P20" s="12">
        <v>1216937517.1749613</v>
      </c>
      <c r="Q20" s="9"/>
      <c r="R20" s="22">
        <v>-2718.9833333333154</v>
      </c>
      <c r="S20" s="22">
        <v>-269.10380500352403</v>
      </c>
      <c r="T20" s="21">
        <v>2.9375279254383657E-2</v>
      </c>
      <c r="U20" s="23">
        <v>0.24043512120518074</v>
      </c>
      <c r="V20" s="23">
        <v>3.7463273139282478</v>
      </c>
      <c r="W20" s="24">
        <v>-9674655.3979539871</v>
      </c>
    </row>
    <row r="21" spans="2:23" s="5" customFormat="1" outlineLevel="1" x14ac:dyDescent="0.15">
      <c r="B21" s="78">
        <v>2029</v>
      </c>
      <c r="C21" s="74">
        <v>44662.757504473164</v>
      </c>
      <c r="D21" s="74">
        <v>27360.54105453263</v>
      </c>
      <c r="E21" s="75">
        <v>0.61260304072788963</v>
      </c>
      <c r="F21" s="76">
        <v>124.72145139095919</v>
      </c>
      <c r="G21" s="76">
        <v>76.404740366097286</v>
      </c>
      <c r="H21" s="77">
        <v>1245542932.7745807</v>
      </c>
      <c r="J21" s="8">
        <v>2029</v>
      </c>
      <c r="K21" s="9">
        <v>47401.384490729433</v>
      </c>
      <c r="L21" s="9">
        <v>27630.594299270473</v>
      </c>
      <c r="M21" s="20">
        <v>0.58290690443175452</v>
      </c>
      <c r="N21" s="11">
        <v>124.5881380993566</v>
      </c>
      <c r="O21" s="11">
        <v>72.623285908411873</v>
      </c>
      <c r="P21" s="12">
        <v>1256492168.8885536</v>
      </c>
      <c r="Q21" s="9"/>
      <c r="R21" s="22">
        <v>-2738.6269862562694</v>
      </c>
      <c r="S21" s="22">
        <v>-270.05324473784276</v>
      </c>
      <c r="T21" s="21">
        <v>2.9696136296135101E-2</v>
      </c>
      <c r="U21" s="23">
        <v>0.13331329160259031</v>
      </c>
      <c r="V21" s="23">
        <v>3.7814544576854132</v>
      </c>
      <c r="W21" s="24">
        <v>-10949236.113972902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-6.6031672587103518E-3</v>
      </c>
      <c r="D24" s="75">
        <v>1.6557914717696631E-2</v>
      </c>
      <c r="E24" s="75">
        <v>2.3315035052501321E-2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-5.6980239124628795E-3</v>
      </c>
      <c r="D25" s="75">
        <v>4.3487692587351301E-2</v>
      </c>
      <c r="E25" s="75">
        <v>4.9467583976202212E-2</v>
      </c>
      <c r="F25" s="75">
        <v>5.745347363495501E-2</v>
      </c>
      <c r="G25" s="75">
        <v>0.10976314214291905</v>
      </c>
      <c r="H25" s="75">
        <v>0.10343968522181868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6.8396957302452321E-3</v>
      </c>
      <c r="D26" s="75">
        <v>1.2106017864184526E-2</v>
      </c>
      <c r="E26" s="75">
        <v>5.2305467854241172E-3</v>
      </c>
      <c r="F26" s="75">
        <v>6.2769224992651917E-2</v>
      </c>
      <c r="G26" s="75">
        <v>6.8328089146084681E-2</v>
      </c>
      <c r="H26" s="75">
        <v>7.5635128215918224E-2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5.8327494035184113E-3</v>
      </c>
      <c r="D27" s="75">
        <v>3.1667595731691645E-2</v>
      </c>
      <c r="E27" s="75">
        <v>2.5685031973252004E-2</v>
      </c>
      <c r="F27" s="75">
        <v>4.4094767817921765E-2</v>
      </c>
      <c r="G27" s="75">
        <v>7.0912375312430331E-2</v>
      </c>
      <c r="H27" s="75">
        <v>7.7158738830754192E-2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6.7104335087624367E-3</v>
      </c>
      <c r="D28" s="75">
        <v>1.7437797072542782E-2</v>
      </c>
      <c r="E28" s="75">
        <v>1.0655858136277896E-2</v>
      </c>
      <c r="F28" s="75">
        <v>4.2201823698447827E-2</v>
      </c>
      <c r="G28" s="75">
        <v>5.3307378481148637E-2</v>
      </c>
      <c r="H28" s="75">
        <v>6.0375527608735435E-2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2.8592247346761024E-2</v>
      </c>
      <c r="D29" s="75">
        <v>3.0524362078758083E-2</v>
      </c>
      <c r="E29" s="75">
        <v>1.8784068584813962E-3</v>
      </c>
      <c r="F29" s="75">
        <v>-1.9136648150602786E-3</v>
      </c>
      <c r="G29" s="75">
        <v>-3.8852597692318191E-5</v>
      </c>
      <c r="H29" s="75">
        <v>2.8552283865985295E-2</v>
      </c>
      <c r="J29" s="8">
        <v>2019</v>
      </c>
      <c r="K29" s="10">
        <v>2.8592247346761024E-2</v>
      </c>
      <c r="L29" s="10">
        <v>3.0524362078758083E-2</v>
      </c>
      <c r="M29" s="10">
        <v>1.8784068584813962E-3</v>
      </c>
      <c r="N29" s="10">
        <v>-1.9136648150602786E-3</v>
      </c>
      <c r="O29" s="10">
        <v>-3.8852597692318191E-5</v>
      </c>
      <c r="P29" s="10">
        <v>2.8552283865985295E-2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3.1959843229308671E-2</v>
      </c>
      <c r="D30" s="75">
        <v>-0.11799152802165724</v>
      </c>
      <c r="E30" s="75">
        <v>-0.14530737047066034</v>
      </c>
      <c r="F30" s="75">
        <v>-3.6854384338583124E-2</v>
      </c>
      <c r="G30" s="75">
        <v>-0.17680654113068905</v>
      </c>
      <c r="H30" s="75">
        <v>-0.15049740723783356</v>
      </c>
      <c r="J30" s="8">
        <v>2020</v>
      </c>
      <c r="K30" s="10">
        <v>3.1959843229308671E-2</v>
      </c>
      <c r="L30" s="10">
        <v>-0.11799152802165724</v>
      </c>
      <c r="M30" s="10">
        <v>-0.14530737047066034</v>
      </c>
      <c r="N30" s="10">
        <v>-3.6854384338583124E-2</v>
      </c>
      <c r="O30" s="10">
        <v>-0.17680654113068905</v>
      </c>
      <c r="P30" s="10">
        <v>-0.15049740723783356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2.2360823674445918E-2</v>
      </c>
      <c r="D31" s="75">
        <v>0.19481630824964502</v>
      </c>
      <c r="E31" s="75">
        <v>0.16868358076885248</v>
      </c>
      <c r="F31" s="75">
        <v>0.17027834035592515</v>
      </c>
      <c r="G31" s="75">
        <v>0.36768508130339272</v>
      </c>
      <c r="H31" s="75">
        <v>0.3982676462485879</v>
      </c>
      <c r="J31" s="8">
        <v>2021</v>
      </c>
      <c r="K31" s="10">
        <v>2.2360823674445918E-2</v>
      </c>
      <c r="L31" s="10">
        <v>0.19481630824964502</v>
      </c>
      <c r="M31" s="10">
        <v>0.16868358076885248</v>
      </c>
      <c r="N31" s="10">
        <v>0.17027834035592515</v>
      </c>
      <c r="O31" s="10">
        <v>0.36768508130339272</v>
      </c>
      <c r="P31" s="10">
        <v>0.3982676462485879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4.6941828287865306E-3</v>
      </c>
      <c r="D32" s="75">
        <v>-5.7792192132674836E-2</v>
      </c>
      <c r="E32" s="75">
        <v>-6.2194422969113261E-2</v>
      </c>
      <c r="F32" s="75">
        <v>0.11343282005201383</v>
      </c>
      <c r="G32" s="75">
        <v>4.418350829400608E-2</v>
      </c>
      <c r="H32" s="75">
        <v>4.9085096588741939E-2</v>
      </c>
      <c r="J32" s="8">
        <v>2022</v>
      </c>
      <c r="K32" s="10">
        <v>4.6941828287865306E-3</v>
      </c>
      <c r="L32" s="10">
        <v>-5.7792192132674836E-2</v>
      </c>
      <c r="M32" s="10">
        <v>-6.2194422969113261E-2</v>
      </c>
      <c r="N32" s="10">
        <v>0.11343282005201383</v>
      </c>
      <c r="O32" s="10">
        <v>4.418350829400608E-2</v>
      </c>
      <c r="P32" s="10">
        <v>4.9085096588741939E-2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-2.8906810886275558E-3</v>
      </c>
      <c r="D33" s="75">
        <v>-3.1443586194117135E-2</v>
      </c>
      <c r="E33" s="75">
        <v>-2.8635681729124007E-2</v>
      </c>
      <c r="F33" s="75">
        <v>2.8821183038414189E-2</v>
      </c>
      <c r="G33" s="75">
        <v>-6.3981291525472272E-4</v>
      </c>
      <c r="H33" s="75">
        <v>-3.5286445087879814E-3</v>
      </c>
      <c r="J33" s="8">
        <v>2023</v>
      </c>
      <c r="K33" s="10">
        <v>-2.8906810886275558E-3</v>
      </c>
      <c r="L33" s="10">
        <v>-3.1443586194117135E-2</v>
      </c>
      <c r="M33" s="10">
        <v>-2.8635681729124007E-2</v>
      </c>
      <c r="N33" s="10">
        <v>2.8821183038414189E-2</v>
      </c>
      <c r="O33" s="10">
        <v>-6.3981291525472272E-4</v>
      </c>
      <c r="P33" s="10">
        <v>-3.5286445087879814E-3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2.2350169586869306E-2</v>
      </c>
      <c r="D34" s="75">
        <v>-1.1113929232689168E-2</v>
      </c>
      <c r="E34" s="75">
        <v>-3.2732521414929105E-2</v>
      </c>
      <c r="F34" s="75">
        <v>-5.7062063612901559E-3</v>
      </c>
      <c r="G34" s="75">
        <v>-3.8251949254300199E-2</v>
      </c>
      <c r="H34" s="75">
        <v>-1.6756717220292816E-2</v>
      </c>
      <c r="J34" s="8">
        <v>2024</v>
      </c>
      <c r="K34" s="10">
        <v>2.2350169586869306E-2</v>
      </c>
      <c r="L34" s="10">
        <v>-1.1113929232689168E-2</v>
      </c>
      <c r="M34" s="10">
        <v>-3.2732521414929105E-2</v>
      </c>
      <c r="N34" s="10">
        <v>-5.7062063612901559E-3</v>
      </c>
      <c r="O34" s="10">
        <v>-3.8251949254300199E-2</v>
      </c>
      <c r="P34" s="10">
        <v>-1.6756717220292816E-2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2.3896299370977925E-3</v>
      </c>
      <c r="D35" s="75">
        <v>1.0972634383488833E-2</v>
      </c>
      <c r="E35" s="75">
        <v>8.5625431369733551E-3</v>
      </c>
      <c r="F35" s="75">
        <v>-1.1078666575788043E-2</v>
      </c>
      <c r="G35" s="75">
        <v>-2.6109849992701495E-3</v>
      </c>
      <c r="H35" s="75">
        <v>-2.2759435009189755E-4</v>
      </c>
      <c r="J35" s="8">
        <v>2025</v>
      </c>
      <c r="K35" s="10">
        <v>2.3896299370977925E-3</v>
      </c>
      <c r="L35" s="10">
        <v>1.0972634383488833E-2</v>
      </c>
      <c r="M35" s="10">
        <v>8.5625431369733551E-3</v>
      </c>
      <c r="N35" s="10">
        <v>-1.1078666575788043E-2</v>
      </c>
      <c r="O35" s="10">
        <v>-2.6109849992701495E-3</v>
      </c>
      <c r="P35" s="10">
        <v>-2.2759435009189755E-4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9.7760612082593568E-3</v>
      </c>
      <c r="D36" s="75">
        <v>1.0810323554100831E-2</v>
      </c>
      <c r="E36" s="75">
        <v>1.0242492227474642E-3</v>
      </c>
      <c r="F36" s="75">
        <v>3.6737925529179982E-3</v>
      </c>
      <c r="G36" s="75">
        <v>4.7018046548323866E-3</v>
      </c>
      <c r="H36" s="75">
        <v>1.4523830993186548E-2</v>
      </c>
      <c r="J36" s="8">
        <v>2026</v>
      </c>
      <c r="K36" s="10">
        <v>1.8473547435820414E-2</v>
      </c>
      <c r="L36" s="10">
        <v>2.1845179771773582E-2</v>
      </c>
      <c r="M36" s="10">
        <v>3.3104760987086035E-3</v>
      </c>
      <c r="N36" s="10">
        <v>5.9680770452419374E-3</v>
      </c>
      <c r="O36" s="10">
        <v>9.2983103203643225E-3</v>
      </c>
      <c r="P36" s="10">
        <v>2.7943630532960784E-2</v>
      </c>
      <c r="Q36" s="10"/>
      <c r="R36" s="19">
        <v>-8.6974862275610576E-3</v>
      </c>
      <c r="S36" s="19">
        <v>-1.103485621767275E-2</v>
      </c>
      <c r="T36" s="19">
        <v>-2.2862268759611393E-3</v>
      </c>
      <c r="U36" s="19">
        <v>-2.2942844923239392E-3</v>
      </c>
      <c r="V36" s="19">
        <v>-4.5965056655319358E-3</v>
      </c>
      <c r="W36" s="19">
        <v>-1.3419799539774235E-2</v>
      </c>
    </row>
    <row r="37" spans="2:23" s="5" customFormat="1" outlineLevel="1" x14ac:dyDescent="0.15">
      <c r="B37" s="78">
        <v>2027</v>
      </c>
      <c r="C37" s="75">
        <v>1.2032303832631097E-2</v>
      </c>
      <c r="D37" s="75">
        <v>1.3521805810574161E-2</v>
      </c>
      <c r="E37" s="75">
        <v>1.4717929183705181E-3</v>
      </c>
      <c r="F37" s="75">
        <v>1.3898886518337594E-2</v>
      </c>
      <c r="G37" s="75">
        <v>1.5391135719458937E-2</v>
      </c>
      <c r="H37" s="75">
        <v>2.7608630373396004E-2</v>
      </c>
      <c r="J37" s="8">
        <v>2027</v>
      </c>
      <c r="K37" s="10">
        <v>2.3511038492229686E-2</v>
      </c>
      <c r="L37" s="10">
        <v>1.2961459157939226E-2</v>
      </c>
      <c r="M37" s="10">
        <v>-1.0307245293447509E-2</v>
      </c>
      <c r="N37" s="10">
        <v>9.2236504660081486E-3</v>
      </c>
      <c r="O37" s="10">
        <v>-1.1786652552935317E-3</v>
      </c>
      <c r="P37" s="10">
        <v>2.2304661592749575E-2</v>
      </c>
      <c r="Q37" s="10"/>
      <c r="R37" s="19">
        <v>-1.1478734659598588E-2</v>
      </c>
      <c r="S37" s="19">
        <v>5.6034665263493544E-4</v>
      </c>
      <c r="T37" s="19">
        <v>1.1779038211818027E-2</v>
      </c>
      <c r="U37" s="19">
        <v>4.6752360523294456E-3</v>
      </c>
      <c r="V37" s="19">
        <v>1.6569800974752469E-2</v>
      </c>
      <c r="W37" s="19">
        <v>5.3039687806464286E-3</v>
      </c>
    </row>
    <row r="38" spans="2:23" s="5" customFormat="1" outlineLevel="1" x14ac:dyDescent="0.15">
      <c r="B38" s="78">
        <v>2028</v>
      </c>
      <c r="C38" s="75">
        <v>7.5448161625619736E-3</v>
      </c>
      <c r="D38" s="75">
        <v>1.4210698315675341E-2</v>
      </c>
      <c r="E38" s="75">
        <v>6.6159659066102883E-3</v>
      </c>
      <c r="F38" s="75">
        <v>1.5412614472684494E-2</v>
      </c>
      <c r="G38" s="75">
        <v>2.213054971117745E-2</v>
      </c>
      <c r="H38" s="75">
        <v>2.9842336802887059E-2</v>
      </c>
      <c r="J38" s="8">
        <v>2028</v>
      </c>
      <c r="K38" s="10">
        <v>4.8303480802829091E-2</v>
      </c>
      <c r="L38" s="10">
        <v>1.3842543957044207E-2</v>
      </c>
      <c r="M38" s="10">
        <v>-3.2873053916975703E-2</v>
      </c>
      <c r="N38" s="10">
        <v>1.5797230582490052E-2</v>
      </c>
      <c r="O38" s="10">
        <v>-1.7595126547162887E-2</v>
      </c>
      <c r="P38" s="10">
        <v>2.9858448398271786E-2</v>
      </c>
      <c r="Q38" s="10"/>
      <c r="R38" s="19">
        <v>-4.0758664640267117E-2</v>
      </c>
      <c r="S38" s="19">
        <v>3.6815435863113422E-4</v>
      </c>
      <c r="T38" s="19">
        <v>3.9489019823585991E-2</v>
      </c>
      <c r="U38" s="19">
        <v>-3.8461610980555783E-4</v>
      </c>
      <c r="V38" s="19">
        <v>3.9725676258340337E-2</v>
      </c>
      <c r="W38" s="19">
        <v>-1.611159538472684E-5</v>
      </c>
    </row>
    <row r="39" spans="2:23" s="5" customFormat="1" outlineLevel="1" x14ac:dyDescent="0.15">
      <c r="B39" s="78">
        <v>2029</v>
      </c>
      <c r="C39" s="75">
        <v>7.2246316048103498E-3</v>
      </c>
      <c r="D39" s="75">
        <v>1.5831318780833215E-2</v>
      </c>
      <c r="E39" s="75">
        <v>8.5449530382413208E-3</v>
      </c>
      <c r="F39" s="75">
        <v>1.5629396504429627E-2</v>
      </c>
      <c r="G39" s="75">
        <v>2.4307902001817538E-2</v>
      </c>
      <c r="H39" s="75">
        <v>3.1708149243676598E-2</v>
      </c>
      <c r="J39" s="8">
        <v>2029</v>
      </c>
      <c r="K39" s="10">
        <v>7.2246316048103498E-3</v>
      </c>
      <c r="L39" s="10">
        <v>1.5709611655042366E-2</v>
      </c>
      <c r="M39" s="10">
        <v>8.4241188946232448E-3</v>
      </c>
      <c r="N39" s="10">
        <v>1.6534081178951832E-2</v>
      </c>
      <c r="O39" s="10">
        <v>2.5097485139239595E-2</v>
      </c>
      <c r="P39" s="10">
        <v>3.2503436828388521E-2</v>
      </c>
      <c r="Q39" s="10"/>
      <c r="R39" s="19">
        <v>0</v>
      </c>
      <c r="S39" s="19">
        <v>1.2170712579084864E-4</v>
      </c>
      <c r="T39" s="19">
        <v>1.2083414361807598E-4</v>
      </c>
      <c r="U39" s="19">
        <v>-9.046846745222048E-4</v>
      </c>
      <c r="V39" s="19">
        <v>-7.8958313742205632E-4</v>
      </c>
      <c r="W39" s="19">
        <v>-7.952875847119234E-4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D03B-BF50-499A-A27D-4E6EDACD1F45}">
  <sheetPr>
    <tabColor theme="7" tint="0.79998168889431442"/>
  </sheetPr>
  <dimension ref="B1:W54"/>
  <sheetViews>
    <sheetView topLeftCell="A3" zoomScale="150" zoomScaleNormal="150" workbookViewId="0">
      <selection activeCell="K66" sqref="K66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31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23456.452248340178</v>
      </c>
      <c r="D5" s="74">
        <v>14478.144239576453</v>
      </c>
      <c r="E5" s="75">
        <v>0.61723503990681083</v>
      </c>
      <c r="F5" s="76">
        <v>0</v>
      </c>
      <c r="G5" s="76">
        <v>0</v>
      </c>
      <c r="H5" s="77">
        <v>0</v>
      </c>
      <c r="J5" s="4"/>
      <c r="K5" s="9">
        <v>23456.452248340178</v>
      </c>
      <c r="L5" s="9">
        <v>14478.144239576453</v>
      </c>
      <c r="M5" s="20">
        <v>0.61723503990681083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23926.876221789218</v>
      </c>
      <c r="D6" s="74">
        <v>13705.85337094934</v>
      </c>
      <c r="E6" s="75">
        <v>0.57282251322335109</v>
      </c>
      <c r="F6" s="76">
        <v>114.10093619351393</v>
      </c>
      <c r="G6" s="76">
        <v>65.359585031505887</v>
      </c>
      <c r="H6" s="77">
        <v>570805505.84906721</v>
      </c>
      <c r="J6" s="4"/>
      <c r="K6" s="9">
        <v>23926.876221789218</v>
      </c>
      <c r="L6" s="9">
        <v>13705.85337094934</v>
      </c>
      <c r="M6" s="20">
        <v>0.57282251322335109</v>
      </c>
      <c r="N6" s="11">
        <v>114.10093619351393</v>
      </c>
      <c r="O6" s="11">
        <v>65.359585031505887</v>
      </c>
      <c r="P6" s="12">
        <v>570805505.84906721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24315</v>
      </c>
      <c r="D7" s="74">
        <v>14166.398812365178</v>
      </c>
      <c r="E7" s="75">
        <v>0.58261973318384441</v>
      </c>
      <c r="F7" s="76">
        <v>119.74856246289394</v>
      </c>
      <c r="G7" s="76">
        <v>69.767875511280195</v>
      </c>
      <c r="H7" s="77">
        <v>619188150.96572399</v>
      </c>
      <c r="J7" s="4"/>
      <c r="K7" s="9">
        <v>24315</v>
      </c>
      <c r="L7" s="9">
        <v>14166.398812365178</v>
      </c>
      <c r="M7" s="20">
        <v>0.58261973318384441</v>
      </c>
      <c r="N7" s="11">
        <v>119.74856246289394</v>
      </c>
      <c r="O7" s="11">
        <v>69.767875511280195</v>
      </c>
      <c r="P7" s="12">
        <v>619188150.96572399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24295.5</v>
      </c>
      <c r="D8" s="74">
        <v>14583.947428793157</v>
      </c>
      <c r="E8" s="75">
        <v>0.60027360740849778</v>
      </c>
      <c r="F8" s="76">
        <v>128.03542043781636</v>
      </c>
      <c r="G8" s="76">
        <v>76.856283702271725</v>
      </c>
      <c r="H8" s="77">
        <v>681550571.85131812</v>
      </c>
      <c r="J8" s="4"/>
      <c r="K8" s="9">
        <v>24295.5</v>
      </c>
      <c r="L8" s="9">
        <v>14583.947428793157</v>
      </c>
      <c r="M8" s="20">
        <v>0.60027360740849778</v>
      </c>
      <c r="N8" s="11">
        <v>128.03542043781636</v>
      </c>
      <c r="O8" s="11">
        <v>76.856283702271725</v>
      </c>
      <c r="P8" s="12">
        <v>681550571.85131812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24537.916666666668</v>
      </c>
      <c r="D9" s="74">
        <v>14873.621491159853</v>
      </c>
      <c r="E9" s="75">
        <v>0.60614850450465507</v>
      </c>
      <c r="F9" s="76">
        <v>130.833587477403</v>
      </c>
      <c r="G9" s="76">
        <v>79.304583388406797</v>
      </c>
      <c r="H9" s="77">
        <v>710278779.34134698</v>
      </c>
      <c r="J9" s="4"/>
      <c r="K9" s="9">
        <v>24537.916666666668</v>
      </c>
      <c r="L9" s="9">
        <v>14873.621491159853</v>
      </c>
      <c r="M9" s="20">
        <v>0.60614850450465507</v>
      </c>
      <c r="N9" s="11">
        <v>130.833587477403</v>
      </c>
      <c r="O9" s="11">
        <v>79.304583388406797</v>
      </c>
      <c r="P9" s="12">
        <v>710278779.34134698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24859.75</v>
      </c>
      <c r="D10" s="74">
        <v>15376.350564410503</v>
      </c>
      <c r="E10" s="75">
        <v>0.61852394189042537</v>
      </c>
      <c r="F10" s="76">
        <v>136.23766547310751</v>
      </c>
      <c r="G10" s="76">
        <v>84.266257882375569</v>
      </c>
      <c r="H10" s="77">
        <v>764615908.10285592</v>
      </c>
      <c r="J10" s="4"/>
      <c r="K10" s="9">
        <v>24859.75</v>
      </c>
      <c r="L10" s="9">
        <v>15376.350564410503</v>
      </c>
      <c r="M10" s="20">
        <v>0.61852394189042537</v>
      </c>
      <c r="N10" s="11">
        <v>136.23766547310751</v>
      </c>
      <c r="O10" s="11">
        <v>84.266257882375569</v>
      </c>
      <c r="P10" s="12">
        <v>764615908.10285592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26397.666666666668</v>
      </c>
      <c r="D11" s="74">
        <v>16246.356020666668</v>
      </c>
      <c r="E11" s="75">
        <v>0.61544666904903211</v>
      </c>
      <c r="F11" s="76">
        <v>134.36826864133468</v>
      </c>
      <c r="G11" s="76">
        <v>82.696503361194942</v>
      </c>
      <c r="H11" s="77">
        <v>796793076.53311181</v>
      </c>
      <c r="J11" s="8">
        <v>2019</v>
      </c>
      <c r="K11" s="9">
        <v>26397.666666666668</v>
      </c>
      <c r="L11" s="9">
        <v>16246.356020666668</v>
      </c>
      <c r="M11" s="20">
        <v>0.61544666904903211</v>
      </c>
      <c r="N11" s="11">
        <v>134.36826864133468</v>
      </c>
      <c r="O11" s="11">
        <v>82.696503361194942</v>
      </c>
      <c r="P11" s="12">
        <v>796793076.53311181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23893</v>
      </c>
      <c r="D12" s="74">
        <v>11375.421051083331</v>
      </c>
      <c r="E12" s="75">
        <v>0.47609848286457668</v>
      </c>
      <c r="F12" s="76">
        <v>118.49210449491117</v>
      </c>
      <c r="G12" s="76">
        <v>56.413911181458097</v>
      </c>
      <c r="H12" s="77">
        <v>491982616.64838105</v>
      </c>
      <c r="J12" s="8">
        <v>2020</v>
      </c>
      <c r="K12" s="9">
        <v>23893</v>
      </c>
      <c r="L12" s="9">
        <v>11375.421051083331</v>
      </c>
      <c r="M12" s="20">
        <v>0.47609848286457668</v>
      </c>
      <c r="N12" s="11">
        <v>118.49210449491117</v>
      </c>
      <c r="O12" s="11">
        <v>56.413911181458097</v>
      </c>
      <c r="P12" s="12">
        <v>491982616.64838105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27355.583333333332</v>
      </c>
      <c r="D13" s="74">
        <v>15566.877458488338</v>
      </c>
      <c r="E13" s="75">
        <v>0.56905668100010076</v>
      </c>
      <c r="F13" s="76">
        <v>143.70537942417943</v>
      </c>
      <c r="G13" s="76">
        <v>81.776506256983708</v>
      </c>
      <c r="H13" s="77">
        <v>816521071.54194689</v>
      </c>
      <c r="J13" s="8">
        <v>2021</v>
      </c>
      <c r="K13" s="9">
        <v>27355.583333333332</v>
      </c>
      <c r="L13" s="9">
        <v>15566.877458488338</v>
      </c>
      <c r="M13" s="20">
        <v>0.56905668100010076</v>
      </c>
      <c r="N13" s="11">
        <v>143.70537942417943</v>
      </c>
      <c r="O13" s="11">
        <v>81.776506256983708</v>
      </c>
      <c r="P13" s="12">
        <v>816521071.54194689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27786.833333333332</v>
      </c>
      <c r="D14" s="74">
        <v>17101.899308755746</v>
      </c>
      <c r="E14" s="75">
        <v>0.61546773263436805</v>
      </c>
      <c r="F14" s="76">
        <v>174.27586264475428</v>
      </c>
      <c r="G14" s="76">
        <v>107.26117003486547</v>
      </c>
      <c r="H14" s="77">
        <v>1087863613.0374541</v>
      </c>
      <c r="J14" s="8">
        <v>2022</v>
      </c>
      <c r="K14" s="9">
        <v>27786.833333333332</v>
      </c>
      <c r="L14" s="9">
        <v>17101.899308755746</v>
      </c>
      <c r="M14" s="20">
        <v>0.61546773263436805</v>
      </c>
      <c r="N14" s="11">
        <v>174.27586264475428</v>
      </c>
      <c r="O14" s="11">
        <v>107.26117003486547</v>
      </c>
      <c r="P14" s="12">
        <v>1087863613.0374541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27870.806451612905</v>
      </c>
      <c r="D15" s="74">
        <v>16917.991064861897</v>
      </c>
      <c r="E15" s="75">
        <v>0.60701476630156281</v>
      </c>
      <c r="F15" s="76">
        <v>180.24479902742135</v>
      </c>
      <c r="G15" s="76">
        <v>109.41125455870232</v>
      </c>
      <c r="H15" s="77">
        <v>1113023663.2933161</v>
      </c>
      <c r="J15" s="8">
        <v>2023</v>
      </c>
      <c r="K15" s="9">
        <v>27870.806451612905</v>
      </c>
      <c r="L15" s="9">
        <v>16917.991064861897</v>
      </c>
      <c r="M15" s="20">
        <v>0.60701476630156281</v>
      </c>
      <c r="N15" s="11">
        <v>180.24479902742135</v>
      </c>
      <c r="O15" s="11">
        <v>109.41125455870232</v>
      </c>
      <c r="P15" s="12">
        <v>1113023663.2933161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28026.833333333332</v>
      </c>
      <c r="D16" s="74">
        <v>16346.014669738868</v>
      </c>
      <c r="E16" s="75">
        <v>0.58322731203092992</v>
      </c>
      <c r="F16" s="76">
        <v>178.44595726632633</v>
      </c>
      <c r="G16" s="76">
        <v>104.07455599922571</v>
      </c>
      <c r="H16" s="77">
        <v>1064661285.8593024</v>
      </c>
      <c r="J16" s="8">
        <v>2024</v>
      </c>
      <c r="K16" s="9">
        <v>28026.833333333332</v>
      </c>
      <c r="L16" s="9">
        <v>16346.014669738868</v>
      </c>
      <c r="M16" s="20">
        <v>0.58322731203092992</v>
      </c>
      <c r="N16" s="11">
        <v>178.44595726632633</v>
      </c>
      <c r="O16" s="11">
        <v>104.07455599922571</v>
      </c>
      <c r="P16" s="12">
        <v>1064661285.8593024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28269.5</v>
      </c>
      <c r="D17" s="74">
        <v>16460.401759394765</v>
      </c>
      <c r="E17" s="75">
        <v>0.58226716989670013</v>
      </c>
      <c r="F17" s="76">
        <v>181.36629803994236</v>
      </c>
      <c r="G17" s="76">
        <v>105.60364107435868</v>
      </c>
      <c r="H17" s="77">
        <v>1089657177.9433277</v>
      </c>
      <c r="J17" s="8">
        <v>2025</v>
      </c>
      <c r="K17" s="9">
        <v>28269.5</v>
      </c>
      <c r="L17" s="9">
        <v>16460.401759394765</v>
      </c>
      <c r="M17" s="20">
        <v>0.58226716989670013</v>
      </c>
      <c r="N17" s="11">
        <v>181.36629803994236</v>
      </c>
      <c r="O17" s="11">
        <v>105.60364107435868</v>
      </c>
      <c r="P17" s="12">
        <v>1089657177.9433277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27812.458333333332</v>
      </c>
      <c r="D18" s="74">
        <v>16680.836284258839</v>
      </c>
      <c r="E18" s="75">
        <v>0.59976130424496843</v>
      </c>
      <c r="F18" s="76">
        <v>187.93951189342155</v>
      </c>
      <c r="G18" s="76">
        <v>112.71884677236126</v>
      </c>
      <c r="H18" s="77">
        <v>1144270703.6717539</v>
      </c>
      <c r="J18" s="8">
        <v>2026</v>
      </c>
      <c r="K18" s="9">
        <v>28606.75</v>
      </c>
      <c r="L18" s="9">
        <v>16673.723814482564</v>
      </c>
      <c r="M18" s="20">
        <v>0.58285977311237958</v>
      </c>
      <c r="N18" s="11">
        <v>185.54552124723969</v>
      </c>
      <c r="O18" s="11">
        <v>108.14702041618433</v>
      </c>
      <c r="P18" s="12">
        <v>1129213193.3460987</v>
      </c>
      <c r="Q18" s="9"/>
      <c r="R18" s="22">
        <v>-794.29166666666788</v>
      </c>
      <c r="S18" s="22">
        <v>7.1124697762752476</v>
      </c>
      <c r="T18" s="21">
        <v>1.6901531132588854E-2</v>
      </c>
      <c r="U18" s="23">
        <v>2.3939906461818623</v>
      </c>
      <c r="V18" s="23">
        <v>4.5718263561769277</v>
      </c>
      <c r="W18" s="24">
        <v>15057510.325655222</v>
      </c>
    </row>
    <row r="19" spans="2:23" s="5" customFormat="1" outlineLevel="1" x14ac:dyDescent="0.15">
      <c r="B19" s="78">
        <v>2027</v>
      </c>
      <c r="C19" s="74">
        <v>27900.083333333332</v>
      </c>
      <c r="D19" s="74">
        <v>16942.590889882889</v>
      </c>
      <c r="E19" s="75">
        <v>0.60725950842020981</v>
      </c>
      <c r="F19" s="76">
        <v>190.46206813883876</v>
      </c>
      <c r="G19" s="76">
        <v>115.65990187068773</v>
      </c>
      <c r="H19" s="77">
        <v>1177826128.6888304</v>
      </c>
      <c r="J19" s="8">
        <v>2027</v>
      </c>
      <c r="K19" s="9">
        <v>28941.283333333329</v>
      </c>
      <c r="L19" s="9">
        <v>16922.332203108101</v>
      </c>
      <c r="M19" s="20">
        <v>0.58471257159552714</v>
      </c>
      <c r="N19" s="11">
        <v>187.72979532906876</v>
      </c>
      <c r="O19" s="11">
        <v>109.76797139196177</v>
      </c>
      <c r="P19" s="12">
        <v>1159541475.7576973</v>
      </c>
      <c r="Q19" s="9"/>
      <c r="R19" s="22">
        <v>-1041.1999999999971</v>
      </c>
      <c r="S19" s="22">
        <v>20.258686774788657</v>
      </c>
      <c r="T19" s="21">
        <v>2.2546936824682673E-2</v>
      </c>
      <c r="U19" s="23">
        <v>2.7322728097699951</v>
      </c>
      <c r="V19" s="23">
        <v>5.8919304787259676</v>
      </c>
      <c r="W19" s="24">
        <v>18284652.931133032</v>
      </c>
    </row>
    <row r="20" spans="2:23" s="5" customFormat="1" outlineLevel="1" x14ac:dyDescent="0.15">
      <c r="B20" s="78">
        <v>2028</v>
      </c>
      <c r="C20" s="74">
        <v>28037.583333333332</v>
      </c>
      <c r="D20" s="74">
        <v>17193.467808194549</v>
      </c>
      <c r="E20" s="75">
        <v>0.61322930738305015</v>
      </c>
      <c r="F20" s="76">
        <v>193.77216055849766</v>
      </c>
      <c r="G20" s="76">
        <v>118.82676780940471</v>
      </c>
      <c r="H20" s="77">
        <v>1216039622.7106948</v>
      </c>
      <c r="J20" s="8">
        <v>2028</v>
      </c>
      <c r="K20" s="9">
        <v>29261.966666666664</v>
      </c>
      <c r="L20" s="9">
        <v>17219.018801035629</v>
      </c>
      <c r="M20" s="20">
        <v>0.58844366126116943</v>
      </c>
      <c r="N20" s="11">
        <v>190.95486287015868</v>
      </c>
      <c r="O20" s="11">
        <v>112.36617864294072</v>
      </c>
      <c r="P20" s="12">
        <v>1200140211.4773116</v>
      </c>
      <c r="Q20" s="9"/>
      <c r="R20" s="22">
        <v>-1224.3833333333314</v>
      </c>
      <c r="S20" s="22">
        <v>-25.550992841079278</v>
      </c>
      <c r="T20" s="21">
        <v>2.4785646121880722E-2</v>
      </c>
      <c r="U20" s="23">
        <v>2.8172976883389822</v>
      </c>
      <c r="V20" s="23">
        <v>6.4605891664639898</v>
      </c>
      <c r="W20" s="24">
        <v>15899411.233383179</v>
      </c>
    </row>
    <row r="21" spans="2:23" s="5" customFormat="1" outlineLevel="1" x14ac:dyDescent="0.15">
      <c r="B21" s="78">
        <v>2029</v>
      </c>
      <c r="C21" s="74">
        <v>28198.99308883939</v>
      </c>
      <c r="D21" s="74">
        <v>17461.07678910004</v>
      </c>
      <c r="E21" s="75">
        <v>0.6192092297086591</v>
      </c>
      <c r="F21" s="76">
        <v>196.76300902302654</v>
      </c>
      <c r="G21" s="76">
        <v>121.83747125230619</v>
      </c>
      <c r="H21" s="77">
        <v>1254028313.5789893</v>
      </c>
      <c r="J21" s="8">
        <v>2029</v>
      </c>
      <c r="K21" s="9">
        <v>29430.425082969534</v>
      </c>
      <c r="L21" s="9">
        <v>17520.174439380997</v>
      </c>
      <c r="M21" s="20">
        <v>0.5953082359493127</v>
      </c>
      <c r="N21" s="11">
        <v>194.31764116664579</v>
      </c>
      <c r="O21" s="11">
        <v>115.67889217674744</v>
      </c>
      <c r="P21" s="12">
        <v>1242634824.0093668</v>
      </c>
      <c r="Q21" s="9"/>
      <c r="R21" s="22">
        <v>-1231.4319941301437</v>
      </c>
      <c r="S21" s="22">
        <v>-59.097650280957168</v>
      </c>
      <c r="T21" s="21">
        <v>2.3900993759346401E-2</v>
      </c>
      <c r="U21" s="23">
        <v>2.4453678563807557</v>
      </c>
      <c r="V21" s="23">
        <v>6.1585790755587482</v>
      </c>
      <c r="W21" s="24">
        <v>11393489.569622517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2.0055205641011931E-2</v>
      </c>
      <c r="D24" s="75">
        <v>-5.3341841043138105E-2</v>
      </c>
      <c r="E24" s="75">
        <v>-7.1953994527214626E-2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1.6221247379435644E-2</v>
      </c>
      <c r="D25" s="75">
        <v>3.3602098968313898E-2</v>
      </c>
      <c r="E25" s="75">
        <v>1.7103412897239378E-2</v>
      </c>
      <c r="F25" s="75">
        <v>4.9496756624342719E-2</v>
      </c>
      <c r="G25" s="75">
        <v>6.7446732987202163E-2</v>
      </c>
      <c r="H25" s="75">
        <v>8.47620505073583E-2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-8.0197409006788067E-4</v>
      </c>
      <c r="D26" s="75">
        <v>2.9474577269667179E-2</v>
      </c>
      <c r="E26" s="75">
        <v>3.0300851857832045E-2</v>
      </c>
      <c r="F26" s="75">
        <v>6.9202149942219293E-2</v>
      </c>
      <c r="G26" s="75">
        <v>0.10159988589369418</v>
      </c>
      <c r="H26" s="75">
        <v>0.10071643132758568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9.9778422615985907E-3</v>
      </c>
      <c r="D27" s="75">
        <v>1.9862527877383185E-2</v>
      </c>
      <c r="E27" s="75">
        <v>9.7870321527551152E-3</v>
      </c>
      <c r="F27" s="75">
        <v>2.1854632335476687E-2</v>
      </c>
      <c r="G27" s="75">
        <v>3.1855556477585756E-2</v>
      </c>
      <c r="H27" s="75">
        <v>4.2151248456873125E-2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1.3115756227606967E-2</v>
      </c>
      <c r="D28" s="75">
        <v>3.3800044834369825E-2</v>
      </c>
      <c r="E28" s="75">
        <v>2.0416510630317353E-2</v>
      </c>
      <c r="F28" s="75">
        <v>4.1304974509224435E-2</v>
      </c>
      <c r="G28" s="75">
        <v>6.2564788590694365E-2</v>
      </c>
      <c r="H28" s="75">
        <v>7.650112933388864E-2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6.1863722147916578E-2</v>
      </c>
      <c r="D29" s="75">
        <v>5.658075058914469E-2</v>
      </c>
      <c r="E29" s="75">
        <v>-4.9751879159083412E-3</v>
      </c>
      <c r="F29" s="75">
        <v>-1.3721585915914325E-2</v>
      </c>
      <c r="G29" s="75">
        <v>-1.8628506363386754E-2</v>
      </c>
      <c r="H29" s="75">
        <v>4.2082787042834413E-2</v>
      </c>
      <c r="J29" s="8">
        <v>2019</v>
      </c>
      <c r="K29" s="10">
        <v>6.1863722147916578E-2</v>
      </c>
      <c r="L29" s="10">
        <v>5.658075058914469E-2</v>
      </c>
      <c r="M29" s="10">
        <v>-4.9751879159083412E-3</v>
      </c>
      <c r="N29" s="10">
        <v>-1.3721585915914325E-2</v>
      </c>
      <c r="O29" s="10">
        <v>-1.8628506363386754E-2</v>
      </c>
      <c r="P29" s="10">
        <v>4.2082787042834413E-2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-9.4882123419999242E-2</v>
      </c>
      <c r="D30" s="75">
        <v>-0.29981707672705915</v>
      </c>
      <c r="E30" s="75">
        <v>-0.22641797119443619</v>
      </c>
      <c r="F30" s="75">
        <v>-0.11815411709144885</v>
      </c>
      <c r="G30" s="75">
        <v>-0.31781987280576929</v>
      </c>
      <c r="H30" s="75">
        <v>-0.38254657182888308</v>
      </c>
      <c r="J30" s="8">
        <v>2020</v>
      </c>
      <c r="K30" s="10">
        <v>-9.4882123419999242E-2</v>
      </c>
      <c r="L30" s="10">
        <v>-0.29981707672705915</v>
      </c>
      <c r="M30" s="10">
        <v>-0.22641797119443619</v>
      </c>
      <c r="N30" s="10">
        <v>-0.11815411709144885</v>
      </c>
      <c r="O30" s="10">
        <v>-0.31781987280576929</v>
      </c>
      <c r="P30" s="10">
        <v>-0.38254657182888308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0.1449204090458851</v>
      </c>
      <c r="D31" s="75">
        <v>0.3684660452199997</v>
      </c>
      <c r="E31" s="75">
        <v>0.19524993563561832</v>
      </c>
      <c r="F31" s="75">
        <v>0.21278443012505588</v>
      </c>
      <c r="G31" s="75">
        <v>0.44958051204685279</v>
      </c>
      <c r="H31" s="75">
        <v>0.65965431279762621</v>
      </c>
      <c r="J31" s="8">
        <v>2021</v>
      </c>
      <c r="K31" s="10">
        <v>0.1449204090458851</v>
      </c>
      <c r="L31" s="10">
        <v>0.3684660452199997</v>
      </c>
      <c r="M31" s="10">
        <v>0.19524993563561832</v>
      </c>
      <c r="N31" s="10">
        <v>0.21278443012505588</v>
      </c>
      <c r="O31" s="10">
        <v>0.44958051204685279</v>
      </c>
      <c r="P31" s="10">
        <v>0.65965431279762621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1.5764606250399771E-2</v>
      </c>
      <c r="D32" s="75">
        <v>9.8608205425962936E-2</v>
      </c>
      <c r="E32" s="75">
        <v>8.1557871445602226E-2</v>
      </c>
      <c r="F32" s="75">
        <v>0.2127302634255539</v>
      </c>
      <c r="G32" s="75">
        <v>0.31163796234820662</v>
      </c>
      <c r="H32" s="75">
        <v>0.33231541836770306</v>
      </c>
      <c r="J32" s="8">
        <v>2022</v>
      </c>
      <c r="K32" s="10">
        <v>1.5764606250399771E-2</v>
      </c>
      <c r="L32" s="10">
        <v>9.8608205425962936E-2</v>
      </c>
      <c r="M32" s="10">
        <v>8.1557871445602226E-2</v>
      </c>
      <c r="N32" s="10">
        <v>0.2127302634255539</v>
      </c>
      <c r="O32" s="10">
        <v>0.31163796234820662</v>
      </c>
      <c r="P32" s="10">
        <v>0.33231541836770306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3.0220470707196245E-3</v>
      </c>
      <c r="D33" s="75">
        <v>-1.0753673646043072E-2</v>
      </c>
      <c r="E33" s="75">
        <v>-1.373421527173202E-2</v>
      </c>
      <c r="F33" s="75">
        <v>3.424993164334067E-2</v>
      </c>
      <c r="G33" s="75">
        <v>2.0045320437376946E-2</v>
      </c>
      <c r="H33" s="75">
        <v>2.3127945410005957E-2</v>
      </c>
      <c r="J33" s="8">
        <v>2023</v>
      </c>
      <c r="K33" s="10">
        <v>3.0220470707196245E-3</v>
      </c>
      <c r="L33" s="10">
        <v>-1.0753673646043072E-2</v>
      </c>
      <c r="M33" s="10">
        <v>-1.373421527173202E-2</v>
      </c>
      <c r="N33" s="10">
        <v>3.424993164334067E-2</v>
      </c>
      <c r="O33" s="10">
        <v>2.0045320437376946E-2</v>
      </c>
      <c r="P33" s="10">
        <v>2.3127945410005957E-2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5.5982191254964064E-3</v>
      </c>
      <c r="D34" s="75">
        <v>-3.3808765646590522E-2</v>
      </c>
      <c r="E34" s="75">
        <v>-3.9187603978014907E-2</v>
      </c>
      <c r="F34" s="75">
        <v>-9.9799926034002118E-3</v>
      </c>
      <c r="G34" s="75">
        <v>-4.8776504583569302E-2</v>
      </c>
      <c r="H34" s="75">
        <v>-4.3451347018907627E-2</v>
      </c>
      <c r="J34" s="8">
        <v>2024</v>
      </c>
      <c r="K34" s="10">
        <v>5.5982191254964064E-3</v>
      </c>
      <c r="L34" s="10">
        <v>-3.3808765646590522E-2</v>
      </c>
      <c r="M34" s="10">
        <v>-3.9187603978014907E-2</v>
      </c>
      <c r="N34" s="10">
        <v>-9.9799926034002118E-3</v>
      </c>
      <c r="O34" s="10">
        <v>-4.8776504583569302E-2</v>
      </c>
      <c r="P34" s="10">
        <v>-4.3451347018907627E-2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8.6583690629813415E-3</v>
      </c>
      <c r="D35" s="75">
        <v>6.9978580080232167E-3</v>
      </c>
      <c r="E35" s="75">
        <v>-1.6462571529552994E-3</v>
      </c>
      <c r="F35" s="75">
        <v>1.6365407310727109E-2</v>
      </c>
      <c r="G35" s="75">
        <v>1.4692208488925385E-2</v>
      </c>
      <c r="H35" s="75">
        <v>2.3477788115354281E-2</v>
      </c>
      <c r="J35" s="8">
        <v>2025</v>
      </c>
      <c r="K35" s="10">
        <v>8.6583690629813415E-3</v>
      </c>
      <c r="L35" s="10">
        <v>6.9978580080232167E-3</v>
      </c>
      <c r="M35" s="10">
        <v>-1.6462571529552994E-3</v>
      </c>
      <c r="N35" s="10">
        <v>1.6365407310727109E-2</v>
      </c>
      <c r="O35" s="10">
        <v>1.4692208488925385E-2</v>
      </c>
      <c r="P35" s="10">
        <v>2.3477788115354281E-2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-1.6167306343114252E-2</v>
      </c>
      <c r="D36" s="75">
        <v>1.3391807082610452E-2</v>
      </c>
      <c r="E36" s="75">
        <v>3.0044857846565298E-2</v>
      </c>
      <c r="F36" s="75">
        <v>3.6242752509794141E-2</v>
      </c>
      <c r="G36" s="75">
        <v>6.7376518703484489E-2</v>
      </c>
      <c r="H36" s="75">
        <v>5.0119915542158333E-2</v>
      </c>
      <c r="J36" s="8">
        <v>2026</v>
      </c>
      <c r="K36" s="10">
        <v>1.1929818355471467E-2</v>
      </c>
      <c r="L36" s="10">
        <v>1.2959711324545653E-2</v>
      </c>
      <c r="M36" s="10">
        <v>1.0177513799800586E-3</v>
      </c>
      <c r="N36" s="10">
        <v>2.3042997803136123E-2</v>
      </c>
      <c r="O36" s="10">
        <v>2.4084201225929247E-2</v>
      </c>
      <c r="P36" s="10">
        <v>3.6301339727262683E-2</v>
      </c>
      <c r="Q36" s="10"/>
      <c r="R36" s="19">
        <v>-2.8097124698585718E-2</v>
      </c>
      <c r="S36" s="19">
        <v>4.3209575806479883E-4</v>
      </c>
      <c r="T36" s="19">
        <v>2.902710646658524E-2</v>
      </c>
      <c r="U36" s="19">
        <v>1.3199754706658018E-2</v>
      </c>
      <c r="V36" s="19">
        <v>4.3292317477555242E-2</v>
      </c>
      <c r="W36" s="19">
        <v>1.3818575814895651E-2</v>
      </c>
    </row>
    <row r="37" spans="2:23" s="5" customFormat="1" outlineLevel="1" x14ac:dyDescent="0.15">
      <c r="B37" s="78">
        <v>2027</v>
      </c>
      <c r="C37" s="75">
        <v>3.1505665177027353E-3</v>
      </c>
      <c r="D37" s="75">
        <v>1.5691935413997049E-2</v>
      </c>
      <c r="E37" s="75">
        <v>1.250198057489027E-2</v>
      </c>
      <c r="F37" s="75">
        <v>1.34221708889386E-2</v>
      </c>
      <c r="G37" s="75">
        <v>2.6091955183555227E-2</v>
      </c>
      <c r="H37" s="75">
        <v>2.93247261416405E-2</v>
      </c>
      <c r="J37" s="8">
        <v>2027</v>
      </c>
      <c r="K37" s="10">
        <v>1.1694209699925073E-2</v>
      </c>
      <c r="L37" s="10">
        <v>1.491018991268156E-2</v>
      </c>
      <c r="M37" s="10">
        <v>3.1788065819913225E-3</v>
      </c>
      <c r="N37" s="10">
        <v>1.1772173573074474E-2</v>
      </c>
      <c r="O37" s="10">
        <v>1.4988401617904046E-2</v>
      </c>
      <c r="P37" s="10">
        <v>2.6857888829415311E-2</v>
      </c>
      <c r="Q37" s="10"/>
      <c r="R37" s="19">
        <v>-8.543643182222338E-3</v>
      </c>
      <c r="S37" s="19">
        <v>7.8174550131548948E-4</v>
      </c>
      <c r="T37" s="19">
        <v>9.3231739928989477E-3</v>
      </c>
      <c r="U37" s="19">
        <v>1.6499973158641268E-3</v>
      </c>
      <c r="V37" s="19">
        <v>1.1103553565651181E-2</v>
      </c>
      <c r="W37" s="19">
        <v>2.4668373122251896E-3</v>
      </c>
    </row>
    <row r="38" spans="2:23" s="5" customFormat="1" outlineLevel="1" x14ac:dyDescent="0.15">
      <c r="B38" s="78">
        <v>2028</v>
      </c>
      <c r="C38" s="75">
        <v>4.928300692052856E-3</v>
      </c>
      <c r="D38" s="75">
        <v>1.4807470707533188E-2</v>
      </c>
      <c r="E38" s="75">
        <v>9.8307212650663445E-3</v>
      </c>
      <c r="F38" s="75">
        <v>1.7379273742034407E-2</v>
      </c>
      <c r="G38" s="75">
        <v>2.7380845803048226E-2</v>
      </c>
      <c r="H38" s="75">
        <v>3.244408753642114E-2</v>
      </c>
      <c r="J38" s="8">
        <v>2028</v>
      </c>
      <c r="K38" s="10">
        <v>1.1080480766517464E-2</v>
      </c>
      <c r="L38" s="10">
        <v>1.753225231407729E-2</v>
      </c>
      <c r="M38" s="10">
        <v>6.3810662655348072E-3</v>
      </c>
      <c r="N38" s="10">
        <v>1.7179305690057101E-2</v>
      </c>
      <c r="O38" s="10">
        <v>2.366999424359606E-2</v>
      </c>
      <c r="P38" s="10">
        <v>3.5012749926073283E-2</v>
      </c>
      <c r="Q38" s="10"/>
      <c r="R38" s="19">
        <v>-6.1521800744646082E-3</v>
      </c>
      <c r="S38" s="19">
        <v>-2.7247816065441022E-3</v>
      </c>
      <c r="T38" s="19">
        <v>3.4496549995315373E-3</v>
      </c>
      <c r="U38" s="19">
        <v>1.9996805197730616E-4</v>
      </c>
      <c r="V38" s="19">
        <v>3.7108515594521663E-3</v>
      </c>
      <c r="W38" s="19">
        <v>-2.5686623896521432E-3</v>
      </c>
    </row>
    <row r="39" spans="2:23" s="5" customFormat="1" outlineLevel="1" x14ac:dyDescent="0.15">
      <c r="B39" s="78">
        <v>2029</v>
      </c>
      <c r="C39" s="75">
        <v>5.7569068484644159E-3</v>
      </c>
      <c r="D39" s="75">
        <v>1.556457277210499E-2</v>
      </c>
      <c r="E39" s="75">
        <v>9.7515272894053151E-3</v>
      </c>
      <c r="F39" s="75">
        <v>1.543487184076664E-2</v>
      </c>
      <c r="G39" s="75">
        <v>2.5336912704135628E-2</v>
      </c>
      <c r="H39" s="75">
        <v>3.1239681798865382E-2</v>
      </c>
      <c r="J39" s="8">
        <v>2029</v>
      </c>
      <c r="K39" s="10">
        <v>5.7569068484644159E-3</v>
      </c>
      <c r="L39" s="10">
        <v>1.7489709595256198E-2</v>
      </c>
      <c r="M39" s="10">
        <v>1.1665644716829737E-2</v>
      </c>
      <c r="N39" s="10">
        <v>1.7610330765829518E-2</v>
      </c>
      <c r="O39" s="10">
        <v>2.9481411344719044E-2</v>
      </c>
      <c r="P39" s="10">
        <v>3.5408039932056212E-2</v>
      </c>
      <c r="Q39" s="10"/>
      <c r="R39" s="19">
        <v>0</v>
      </c>
      <c r="S39" s="19">
        <v>-1.9251368231512078E-3</v>
      </c>
      <c r="T39" s="19">
        <v>-1.9141174274244221E-3</v>
      </c>
      <c r="U39" s="19">
        <v>-2.1754589250628786E-3</v>
      </c>
      <c r="V39" s="19">
        <v>-4.1444986405834161E-3</v>
      </c>
      <c r="W39" s="19">
        <v>-4.1683581331908304E-3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C69B-2507-46ED-A246-402BA1CE5453}">
  <sheetPr>
    <tabColor theme="7" tint="0.79998168889431442"/>
  </sheetPr>
  <dimension ref="B1:W54"/>
  <sheetViews>
    <sheetView zoomScale="150" zoomScaleNormal="150" workbookViewId="0">
      <selection activeCell="L64" sqref="L64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32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20911.596868888864</v>
      </c>
      <c r="D5" s="74">
        <v>14455.537701319916</v>
      </c>
      <c r="E5" s="75">
        <v>0.69126895434877467</v>
      </c>
      <c r="F5" s="76">
        <v>0</v>
      </c>
      <c r="G5" s="76">
        <v>0</v>
      </c>
      <c r="H5" s="77">
        <v>0</v>
      </c>
      <c r="J5" s="4"/>
      <c r="K5" s="9">
        <v>20911.596868888864</v>
      </c>
      <c r="L5" s="9">
        <v>14455.537701319916</v>
      </c>
      <c r="M5" s="20">
        <v>0.69126895434877467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21019.567134238325</v>
      </c>
      <c r="D6" s="74">
        <v>13902.774807484471</v>
      </c>
      <c r="E6" s="75">
        <v>0.66142060484388077</v>
      </c>
      <c r="F6" s="76">
        <v>93.875593683994339</v>
      </c>
      <c r="G6" s="76">
        <v>62.091251954545932</v>
      </c>
      <c r="H6" s="77">
        <v>476372902.20123196</v>
      </c>
      <c r="J6" s="4"/>
      <c r="K6" s="9">
        <v>21019.567134238325</v>
      </c>
      <c r="L6" s="9">
        <v>13902.774807484471</v>
      </c>
      <c r="M6" s="20">
        <v>0.66142060484388077</v>
      </c>
      <c r="N6" s="11">
        <v>93.875593683994339</v>
      </c>
      <c r="O6" s="11">
        <v>62.091251954545932</v>
      </c>
      <c r="P6" s="12">
        <v>476372902.20123196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20895.25</v>
      </c>
      <c r="D7" s="74">
        <v>14767.785119047609</v>
      </c>
      <c r="E7" s="75">
        <v>0.70675321515883316</v>
      </c>
      <c r="F7" s="76">
        <v>99.969710631402066</v>
      </c>
      <c r="G7" s="76">
        <v>70.653914407241587</v>
      </c>
      <c r="H7" s="77">
        <v>538860889.83153892</v>
      </c>
      <c r="J7" s="4"/>
      <c r="K7" s="9">
        <v>20895.25</v>
      </c>
      <c r="L7" s="9">
        <v>14767.785119047609</v>
      </c>
      <c r="M7" s="20">
        <v>0.70675321515883316</v>
      </c>
      <c r="N7" s="11">
        <v>99.969710631402066</v>
      </c>
      <c r="O7" s="11">
        <v>70.653914407241587</v>
      </c>
      <c r="P7" s="12">
        <v>538860889.83153892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20482.916666666668</v>
      </c>
      <c r="D8" s="74">
        <v>14801.986228095608</v>
      </c>
      <c r="E8" s="75">
        <v>0.72265031728532836</v>
      </c>
      <c r="F8" s="76">
        <v>106.06445997534757</v>
      </c>
      <c r="G8" s="76">
        <v>76.647515653881939</v>
      </c>
      <c r="H8" s="77">
        <v>573037106.68360484</v>
      </c>
      <c r="J8" s="4"/>
      <c r="K8" s="9">
        <v>20482.916666666668</v>
      </c>
      <c r="L8" s="9">
        <v>14801.986228095608</v>
      </c>
      <c r="M8" s="20">
        <v>0.72265031728532836</v>
      </c>
      <c r="N8" s="11">
        <v>106.06445997534757</v>
      </c>
      <c r="O8" s="11">
        <v>76.647515653881939</v>
      </c>
      <c r="P8" s="12">
        <v>573037106.68360484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20469.916666666668</v>
      </c>
      <c r="D9" s="74">
        <v>15401.123764700227</v>
      </c>
      <c r="E9" s="75">
        <v>0.7523784300392149</v>
      </c>
      <c r="F9" s="76">
        <v>113.29549562040471</v>
      </c>
      <c r="G9" s="76">
        <v>85.241087125394841</v>
      </c>
      <c r="H9" s="77">
        <v>636880451.76201046</v>
      </c>
      <c r="J9" s="4"/>
      <c r="K9" s="9">
        <v>20469.916666666668</v>
      </c>
      <c r="L9" s="9">
        <v>15401.123764700227</v>
      </c>
      <c r="M9" s="20">
        <v>0.7523784300392149</v>
      </c>
      <c r="N9" s="11">
        <v>113.29549562040471</v>
      </c>
      <c r="O9" s="11">
        <v>85.241087125394841</v>
      </c>
      <c r="P9" s="12">
        <v>636880451.76201046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20970.833333333332</v>
      </c>
      <c r="D10" s="74">
        <v>15754.960330261123</v>
      </c>
      <c r="E10" s="75">
        <v>0.75127965016146825</v>
      </c>
      <c r="F10" s="76">
        <v>119.32798180584433</v>
      </c>
      <c r="G10" s="76">
        <v>89.648684425568774</v>
      </c>
      <c r="H10" s="77">
        <v>686202781.16903746</v>
      </c>
      <c r="J10" s="4"/>
      <c r="K10" s="9">
        <v>20970.833333333332</v>
      </c>
      <c r="L10" s="9">
        <v>15754.960330261123</v>
      </c>
      <c r="M10" s="20">
        <v>0.75127965016146825</v>
      </c>
      <c r="N10" s="11">
        <v>119.32798180584433</v>
      </c>
      <c r="O10" s="11">
        <v>89.648684425568774</v>
      </c>
      <c r="P10" s="12">
        <v>686202781.16903746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20872.5</v>
      </c>
      <c r="D11" s="74">
        <v>15895.851672166667</v>
      </c>
      <c r="E11" s="75">
        <v>0.76156913029903783</v>
      </c>
      <c r="F11" s="76">
        <v>119.72303715824488</v>
      </c>
      <c r="G11" s="76">
        <v>91.177369285363952</v>
      </c>
      <c r="H11" s="77">
        <v>694631368.74919701</v>
      </c>
      <c r="J11" s="8">
        <v>2019</v>
      </c>
      <c r="K11" s="9">
        <v>20872.5</v>
      </c>
      <c r="L11" s="9">
        <v>15895.851672166667</v>
      </c>
      <c r="M11" s="20">
        <v>0.76156913029903783</v>
      </c>
      <c r="N11" s="11">
        <v>119.72303715824488</v>
      </c>
      <c r="O11" s="11">
        <v>91.177369285363952</v>
      </c>
      <c r="P11" s="12">
        <v>694631368.74919701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21216.5</v>
      </c>
      <c r="D12" s="74">
        <v>11571.52182675</v>
      </c>
      <c r="E12" s="75">
        <v>0.54540201384535625</v>
      </c>
      <c r="F12" s="76">
        <v>101.86262904194466</v>
      </c>
      <c r="G12" s="76">
        <v>55.55608301505908</v>
      </c>
      <c r="H12" s="77">
        <v>430227556.88048536</v>
      </c>
      <c r="J12" s="8">
        <v>2020</v>
      </c>
      <c r="K12" s="9">
        <v>21216.5</v>
      </c>
      <c r="L12" s="9">
        <v>11571.52182675</v>
      </c>
      <c r="M12" s="20">
        <v>0.54540201384535625</v>
      </c>
      <c r="N12" s="11">
        <v>101.86262904194466</v>
      </c>
      <c r="O12" s="11">
        <v>55.55608301505908</v>
      </c>
      <c r="P12" s="12">
        <v>430227556.88048536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21465.166666666668</v>
      </c>
      <c r="D13" s="74">
        <v>14421.155978471315</v>
      </c>
      <c r="E13" s="75">
        <v>0.67183992569999373</v>
      </c>
      <c r="F13" s="76">
        <v>118.20344174190674</v>
      </c>
      <c r="G13" s="76">
        <v>79.41379151736615</v>
      </c>
      <c r="H13" s="77">
        <v>622190048.75154722</v>
      </c>
      <c r="J13" s="8">
        <v>2021</v>
      </c>
      <c r="K13" s="9">
        <v>21465.166666666668</v>
      </c>
      <c r="L13" s="9">
        <v>14421.155978471315</v>
      </c>
      <c r="M13" s="20">
        <v>0.67183992569999373</v>
      </c>
      <c r="N13" s="11">
        <v>118.20344174190674</v>
      </c>
      <c r="O13" s="11">
        <v>79.41379151736615</v>
      </c>
      <c r="P13" s="12">
        <v>622190048.75154722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21797.5</v>
      </c>
      <c r="D14" s="74">
        <v>14452.210631080377</v>
      </c>
      <c r="E14" s="75">
        <v>0.66302147636565556</v>
      </c>
      <c r="F14" s="76">
        <v>138.18864103260586</v>
      </c>
      <c r="G14" s="76">
        <v>91.62203679440195</v>
      </c>
      <c r="H14" s="77">
        <v>728952941.6644814</v>
      </c>
      <c r="J14" s="8">
        <v>2022</v>
      </c>
      <c r="K14" s="9">
        <v>21797.5</v>
      </c>
      <c r="L14" s="9">
        <v>14452.210631080377</v>
      </c>
      <c r="M14" s="20">
        <v>0.66302147636565556</v>
      </c>
      <c r="N14" s="11">
        <v>138.18864103260586</v>
      </c>
      <c r="O14" s="11">
        <v>91.62203679440195</v>
      </c>
      <c r="P14" s="12">
        <v>728952941.6644814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22084.31451612903</v>
      </c>
      <c r="D15" s="74">
        <v>14275.499458069331</v>
      </c>
      <c r="E15" s="75">
        <v>0.64640899076325786</v>
      </c>
      <c r="F15" s="76">
        <v>145.29109389165581</v>
      </c>
      <c r="G15" s="76">
        <v>93.917469369394965</v>
      </c>
      <c r="H15" s="77">
        <v>757047570.22111094</v>
      </c>
      <c r="J15" s="8">
        <v>2023</v>
      </c>
      <c r="K15" s="9">
        <v>22084.31451612903</v>
      </c>
      <c r="L15" s="9">
        <v>14275.499458069331</v>
      </c>
      <c r="M15" s="20">
        <v>0.64640899076325786</v>
      </c>
      <c r="N15" s="11">
        <v>145.29109389165581</v>
      </c>
      <c r="O15" s="11">
        <v>93.917469369394965</v>
      </c>
      <c r="P15" s="12">
        <v>757047570.22111094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22279.25</v>
      </c>
      <c r="D16" s="74">
        <v>14524.60741807476</v>
      </c>
      <c r="E16" s="75">
        <v>0.65193430739700664</v>
      </c>
      <c r="F16" s="76">
        <v>143.93667478434654</v>
      </c>
      <c r="G16" s="76">
        <v>93.837256384561144</v>
      </c>
      <c r="H16" s="77">
        <v>763077648.42159295</v>
      </c>
      <c r="J16" s="8">
        <v>2024</v>
      </c>
      <c r="K16" s="9">
        <v>22279.25</v>
      </c>
      <c r="L16" s="9">
        <v>14524.60741807476</v>
      </c>
      <c r="M16" s="20">
        <v>0.65193430739700664</v>
      </c>
      <c r="N16" s="11">
        <v>143.93667478434654</v>
      </c>
      <c r="O16" s="11">
        <v>93.837256384561144</v>
      </c>
      <c r="P16" s="12">
        <v>763077648.42159295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22662.916666666668</v>
      </c>
      <c r="D17" s="74">
        <v>14895.065403621873</v>
      </c>
      <c r="E17" s="75">
        <v>0.65724397361130504</v>
      </c>
      <c r="F17" s="76">
        <v>145.63722119899202</v>
      </c>
      <c r="G17" s="76">
        <v>95.719185966534113</v>
      </c>
      <c r="H17" s="77">
        <v>791785716.26066732</v>
      </c>
      <c r="J17" s="8">
        <v>2025</v>
      </c>
      <c r="K17" s="9">
        <v>22662.916666666668</v>
      </c>
      <c r="L17" s="9">
        <v>14895.065403621873</v>
      </c>
      <c r="M17" s="20">
        <v>0.65724397361130504</v>
      </c>
      <c r="N17" s="11">
        <v>145.63722119899202</v>
      </c>
      <c r="O17" s="11">
        <v>95.719185966534113</v>
      </c>
      <c r="P17" s="12">
        <v>791785716.26066732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22854.291666666668</v>
      </c>
      <c r="D18" s="74">
        <v>15226.539636294692</v>
      </c>
      <c r="E18" s="75">
        <v>0.66624421611380902</v>
      </c>
      <c r="F18" s="76">
        <v>146.28719000446867</v>
      </c>
      <c r="G18" s="76">
        <v>97.462994232019071</v>
      </c>
      <c r="H18" s="77">
        <v>813018409.36310351</v>
      </c>
      <c r="J18" s="8">
        <v>2026</v>
      </c>
      <c r="K18" s="9">
        <v>22899.291666666668</v>
      </c>
      <c r="L18" s="9">
        <v>15139.371460847162</v>
      </c>
      <c r="M18" s="20">
        <v>0.66112837380401479</v>
      </c>
      <c r="N18" s="11">
        <v>146.23370059137108</v>
      </c>
      <c r="O18" s="11">
        <v>96.679248667316358</v>
      </c>
      <c r="P18" s="12">
        <v>808068504.37168121</v>
      </c>
      <c r="Q18" s="9"/>
      <c r="R18" s="22">
        <v>-45</v>
      </c>
      <c r="S18" s="22">
        <v>87.168175447530302</v>
      </c>
      <c r="T18" s="21">
        <v>5.1158423097942274E-3</v>
      </c>
      <c r="U18" s="23">
        <v>5.3489413097594252E-2</v>
      </c>
      <c r="V18" s="23">
        <v>0.78374556470271273</v>
      </c>
      <c r="W18" s="24">
        <v>4949904.9914222956</v>
      </c>
    </row>
    <row r="19" spans="2:23" s="5" customFormat="1" outlineLevel="1" x14ac:dyDescent="0.15">
      <c r="B19" s="78">
        <v>2027</v>
      </c>
      <c r="C19" s="74">
        <v>23284.375000000004</v>
      </c>
      <c r="D19" s="74">
        <v>15463.153031146598</v>
      </c>
      <c r="E19" s="75">
        <v>0.66409998254823654</v>
      </c>
      <c r="F19" s="76">
        <v>148.5508064568786</v>
      </c>
      <c r="G19" s="76">
        <v>98.652587975539547</v>
      </c>
      <c r="H19" s="77">
        <v>838428306.39717817</v>
      </c>
      <c r="J19" s="8">
        <v>2027</v>
      </c>
      <c r="K19" s="9">
        <v>23261</v>
      </c>
      <c r="L19" s="9">
        <v>15353.853721878409</v>
      </c>
      <c r="M19" s="20">
        <v>0.6600685147619797</v>
      </c>
      <c r="N19" s="11">
        <v>148.30982651330132</v>
      </c>
      <c r="O19" s="11">
        <v>97.894646911241679</v>
      </c>
      <c r="P19" s="12">
        <v>831151494.35787332</v>
      </c>
      <c r="Q19" s="9"/>
      <c r="R19" s="22">
        <v>23.375000000003638</v>
      </c>
      <c r="S19" s="22">
        <v>109.29930926818815</v>
      </c>
      <c r="T19" s="21">
        <v>4.0314677862568482E-3</v>
      </c>
      <c r="U19" s="23">
        <v>0.2409799435772868</v>
      </c>
      <c r="V19" s="23">
        <v>0.75794106429786723</v>
      </c>
      <c r="W19" s="24">
        <v>7276812.0393048525</v>
      </c>
    </row>
    <row r="20" spans="2:23" s="5" customFormat="1" outlineLevel="1" x14ac:dyDescent="0.15">
      <c r="B20" s="78">
        <v>2028</v>
      </c>
      <c r="C20" s="74">
        <v>24133.066666666669</v>
      </c>
      <c r="D20" s="74">
        <v>15726.539466815466</v>
      </c>
      <c r="E20" s="75">
        <v>0.65165938850769611</v>
      </c>
      <c r="F20" s="76">
        <v>150.96127576822457</v>
      </c>
      <c r="G20" s="76">
        <v>98.375332655462898</v>
      </c>
      <c r="H20" s="77">
        <v>866545938.38537586</v>
      </c>
      <c r="J20" s="8">
        <v>2028</v>
      </c>
      <c r="K20" s="9">
        <v>24211.550000000003</v>
      </c>
      <c r="L20" s="9">
        <v>15661.090376354619</v>
      </c>
      <c r="M20" s="20">
        <v>0.64684377399855097</v>
      </c>
      <c r="N20" s="11">
        <v>150.80098069504336</v>
      </c>
      <c r="O20" s="11">
        <v>97.544675475464487</v>
      </c>
      <c r="P20" s="12">
        <v>862023342.44041359</v>
      </c>
      <c r="Q20" s="9"/>
      <c r="R20" s="22">
        <v>-78.483333333333576</v>
      </c>
      <c r="S20" s="22">
        <v>65.449090460846492</v>
      </c>
      <c r="T20" s="21">
        <v>4.8156145091451386E-3</v>
      </c>
      <c r="U20" s="23">
        <v>0.16029507318120295</v>
      </c>
      <c r="V20" s="23">
        <v>0.83065717999841127</v>
      </c>
      <c r="W20" s="24">
        <v>4522595.9449622631</v>
      </c>
    </row>
    <row r="21" spans="2:23" s="5" customFormat="1" outlineLevel="1" x14ac:dyDescent="0.15">
      <c r="B21" s="78">
        <v>2029</v>
      </c>
      <c r="C21" s="74">
        <v>24448.312294135259</v>
      </c>
      <c r="D21" s="74">
        <v>16015.522962178762</v>
      </c>
      <c r="E21" s="75">
        <v>0.65507683186870191</v>
      </c>
      <c r="F21" s="76">
        <v>153.22534399493273</v>
      </c>
      <c r="G21" s="76">
        <v>100.37437290619256</v>
      </c>
      <c r="H21" s="77">
        <v>895704165.52558339</v>
      </c>
      <c r="J21" s="8">
        <v>2029</v>
      </c>
      <c r="K21" s="9">
        <v>24527.820840219389</v>
      </c>
      <c r="L21" s="9">
        <v>15947.991939618369</v>
      </c>
      <c r="M21" s="20">
        <v>0.65020011535096167</v>
      </c>
      <c r="N21" s="11">
        <v>153.14311857802812</v>
      </c>
      <c r="O21" s="11">
        <v>99.573673364639887</v>
      </c>
      <c r="P21" s="12">
        <v>891448705.55200052</v>
      </c>
      <c r="Q21" s="9"/>
      <c r="R21" s="22">
        <v>-79.508546084129193</v>
      </c>
      <c r="S21" s="22">
        <v>67.531022560393467</v>
      </c>
      <c r="T21" s="21">
        <v>4.8767165177402427E-3</v>
      </c>
      <c r="U21" s="23">
        <v>8.2225416904606163E-2</v>
      </c>
      <c r="V21" s="23">
        <v>0.80069954155267453</v>
      </c>
      <c r="W21" s="24">
        <v>4255459.9735828638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5.1631764913224742E-3</v>
      </c>
      <c r="D24" s="75">
        <v>-3.8238833121024052E-2</v>
      </c>
      <c r="E24" s="75">
        <v>-4.3179068461150827E-2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-5.9143527287880415E-3</v>
      </c>
      <c r="D25" s="75">
        <v>6.2218537201470303E-2</v>
      </c>
      <c r="E25" s="75">
        <v>6.8538249312103838E-2</v>
      </c>
      <c r="F25" s="75">
        <v>6.4916947081281373E-2</v>
      </c>
      <c r="G25" s="75">
        <v>0.13790449029702234</v>
      </c>
      <c r="H25" s="75">
        <v>0.13117452176973421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-1.9733352476439925E-2</v>
      </c>
      <c r="D26" s="75">
        <v>2.3159267806440731E-3</v>
      </c>
      <c r="E26" s="75">
        <v>2.2493144403909815E-2</v>
      </c>
      <c r="F26" s="75">
        <v>6.0965959643690892E-2</v>
      </c>
      <c r="G26" s="75">
        <v>8.4830420181589261E-2</v>
      </c>
      <c r="H26" s="75">
        <v>6.3423079122981507E-2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-6.3467523749460852E-4</v>
      </c>
      <c r="D27" s="75">
        <v>4.0476833809465207E-2</v>
      </c>
      <c r="E27" s="75">
        <v>4.1137618074481352E-2</v>
      </c>
      <c r="F27" s="75">
        <v>6.8175858781893917E-2</v>
      </c>
      <c r="G27" s="75">
        <v>0.11211806929684442</v>
      </c>
      <c r="H27" s="75">
        <v>0.11141223549709123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2.4470869853728372E-2</v>
      </c>
      <c r="D28" s="75">
        <v>2.2974723855664347E-2</v>
      </c>
      <c r="E28" s="75">
        <v>-1.4604085309694037E-3</v>
      </c>
      <c r="F28" s="75">
        <v>5.3245595973659965E-2</v>
      </c>
      <c r="G28" s="75">
        <v>5.1707427120093907E-2</v>
      </c>
      <c r="H28" s="75">
        <v>7.7443622693349257E-2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-4.6890522551161773E-3</v>
      </c>
      <c r="D29" s="75">
        <v>8.9426656082991496E-3</v>
      </c>
      <c r="E29" s="75">
        <v>1.3695938836301602E-2</v>
      </c>
      <c r="F29" s="75">
        <v>3.3106681804384586E-3</v>
      </c>
      <c r="G29" s="75">
        <v>1.7051949725646942E-2</v>
      </c>
      <c r="H29" s="75">
        <v>1.2282939987215302E-2</v>
      </c>
      <c r="J29" s="8">
        <v>2019</v>
      </c>
      <c r="K29" s="10">
        <v>-4.6890522551161773E-3</v>
      </c>
      <c r="L29" s="10">
        <v>8.9426656082991496E-3</v>
      </c>
      <c r="M29" s="10">
        <v>1.3695938836301602E-2</v>
      </c>
      <c r="N29" s="10">
        <v>3.3106681804384586E-3</v>
      </c>
      <c r="O29" s="10">
        <v>1.7051949725646942E-2</v>
      </c>
      <c r="P29" s="10">
        <v>1.2282939987215302E-2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1.6481015690501755E-2</v>
      </c>
      <c r="D30" s="75">
        <v>-0.27204140643740948</v>
      </c>
      <c r="E30" s="75">
        <v>-0.28384437847264288</v>
      </c>
      <c r="F30" s="75">
        <v>-0.14918104769337825</v>
      </c>
      <c r="G30" s="75">
        <v>-0.39068122440359665</v>
      </c>
      <c r="H30" s="75">
        <v>-0.38063903210247485</v>
      </c>
      <c r="J30" s="8">
        <v>2020</v>
      </c>
      <c r="K30" s="10">
        <v>1.6481015690501755E-2</v>
      </c>
      <c r="L30" s="10">
        <v>-0.27204140643740948</v>
      </c>
      <c r="M30" s="10">
        <v>-0.28384437847264288</v>
      </c>
      <c r="N30" s="10">
        <v>-0.14918104769337825</v>
      </c>
      <c r="O30" s="10">
        <v>-0.39068122440359665</v>
      </c>
      <c r="P30" s="10">
        <v>-0.38063903210247485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1.172043770964426E-2</v>
      </c>
      <c r="D31" s="75">
        <v>0.24626269512224286</v>
      </c>
      <c r="E31" s="75">
        <v>0.23182516500661077</v>
      </c>
      <c r="F31" s="75">
        <v>0.16042009570785098</v>
      </c>
      <c r="G31" s="75">
        <v>0.42943467587231043</v>
      </c>
      <c r="H31" s="75">
        <v>0.44618827595087751</v>
      </c>
      <c r="J31" s="8">
        <v>2021</v>
      </c>
      <c r="K31" s="10">
        <v>1.172043770964426E-2</v>
      </c>
      <c r="L31" s="10">
        <v>0.24626269512224286</v>
      </c>
      <c r="M31" s="10">
        <v>0.23182516500661077</v>
      </c>
      <c r="N31" s="10">
        <v>0.16042009570785098</v>
      </c>
      <c r="O31" s="10">
        <v>0.42943467587231043</v>
      </c>
      <c r="P31" s="10">
        <v>0.44618827595087751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1.5482448307723384E-2</v>
      </c>
      <c r="D32" s="75">
        <v>2.1534093837847212E-3</v>
      </c>
      <c r="E32" s="75">
        <v>-1.3125819108101067E-2</v>
      </c>
      <c r="F32" s="75">
        <v>0.16907459711990569</v>
      </c>
      <c r="G32" s="75">
        <v>0.15372953543423384</v>
      </c>
      <c r="H32" s="75">
        <v>0.17159209332768799</v>
      </c>
      <c r="J32" s="8">
        <v>2022</v>
      </c>
      <c r="K32" s="10">
        <v>1.5482448307723384E-2</v>
      </c>
      <c r="L32" s="10">
        <v>2.1534093837847212E-3</v>
      </c>
      <c r="M32" s="10">
        <v>-1.3125819108101067E-2</v>
      </c>
      <c r="N32" s="10">
        <v>0.16907459711990569</v>
      </c>
      <c r="O32" s="10">
        <v>0.15372953543423384</v>
      </c>
      <c r="P32" s="10">
        <v>0.17159209332768799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1.3158138141026843E-2</v>
      </c>
      <c r="D33" s="75">
        <v>-1.2227276333145798E-2</v>
      </c>
      <c r="E33" s="75">
        <v>-2.5055727747250067E-2</v>
      </c>
      <c r="F33" s="75">
        <v>5.1396792138466152E-2</v>
      </c>
      <c r="G33" s="75">
        <v>2.5053280360312513E-2</v>
      </c>
      <c r="H33" s="75">
        <v>3.8541073025206041E-2</v>
      </c>
      <c r="J33" s="8">
        <v>2023</v>
      </c>
      <c r="K33" s="10">
        <v>1.3158138141026843E-2</v>
      </c>
      <c r="L33" s="10">
        <v>-1.2227276333145798E-2</v>
      </c>
      <c r="M33" s="10">
        <v>-2.5055727747250067E-2</v>
      </c>
      <c r="N33" s="10">
        <v>5.1396792138466152E-2</v>
      </c>
      <c r="O33" s="10">
        <v>2.5053280360312513E-2</v>
      </c>
      <c r="P33" s="10">
        <v>3.8541073025206041E-2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8.8268750079880665E-3</v>
      </c>
      <c r="D34" s="75">
        <v>1.7450034637115142E-2</v>
      </c>
      <c r="E34" s="75">
        <v>8.547710060815561E-3</v>
      </c>
      <c r="F34" s="75">
        <v>-9.3221068892169745E-3</v>
      </c>
      <c r="G34" s="75">
        <v>-8.5407949524629601E-4</v>
      </c>
      <c r="H34" s="75">
        <v>7.9652566597905317E-3</v>
      </c>
      <c r="J34" s="8">
        <v>2024</v>
      </c>
      <c r="K34" s="10">
        <v>8.8268750079880665E-3</v>
      </c>
      <c r="L34" s="10">
        <v>1.7450034637115142E-2</v>
      </c>
      <c r="M34" s="10">
        <v>8.547710060815561E-3</v>
      </c>
      <c r="N34" s="10">
        <v>-9.3221068892169745E-3</v>
      </c>
      <c r="O34" s="10">
        <v>-8.5407949524629601E-4</v>
      </c>
      <c r="P34" s="10">
        <v>7.9652566597905317E-3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1.7220807103770053E-2</v>
      </c>
      <c r="D35" s="75">
        <v>2.5505542069667708E-2</v>
      </c>
      <c r="E35" s="75">
        <v>8.1444804392920567E-3</v>
      </c>
      <c r="F35" s="75">
        <v>1.1814545647892194E-2</v>
      </c>
      <c r="G35" s="75">
        <v>2.0055249423112986E-2</v>
      </c>
      <c r="H35" s="75">
        <v>3.7621424108616353E-2</v>
      </c>
      <c r="J35" s="8">
        <v>2025</v>
      </c>
      <c r="K35" s="10">
        <v>1.7220807103770053E-2</v>
      </c>
      <c r="L35" s="10">
        <v>2.5505542069667708E-2</v>
      </c>
      <c r="M35" s="10">
        <v>8.1444804392920567E-3</v>
      </c>
      <c r="N35" s="10">
        <v>1.1814545647892194E-2</v>
      </c>
      <c r="O35" s="10">
        <v>2.0055249423112986E-2</v>
      </c>
      <c r="P35" s="10">
        <v>3.7621424108616353E-2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8.4444117592983314E-3</v>
      </c>
      <c r="D36" s="75">
        <v>2.2253962885736556E-2</v>
      </c>
      <c r="E36" s="75">
        <v>1.3693914077372416E-2</v>
      </c>
      <c r="F36" s="75">
        <v>4.4629305621572968E-3</v>
      </c>
      <c r="G36" s="75">
        <v>1.8217959627181202E-2</v>
      </c>
      <c r="H36" s="75">
        <v>2.6816211338985596E-2</v>
      </c>
      <c r="J36" s="8">
        <v>2026</v>
      </c>
      <c r="K36" s="10">
        <v>1.0430034380688014E-2</v>
      </c>
      <c r="L36" s="10">
        <v>1.6401811647358322E-2</v>
      </c>
      <c r="M36" s="10">
        <v>5.9101343620793223E-3</v>
      </c>
      <c r="N36" s="10">
        <v>4.0956521105552923E-3</v>
      </c>
      <c r="O36" s="10">
        <v>1.0029992326908266E-2</v>
      </c>
      <c r="P36" s="10">
        <v>2.0564639872403756E-2</v>
      </c>
      <c r="Q36" s="10"/>
      <c r="R36" s="19">
        <v>-1.9856226213896822E-3</v>
      </c>
      <c r="S36" s="19">
        <v>5.8521512383782337E-3</v>
      </c>
      <c r="T36" s="19">
        <v>7.7837797152930932E-3</v>
      </c>
      <c r="U36" s="19">
        <v>3.6727845160200445E-4</v>
      </c>
      <c r="V36" s="19">
        <v>8.1879673002729358E-3</v>
      </c>
      <c r="W36" s="19">
        <v>6.25157146658184E-3</v>
      </c>
    </row>
    <row r="37" spans="2:23" s="5" customFormat="1" outlineLevel="1" x14ac:dyDescent="0.15">
      <c r="B37" s="78">
        <v>2027</v>
      </c>
      <c r="C37" s="75">
        <v>1.8818493244339596E-2</v>
      </c>
      <c r="D37" s="75">
        <v>1.5539538234143668E-2</v>
      </c>
      <c r="E37" s="75">
        <v>-3.2183897641614445E-3</v>
      </c>
      <c r="F37" s="75">
        <v>1.5473784494327791E-2</v>
      </c>
      <c r="G37" s="75">
        <v>1.2205594060537006E-2</v>
      </c>
      <c r="H37" s="75">
        <v>3.1253778194247905E-2</v>
      </c>
      <c r="J37" s="8">
        <v>2027</v>
      </c>
      <c r="K37" s="10">
        <v>1.5795612309696505E-2</v>
      </c>
      <c r="L37" s="10">
        <v>1.4167183993465837E-2</v>
      </c>
      <c r="M37" s="10">
        <v>-1.6031062710814004E-3</v>
      </c>
      <c r="N37" s="10">
        <v>1.4197315075350936E-2</v>
      </c>
      <c r="O37" s="10">
        <v>1.2571448999439738E-2</v>
      </c>
      <c r="P37" s="10">
        <v>2.8565635043702686E-2</v>
      </c>
      <c r="Q37" s="10"/>
      <c r="R37" s="19">
        <v>3.0228809346430907E-3</v>
      </c>
      <c r="S37" s="19">
        <v>1.3723542406778311E-3</v>
      </c>
      <c r="T37" s="19">
        <v>-1.6152834930800442E-3</v>
      </c>
      <c r="U37" s="19">
        <v>1.2764694189768555E-3</v>
      </c>
      <c r="V37" s="19">
        <v>-3.6585493890273213E-4</v>
      </c>
      <c r="W37" s="19">
        <v>2.6881431505452191E-3</v>
      </c>
    </row>
    <row r="38" spans="2:23" s="5" customFormat="1" outlineLevel="1" x14ac:dyDescent="0.15">
      <c r="B38" s="78">
        <v>2028</v>
      </c>
      <c r="C38" s="75">
        <v>3.6448977765847879E-2</v>
      </c>
      <c r="D38" s="75">
        <v>1.7033164913930809E-2</v>
      </c>
      <c r="E38" s="75">
        <v>-1.8733013653763786E-2</v>
      </c>
      <c r="F38" s="75">
        <v>1.6226564963453649E-2</v>
      </c>
      <c r="G38" s="75">
        <v>-2.8104211533243051E-3</v>
      </c>
      <c r="H38" s="75">
        <v>3.3536119634393513E-2</v>
      </c>
      <c r="J38" s="8">
        <v>2028</v>
      </c>
      <c r="K38" s="10">
        <v>4.08645372082026E-2</v>
      </c>
      <c r="L38" s="10">
        <v>2.0010393484367617E-2</v>
      </c>
      <c r="M38" s="10">
        <v>-2.0035406124768063E-2</v>
      </c>
      <c r="N38" s="10">
        <v>1.6796959718098137E-2</v>
      </c>
      <c r="O38" s="10">
        <v>-3.5749803162833382E-3</v>
      </c>
      <c r="P38" s="10">
        <v>3.7143466975765982E-2</v>
      </c>
      <c r="Q38" s="10"/>
      <c r="R38" s="19">
        <v>-4.4155594423547218E-3</v>
      </c>
      <c r="S38" s="19">
        <v>-2.9772285704368073E-3</v>
      </c>
      <c r="T38" s="19">
        <v>1.3023924710042767E-3</v>
      </c>
      <c r="U38" s="19">
        <v>-5.7039475464448763E-4</v>
      </c>
      <c r="V38" s="19">
        <v>7.6455916295903315E-4</v>
      </c>
      <c r="W38" s="19">
        <v>-3.6073473413724688E-3</v>
      </c>
    </row>
    <row r="39" spans="2:23" s="5" customFormat="1" outlineLevel="1" x14ac:dyDescent="0.15">
      <c r="B39" s="78">
        <v>2029</v>
      </c>
      <c r="C39" s="75">
        <v>1.3062808462051656E-2</v>
      </c>
      <c r="D39" s="75">
        <v>1.8375529847051153E-2</v>
      </c>
      <c r="E39" s="75">
        <v>5.2442171804381044E-3</v>
      </c>
      <c r="F39" s="75">
        <v>1.4997675497816054E-2</v>
      </c>
      <c r="G39" s="75">
        <v>2.0320543745766528E-2</v>
      </c>
      <c r="H39" s="75">
        <v>3.3648795578613777E-2</v>
      </c>
      <c r="J39" s="8">
        <v>2029</v>
      </c>
      <c r="K39" s="10">
        <v>1.3062808462051656E-2</v>
      </c>
      <c r="L39" s="10">
        <v>1.8319386222106049E-2</v>
      </c>
      <c r="M39" s="10">
        <v>5.1887974922646407E-3</v>
      </c>
      <c r="N39" s="10">
        <v>1.5531317317631688E-2</v>
      </c>
      <c r="O39" s="10">
        <v>2.0800703670245557E-2</v>
      </c>
      <c r="P39" s="10">
        <v>3.4135227740217378E-2</v>
      </c>
      <c r="Q39" s="10"/>
      <c r="R39" s="19">
        <v>0</v>
      </c>
      <c r="S39" s="19">
        <v>5.6143624945104165E-5</v>
      </c>
      <c r="T39" s="19">
        <v>5.5419688173463655E-5</v>
      </c>
      <c r="U39" s="19">
        <v>-5.3364181981563341E-4</v>
      </c>
      <c r="V39" s="19">
        <v>-4.8015992447902889E-4</v>
      </c>
      <c r="W39" s="19">
        <v>-4.8643216160360048E-4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A762-3F0A-4D94-A358-6A976094C66E}">
  <sheetPr>
    <tabColor theme="7" tint="0.79998168889431442"/>
  </sheetPr>
  <dimension ref="B1:W54"/>
  <sheetViews>
    <sheetView zoomScale="150" zoomScaleNormal="150" workbookViewId="0">
      <selection activeCell="O65" sqref="O65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33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14199.527786488494</v>
      </c>
      <c r="D5" s="74">
        <v>6796.2747022192734</v>
      </c>
      <c r="E5" s="75">
        <v>0.47862681100467597</v>
      </c>
      <c r="F5" s="76">
        <v>0</v>
      </c>
      <c r="G5" s="76">
        <v>0</v>
      </c>
      <c r="H5" s="77">
        <v>0</v>
      </c>
      <c r="J5" s="4"/>
      <c r="K5" s="9">
        <v>14199.527786488494</v>
      </c>
      <c r="L5" s="9">
        <v>6796.2747022192734</v>
      </c>
      <c r="M5" s="20">
        <v>0.47862681100467597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14393.052662764714</v>
      </c>
      <c r="D6" s="74">
        <v>7913.8312307496535</v>
      </c>
      <c r="E6" s="75">
        <v>0.54983688423672539</v>
      </c>
      <c r="F6" s="76">
        <v>137.46173773670282</v>
      </c>
      <c r="G6" s="76">
        <v>75.581533578914559</v>
      </c>
      <c r="H6" s="77">
        <v>397064882.49385047</v>
      </c>
      <c r="J6" s="4"/>
      <c r="K6" s="9">
        <v>14393.052662764714</v>
      </c>
      <c r="L6" s="9">
        <v>7913.8312307496535</v>
      </c>
      <c r="M6" s="20">
        <v>0.54983688423672539</v>
      </c>
      <c r="N6" s="11">
        <v>137.46173773670282</v>
      </c>
      <c r="O6" s="11">
        <v>75.581533578914559</v>
      </c>
      <c r="P6" s="12">
        <v>397064882.49385047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14354.5</v>
      </c>
      <c r="D7" s="74">
        <v>8476.6297811059831</v>
      </c>
      <c r="E7" s="75">
        <v>0.59052072737510763</v>
      </c>
      <c r="F7" s="76">
        <v>140.57900092357815</v>
      </c>
      <c r="G7" s="76">
        <v>83.0148138790573</v>
      </c>
      <c r="H7" s="77">
        <v>434947193.22682875</v>
      </c>
      <c r="J7" s="4"/>
      <c r="K7" s="9">
        <v>14354.5</v>
      </c>
      <c r="L7" s="9">
        <v>8476.6297811059831</v>
      </c>
      <c r="M7" s="20">
        <v>0.59052072737510763</v>
      </c>
      <c r="N7" s="11">
        <v>140.57900092357815</v>
      </c>
      <c r="O7" s="11">
        <v>83.0148138790573</v>
      </c>
      <c r="P7" s="12">
        <v>434947193.22682875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14332.666666666666</v>
      </c>
      <c r="D8" s="74">
        <v>8996.3695100463974</v>
      </c>
      <c r="E8" s="75">
        <v>0.62768288130004168</v>
      </c>
      <c r="F8" s="76">
        <v>143.8987209615365</v>
      </c>
      <c r="G8" s="76">
        <v>90.322763788527936</v>
      </c>
      <c r="H8" s="77">
        <v>472516614.01446009</v>
      </c>
      <c r="J8" s="4"/>
      <c r="K8" s="9">
        <v>14332.666666666666</v>
      </c>
      <c r="L8" s="9">
        <v>8996.3695100463974</v>
      </c>
      <c r="M8" s="20">
        <v>0.62768288130004168</v>
      </c>
      <c r="N8" s="11">
        <v>143.8987209615365</v>
      </c>
      <c r="O8" s="11">
        <v>90.322763788527936</v>
      </c>
      <c r="P8" s="12">
        <v>472516614.01446009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14255.083333333334</v>
      </c>
      <c r="D9" s="74">
        <v>9080.1652445091986</v>
      </c>
      <c r="E9" s="75">
        <v>0.63697735272277367</v>
      </c>
      <c r="F9" s="76">
        <v>150.21893404740126</v>
      </c>
      <c r="G9" s="76">
        <v>95.686058938350584</v>
      </c>
      <c r="H9" s="77">
        <v>497864651.56161791</v>
      </c>
      <c r="J9" s="4"/>
      <c r="K9" s="9">
        <v>14255.083333333334</v>
      </c>
      <c r="L9" s="9">
        <v>9080.1652445091986</v>
      </c>
      <c r="M9" s="20">
        <v>0.63697735272277367</v>
      </c>
      <c r="N9" s="11">
        <v>150.21893404740126</v>
      </c>
      <c r="O9" s="11">
        <v>95.686058938350584</v>
      </c>
      <c r="P9" s="12">
        <v>497864651.56161791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14359.833333333334</v>
      </c>
      <c r="D10" s="74">
        <v>9023.4720302099249</v>
      </c>
      <c r="E10" s="75">
        <v>0.62838278277672155</v>
      </c>
      <c r="F10" s="76">
        <v>151.91241784879958</v>
      </c>
      <c r="G10" s="76">
        <v>95.459147866168763</v>
      </c>
      <c r="H10" s="77">
        <v>500333770.52757514</v>
      </c>
      <c r="J10" s="4"/>
      <c r="K10" s="9">
        <v>14359.833333333334</v>
      </c>
      <c r="L10" s="9">
        <v>9023.4720302099249</v>
      </c>
      <c r="M10" s="20">
        <v>0.62838278277672155</v>
      </c>
      <c r="N10" s="11">
        <v>151.91241784879958</v>
      </c>
      <c r="O10" s="11">
        <v>95.459147866168763</v>
      </c>
      <c r="P10" s="12">
        <v>500333770.52757514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15004.083333333334</v>
      </c>
      <c r="D11" s="74">
        <v>9468.0859479166666</v>
      </c>
      <c r="E11" s="75">
        <v>0.6310339483973807</v>
      </c>
      <c r="F11" s="76">
        <v>152.48363401923899</v>
      </c>
      <c r="G11" s="76">
        <v>96.222349641141534</v>
      </c>
      <c r="H11" s="77">
        <v>526960775.6788609</v>
      </c>
      <c r="J11" s="8">
        <v>2019</v>
      </c>
      <c r="K11" s="9">
        <v>15004.083333333334</v>
      </c>
      <c r="L11" s="9">
        <v>9468.0859479166666</v>
      </c>
      <c r="M11" s="20">
        <v>0.6310339483973807</v>
      </c>
      <c r="N11" s="11">
        <v>152.48363401923899</v>
      </c>
      <c r="O11" s="11">
        <v>96.222349641141534</v>
      </c>
      <c r="P11" s="12">
        <v>526960775.6788609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14377.416666666666</v>
      </c>
      <c r="D12" s="74">
        <v>6870.3803529166662</v>
      </c>
      <c r="E12" s="75">
        <v>0.47785916706756543</v>
      </c>
      <c r="F12" s="76">
        <v>143.74146568957454</v>
      </c>
      <c r="G12" s="76">
        <v>68.688177067491125</v>
      </c>
      <c r="H12" s="77">
        <v>360458867.74718076</v>
      </c>
      <c r="J12" s="8">
        <v>2020</v>
      </c>
      <c r="K12" s="9">
        <v>14377.416666666666</v>
      </c>
      <c r="L12" s="9">
        <v>6870.3803529166662</v>
      </c>
      <c r="M12" s="20">
        <v>0.47785916706756543</v>
      </c>
      <c r="N12" s="11">
        <v>143.74146568957454</v>
      </c>
      <c r="O12" s="11">
        <v>68.688177067491125</v>
      </c>
      <c r="P12" s="12">
        <v>360458867.74718076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15317.083333333334</v>
      </c>
      <c r="D13" s="74">
        <v>8833.3594647741866</v>
      </c>
      <c r="E13" s="75">
        <v>0.57669983720404905</v>
      </c>
      <c r="F13" s="76">
        <v>169.58396774915212</v>
      </c>
      <c r="G13" s="76">
        <v>97.799046593352713</v>
      </c>
      <c r="H13" s="77">
        <v>546768593.50569057</v>
      </c>
      <c r="J13" s="8">
        <v>2021</v>
      </c>
      <c r="K13" s="9">
        <v>15317.083333333334</v>
      </c>
      <c r="L13" s="9">
        <v>8833.3594647741866</v>
      </c>
      <c r="M13" s="20">
        <v>0.57669983720404905</v>
      </c>
      <c r="N13" s="11">
        <v>169.58396774915212</v>
      </c>
      <c r="O13" s="11">
        <v>97.799046593352713</v>
      </c>
      <c r="P13" s="12">
        <v>546768593.50569057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15739.583333333334</v>
      </c>
      <c r="D14" s="74">
        <v>9463.9478900336599</v>
      </c>
      <c r="E14" s="75">
        <v>0.60128325442967001</v>
      </c>
      <c r="F14" s="76">
        <v>191.15257811928694</v>
      </c>
      <c r="G14" s="76">
        <v>114.93684426418659</v>
      </c>
      <c r="H14" s="77">
        <v>660306184.00377989</v>
      </c>
      <c r="J14" s="8">
        <v>2022</v>
      </c>
      <c r="K14" s="9">
        <v>15739.583333333334</v>
      </c>
      <c r="L14" s="9">
        <v>9463.9478900336599</v>
      </c>
      <c r="M14" s="20">
        <v>0.60128325442967001</v>
      </c>
      <c r="N14" s="11">
        <v>191.15257811928694</v>
      </c>
      <c r="O14" s="11">
        <v>114.93684426418659</v>
      </c>
      <c r="P14" s="12">
        <v>660306184.00377989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15997.884408602151</v>
      </c>
      <c r="D15" s="74">
        <v>9456.797303647696</v>
      </c>
      <c r="E15" s="75">
        <v>0.5911279930590525</v>
      </c>
      <c r="F15" s="76">
        <v>191.19394467382685</v>
      </c>
      <c r="G15" s="76">
        <v>113.02009280008278</v>
      </c>
      <c r="H15" s="77">
        <v>659950068.86980259</v>
      </c>
      <c r="J15" s="8">
        <v>2023</v>
      </c>
      <c r="K15" s="9">
        <v>15997.884408602151</v>
      </c>
      <c r="L15" s="9">
        <v>9456.797303647696</v>
      </c>
      <c r="M15" s="20">
        <v>0.5911279930590525</v>
      </c>
      <c r="N15" s="11">
        <v>191.19394467382685</v>
      </c>
      <c r="O15" s="11">
        <v>113.02009280008278</v>
      </c>
      <c r="P15" s="12">
        <v>659950068.86980259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15923.333333333334</v>
      </c>
      <c r="D16" s="74">
        <v>9294.3205069124433</v>
      </c>
      <c r="E16" s="75">
        <v>0.58369188864846822</v>
      </c>
      <c r="F16" s="76">
        <v>200.74082774960814</v>
      </c>
      <c r="G16" s="76">
        <v>117.17079287802564</v>
      </c>
      <c r="H16" s="77">
        <v>680998601.05363297</v>
      </c>
      <c r="J16" s="8">
        <v>2024</v>
      </c>
      <c r="K16" s="9">
        <v>15923.333333333334</v>
      </c>
      <c r="L16" s="9">
        <v>9294.3205069124433</v>
      </c>
      <c r="M16" s="20">
        <v>0.58369188864846822</v>
      </c>
      <c r="N16" s="11">
        <v>200.74082774960814</v>
      </c>
      <c r="O16" s="11">
        <v>117.17079287802564</v>
      </c>
      <c r="P16" s="12">
        <v>680998601.05363297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15857.916666666666</v>
      </c>
      <c r="D17" s="74">
        <v>9340.0887117271741</v>
      </c>
      <c r="E17" s="75">
        <v>0.58898586163969679</v>
      </c>
      <c r="F17" s="76">
        <v>206.91227959875039</v>
      </c>
      <c r="G17" s="76">
        <v>121.86840728330385</v>
      </c>
      <c r="H17" s="77">
        <v>705391352.15427923</v>
      </c>
      <c r="J17" s="8">
        <v>2025</v>
      </c>
      <c r="K17" s="9">
        <v>15857.916666666666</v>
      </c>
      <c r="L17" s="9">
        <v>9340.0887117271741</v>
      </c>
      <c r="M17" s="20">
        <v>0.58898586163969679</v>
      </c>
      <c r="N17" s="11">
        <v>206.91227959875039</v>
      </c>
      <c r="O17" s="11">
        <v>121.86840728330385</v>
      </c>
      <c r="P17" s="12">
        <v>705391352.15427923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15794</v>
      </c>
      <c r="D18" s="74">
        <v>9574.3864319078293</v>
      </c>
      <c r="E18" s="75">
        <v>0.60620402886588765</v>
      </c>
      <c r="F18" s="76">
        <v>213.63192395372113</v>
      </c>
      <c r="G18" s="76">
        <v>129.50453299511668</v>
      </c>
      <c r="H18" s="77">
        <v>746569026.85557854</v>
      </c>
      <c r="J18" s="8">
        <v>2026</v>
      </c>
      <c r="K18" s="9">
        <v>15914.75</v>
      </c>
      <c r="L18" s="9">
        <v>9528.8999289471249</v>
      </c>
      <c r="M18" s="20">
        <v>0.59874644144250611</v>
      </c>
      <c r="N18" s="11">
        <v>209.30565173062777</v>
      </c>
      <c r="O18" s="11">
        <v>125.3210141475179</v>
      </c>
      <c r="P18" s="12">
        <v>727975202.61503685</v>
      </c>
      <c r="Q18" s="9"/>
      <c r="R18" s="22">
        <v>-120.75</v>
      </c>
      <c r="S18" s="22">
        <v>45.486502960704456</v>
      </c>
      <c r="T18" s="21">
        <v>7.4575874233815398E-3</v>
      </c>
      <c r="U18" s="23">
        <v>4.3262722230933548</v>
      </c>
      <c r="V18" s="23">
        <v>4.1835188475987763</v>
      </c>
      <c r="W18" s="24">
        <v>18593824.240541697</v>
      </c>
    </row>
    <row r="19" spans="2:23" s="5" customFormat="1" outlineLevel="1" x14ac:dyDescent="0.15">
      <c r="B19" s="78">
        <v>2027</v>
      </c>
      <c r="C19" s="74">
        <v>16046.125</v>
      </c>
      <c r="D19" s="74">
        <v>9718.6260958286548</v>
      </c>
      <c r="E19" s="75">
        <v>0.60566810340992949</v>
      </c>
      <c r="F19" s="76">
        <v>216.63821499655009</v>
      </c>
      <c r="G19" s="76">
        <v>131.21085680307303</v>
      </c>
      <c r="H19" s="77">
        <v>768480420.51101172</v>
      </c>
      <c r="J19" s="8">
        <v>2027</v>
      </c>
      <c r="K19" s="9">
        <v>16075.875</v>
      </c>
      <c r="L19" s="9">
        <v>9654.6340092431983</v>
      </c>
      <c r="M19" s="20">
        <v>0.60056662603081934</v>
      </c>
      <c r="N19" s="11">
        <v>212.2102741229574</v>
      </c>
      <c r="O19" s="11">
        <v>127.44640833909983</v>
      </c>
      <c r="P19" s="12">
        <v>747816573.32528913</v>
      </c>
      <c r="Q19" s="9"/>
      <c r="R19" s="22">
        <v>-29.75</v>
      </c>
      <c r="S19" s="22">
        <v>63.992086585456491</v>
      </c>
      <c r="T19" s="21">
        <v>5.1014773791101531E-3</v>
      </c>
      <c r="U19" s="23">
        <v>4.4279408735926893</v>
      </c>
      <c r="V19" s="23">
        <v>3.7644484639731957</v>
      </c>
      <c r="W19" s="24">
        <v>20663847.185722589</v>
      </c>
    </row>
    <row r="20" spans="2:23" s="5" customFormat="1" outlineLevel="1" x14ac:dyDescent="0.15">
      <c r="B20" s="78">
        <v>2028</v>
      </c>
      <c r="C20" s="74">
        <v>16163.100000000004</v>
      </c>
      <c r="D20" s="74">
        <v>9888.9253700339723</v>
      </c>
      <c r="E20" s="75">
        <v>0.61182108444753602</v>
      </c>
      <c r="F20" s="76">
        <v>220.50474693662679</v>
      </c>
      <c r="G20" s="76">
        <v>134.90945339659652</v>
      </c>
      <c r="H20" s="77">
        <v>795902569.9610033</v>
      </c>
      <c r="J20" s="8">
        <v>2028</v>
      </c>
      <c r="K20" s="9">
        <v>16208.149999999996</v>
      </c>
      <c r="L20" s="9">
        <v>9825.2237466805873</v>
      </c>
      <c r="M20" s="20">
        <v>0.60619032688373375</v>
      </c>
      <c r="N20" s="11">
        <v>216.17351151709028</v>
      </c>
      <c r="O20" s="11">
        <v>131.04229161014956</v>
      </c>
      <c r="P20" s="12">
        <v>775242888.34778142</v>
      </c>
      <c r="Q20" s="9"/>
      <c r="R20" s="22">
        <v>-45.049999999991996</v>
      </c>
      <c r="S20" s="22">
        <v>63.701623353385003</v>
      </c>
      <c r="T20" s="21">
        <v>5.6307575638022689E-3</v>
      </c>
      <c r="U20" s="23">
        <v>4.3312354195365117</v>
      </c>
      <c r="V20" s="23">
        <v>3.8671617864469567</v>
      </c>
      <c r="W20" s="24">
        <v>20659681.613221884</v>
      </c>
    </row>
    <row r="21" spans="2:23" s="5" customFormat="1" outlineLevel="1" x14ac:dyDescent="0.15">
      <c r="B21" s="78">
        <v>2029</v>
      </c>
      <c r="C21" s="74">
        <v>16203.504717052185</v>
      </c>
      <c r="D21" s="74">
        <v>10057.961299303273</v>
      </c>
      <c r="E21" s="75">
        <v>0.62072752006042942</v>
      </c>
      <c r="F21" s="76">
        <v>224.20212389967898</v>
      </c>
      <c r="G21" s="76">
        <v>139.16842836052888</v>
      </c>
      <c r="H21" s="77">
        <v>823080944.1726675</v>
      </c>
      <c r="J21" s="8">
        <v>2029</v>
      </c>
      <c r="K21" s="9">
        <v>16248.667333598705</v>
      </c>
      <c r="L21" s="9">
        <v>9995.0871745330041</v>
      </c>
      <c r="M21" s="20">
        <v>0.61513273484683517</v>
      </c>
      <c r="N21" s="11">
        <v>219.92528473857803</v>
      </c>
      <c r="O21" s="11">
        <v>135.28324186321046</v>
      </c>
      <c r="P21" s="12">
        <v>802332923.38881934</v>
      </c>
      <c r="Q21" s="9"/>
      <c r="R21" s="22">
        <v>-45.162616546520439</v>
      </c>
      <c r="S21" s="22">
        <v>62.874124770269191</v>
      </c>
      <c r="T21" s="21">
        <v>5.5947852135942444E-3</v>
      </c>
      <c r="U21" s="23">
        <v>4.276839161100952</v>
      </c>
      <c r="V21" s="23">
        <v>3.8851864973184149</v>
      </c>
      <c r="W21" s="24">
        <v>20748020.783848166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1.3628965637883184E-2</v>
      </c>
      <c r="D24" s="75">
        <v>0.16443663293442956</v>
      </c>
      <c r="E24" s="75">
        <v>0.14877995046406567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-2.6785605297235948E-3</v>
      </c>
      <c r="D25" s="75">
        <v>7.1115814066079919E-2</v>
      </c>
      <c r="E25" s="75">
        <v>7.399256816839217E-2</v>
      </c>
      <c r="F25" s="75">
        <v>2.2677315434831868E-2</v>
      </c>
      <c r="G25" s="75">
        <v>9.8347836411412093E-2</v>
      </c>
      <c r="H25" s="75">
        <v>9.5405845248893284E-2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-1.5210096717638288E-3</v>
      </c>
      <c r="D26" s="75">
        <v>6.1314430659563657E-2</v>
      </c>
      <c r="E26" s="75">
        <v>6.2931159233176492E-2</v>
      </c>
      <c r="F26" s="75">
        <v>2.3614622498014715E-2</v>
      </c>
      <c r="G26" s="75">
        <v>8.8031877299844963E-2</v>
      </c>
      <c r="H26" s="75">
        <v>8.6376970291284438E-2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-5.4130424670914001E-3</v>
      </c>
      <c r="D27" s="75">
        <v>9.3143944753741881E-3</v>
      </c>
      <c r="E27" s="75">
        <v>1.480759106171825E-2</v>
      </c>
      <c r="F27" s="75">
        <v>4.3921259644511546E-2</v>
      </c>
      <c r="G27" s="75">
        <v>5.937921875796115E-2</v>
      </c>
      <c r="H27" s="75">
        <v>5.3644754058070232E-2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7.3482558853275037E-3</v>
      </c>
      <c r="D28" s="75">
        <v>-6.2436324419928857E-3</v>
      </c>
      <c r="E28" s="75">
        <v>-1.3492740219592458E-2</v>
      </c>
      <c r="F28" s="75">
        <v>1.1273437746961656E-2</v>
      </c>
      <c r="G28" s="75">
        <v>-2.3714120395325056E-3</v>
      </c>
      <c r="H28" s="75">
        <v>4.9594181033187912E-3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4.4864726842233527E-2</v>
      </c>
      <c r="D29" s="75">
        <v>4.9273042152533586E-2</v>
      </c>
      <c r="E29" s="75">
        <v>4.2190296954733864E-3</v>
      </c>
      <c r="F29" s="75">
        <v>3.7601677237995013E-3</v>
      </c>
      <c r="G29" s="75">
        <v>7.9950616785597894E-3</v>
      </c>
      <c r="H29" s="75">
        <v>5.3218484779088637E-2</v>
      </c>
      <c r="J29" s="8">
        <v>2019</v>
      </c>
      <c r="K29" s="10">
        <v>4.4864726842233527E-2</v>
      </c>
      <c r="L29" s="10">
        <v>4.9273042152533586E-2</v>
      </c>
      <c r="M29" s="10">
        <v>4.2190296954733864E-3</v>
      </c>
      <c r="N29" s="10">
        <v>3.7601677237995013E-3</v>
      </c>
      <c r="O29" s="10">
        <v>7.9950616785597894E-3</v>
      </c>
      <c r="P29" s="10">
        <v>5.3218484779088637E-2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-4.1766408033368729E-2</v>
      </c>
      <c r="D30" s="75">
        <v>-0.27436438677149877</v>
      </c>
      <c r="E30" s="75">
        <v>-0.24273619782078126</v>
      </c>
      <c r="F30" s="75">
        <v>-5.7331846698783773E-2</v>
      </c>
      <c r="G30" s="75">
        <v>-0.2861515300378582</v>
      </c>
      <c r="H30" s="75">
        <v>-0.31596641650829305</v>
      </c>
      <c r="J30" s="8">
        <v>2020</v>
      </c>
      <c r="K30" s="10">
        <v>-4.1766408033368729E-2</v>
      </c>
      <c r="L30" s="10">
        <v>-0.27436438677149877</v>
      </c>
      <c r="M30" s="10">
        <v>-0.24273619782078126</v>
      </c>
      <c r="N30" s="10">
        <v>-5.7331846698783773E-2</v>
      </c>
      <c r="O30" s="10">
        <v>-0.2861515300378582</v>
      </c>
      <c r="P30" s="10">
        <v>-0.31596641650829305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6.5357128366825279E-2</v>
      </c>
      <c r="D31" s="75">
        <v>0.28571622108580663</v>
      </c>
      <c r="E31" s="75">
        <v>0.20684058598902699</v>
      </c>
      <c r="F31" s="75">
        <v>0.17978460102380822</v>
      </c>
      <c r="G31" s="75">
        <v>0.42381193924040295</v>
      </c>
      <c r="H31" s="75">
        <v>0.51686819892355662</v>
      </c>
      <c r="J31" s="8">
        <v>2021</v>
      </c>
      <c r="K31" s="10">
        <v>6.5357128366825279E-2</v>
      </c>
      <c r="L31" s="10">
        <v>0.28571622108580663</v>
      </c>
      <c r="M31" s="10">
        <v>0.20684058598902699</v>
      </c>
      <c r="N31" s="10">
        <v>0.17978460102380822</v>
      </c>
      <c r="O31" s="10">
        <v>0.42381193924040295</v>
      </c>
      <c r="P31" s="10">
        <v>0.51686819892355662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2.7583580424906939E-2</v>
      </c>
      <c r="D32" s="75">
        <v>7.1387157714360328E-2</v>
      </c>
      <c r="E32" s="75">
        <v>4.2627751283589754E-2</v>
      </c>
      <c r="F32" s="75">
        <v>0.12718543301238849</v>
      </c>
      <c r="G32" s="75">
        <v>0.1752348133013264</v>
      </c>
      <c r="H32" s="75">
        <v>0.20765199729217376</v>
      </c>
      <c r="J32" s="8">
        <v>2022</v>
      </c>
      <c r="K32" s="10">
        <v>2.7583580424906939E-2</v>
      </c>
      <c r="L32" s="10">
        <v>7.1387157714360328E-2</v>
      </c>
      <c r="M32" s="10">
        <v>4.2627751283589754E-2</v>
      </c>
      <c r="N32" s="10">
        <v>0.12718543301238849</v>
      </c>
      <c r="O32" s="10">
        <v>0.1752348133013264</v>
      </c>
      <c r="P32" s="10">
        <v>0.20765199729217376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1.6410922055464239E-2</v>
      </c>
      <c r="D33" s="75">
        <v>-7.5556062533843615E-4</v>
      </c>
      <c r="E33" s="75">
        <v>-1.6889313473813616E-2</v>
      </c>
      <c r="F33" s="75">
        <v>2.1640594621796794E-4</v>
      </c>
      <c r="G33" s="75">
        <v>-1.6676562475459011E-2</v>
      </c>
      <c r="H33" s="75">
        <v>-5.3931818693253586E-4</v>
      </c>
      <c r="J33" s="8">
        <v>2023</v>
      </c>
      <c r="K33" s="10">
        <v>1.6410922055464239E-2</v>
      </c>
      <c r="L33" s="10">
        <v>-7.5556062533843615E-4</v>
      </c>
      <c r="M33" s="10">
        <v>-1.6889313473813616E-2</v>
      </c>
      <c r="N33" s="10">
        <v>2.1640594621796794E-4</v>
      </c>
      <c r="O33" s="10">
        <v>-1.6676562475459011E-2</v>
      </c>
      <c r="P33" s="10">
        <v>-5.3931818693253586E-4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-4.6600583780146421E-3</v>
      </c>
      <c r="D34" s="75">
        <v>-1.7180953711737224E-2</v>
      </c>
      <c r="E34" s="75">
        <v>-1.257951661551826E-2</v>
      </c>
      <c r="F34" s="75">
        <v>4.99329782230713E-2</v>
      </c>
      <c r="G34" s="75">
        <v>3.6725328878333796E-2</v>
      </c>
      <c r="H34" s="75">
        <v>3.1894128323794346E-2</v>
      </c>
      <c r="J34" s="8">
        <v>2024</v>
      </c>
      <c r="K34" s="10">
        <v>-4.6600583780146421E-3</v>
      </c>
      <c r="L34" s="10">
        <v>-1.7180953711737224E-2</v>
      </c>
      <c r="M34" s="10">
        <v>-1.257951661551826E-2</v>
      </c>
      <c r="N34" s="10">
        <v>4.99329782230713E-2</v>
      </c>
      <c r="O34" s="10">
        <v>3.6725328878333796E-2</v>
      </c>
      <c r="P34" s="10">
        <v>3.1894128323794346E-2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-4.1082269206615951E-3</v>
      </c>
      <c r="D35" s="75">
        <v>4.9243196187060967E-3</v>
      </c>
      <c r="E35" s="75">
        <v>9.0698073661545919E-3</v>
      </c>
      <c r="F35" s="75">
        <v>3.0743381495069499E-2</v>
      </c>
      <c r="G35" s="75">
        <v>4.0092025409168341E-2</v>
      </c>
      <c r="H35" s="75">
        <v>3.5819091350417054E-2</v>
      </c>
      <c r="J35" s="8">
        <v>2025</v>
      </c>
      <c r="K35" s="10">
        <v>-4.1082269206615951E-3</v>
      </c>
      <c r="L35" s="10">
        <v>4.9243196187060967E-3</v>
      </c>
      <c r="M35" s="10">
        <v>9.0698073661545919E-3</v>
      </c>
      <c r="N35" s="10">
        <v>3.0743381495069499E-2</v>
      </c>
      <c r="O35" s="10">
        <v>4.0092025409168341E-2</v>
      </c>
      <c r="P35" s="10">
        <v>3.5819091350417054E-2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-4.0305840931185166E-3</v>
      </c>
      <c r="D36" s="75">
        <v>2.5085170752872754E-2</v>
      </c>
      <c r="E36" s="75">
        <v>2.9233583261670582E-2</v>
      </c>
      <c r="F36" s="75">
        <v>3.2475812300756912E-2</v>
      </c>
      <c r="G36" s="75">
        <v>6.2658779925311991E-2</v>
      </c>
      <c r="H36" s="75">
        <v>5.837564435053233E-2</v>
      </c>
      <c r="J36" s="8">
        <v>2026</v>
      </c>
      <c r="K36" s="10">
        <v>3.5839091936205048E-3</v>
      </c>
      <c r="L36" s="10">
        <v>2.0215141745161924E-2</v>
      </c>
      <c r="M36" s="10">
        <v>1.6571840579732378E-2</v>
      </c>
      <c r="N36" s="10">
        <v>1.1567085996629478E-2</v>
      </c>
      <c r="O36" s="10">
        <v>2.8330614481469896E-2</v>
      </c>
      <c r="P36" s="10">
        <v>3.2016058024791683E-2</v>
      </c>
      <c r="Q36" s="10"/>
      <c r="R36" s="19">
        <v>-7.6144932867390214E-3</v>
      </c>
      <c r="S36" s="19">
        <v>4.8700290077108299E-3</v>
      </c>
      <c r="T36" s="19">
        <v>1.2661742681938204E-2</v>
      </c>
      <c r="U36" s="19">
        <v>2.0908726304127434E-2</v>
      </c>
      <c r="V36" s="19">
        <v>3.4328165443842096E-2</v>
      </c>
      <c r="W36" s="19">
        <v>2.6359586325740647E-2</v>
      </c>
    </row>
    <row r="37" spans="2:23" s="5" customFormat="1" outlineLevel="1" x14ac:dyDescent="0.15">
      <c r="B37" s="78">
        <v>2027</v>
      </c>
      <c r="C37" s="75">
        <v>1.5963340509054014E-2</v>
      </c>
      <c r="D37" s="75">
        <v>1.506516004410785E-2</v>
      </c>
      <c r="E37" s="75">
        <v>-8.8406778978489253E-4</v>
      </c>
      <c r="F37" s="75">
        <v>1.4072293069270936E-2</v>
      </c>
      <c r="G37" s="75">
        <v>1.3175784418455017E-2</v>
      </c>
      <c r="H37" s="75">
        <v>2.9349454460654734E-2</v>
      </c>
      <c r="J37" s="8">
        <v>2027</v>
      </c>
      <c r="K37" s="10">
        <v>1.0124255800436632E-2</v>
      </c>
      <c r="L37" s="10">
        <v>1.3195025788246051E-2</v>
      </c>
      <c r="M37" s="10">
        <v>3.0399923278507934E-3</v>
      </c>
      <c r="N37" s="10">
        <v>1.3877419784477762E-2</v>
      </c>
      <c r="O37" s="10">
        <v>1.6959599362003974E-2</v>
      </c>
      <c r="P37" s="10">
        <v>2.725555848465433E-2</v>
      </c>
      <c r="Q37" s="10"/>
      <c r="R37" s="19">
        <v>5.8390847086173814E-3</v>
      </c>
      <c r="S37" s="19">
        <v>1.8701342558617995E-3</v>
      </c>
      <c r="T37" s="19">
        <v>-3.924060117635686E-3</v>
      </c>
      <c r="U37" s="19">
        <v>1.9487328479317334E-4</v>
      </c>
      <c r="V37" s="19">
        <v>-3.7838149435489576E-3</v>
      </c>
      <c r="W37" s="19">
        <v>2.0938959760004039E-3</v>
      </c>
    </row>
    <row r="38" spans="2:23" s="5" customFormat="1" outlineLevel="1" x14ac:dyDescent="0.15">
      <c r="B38" s="78">
        <v>2028</v>
      </c>
      <c r="C38" s="75">
        <v>7.2899220216722238E-3</v>
      </c>
      <c r="D38" s="75">
        <v>1.7522978302294323E-2</v>
      </c>
      <c r="E38" s="75">
        <v>1.0158997977547601E-2</v>
      </c>
      <c r="F38" s="75">
        <v>1.7847875732073692E-2</v>
      </c>
      <c r="G38" s="75">
        <v>2.8188190243087163E-2</v>
      </c>
      <c r="H38" s="75">
        <v>3.568360197356335E-2</v>
      </c>
      <c r="J38" s="8">
        <v>2028</v>
      </c>
      <c r="K38" s="10">
        <v>8.2281679846352151E-3</v>
      </c>
      <c r="L38" s="10">
        <v>1.7669208099868827E-2</v>
      </c>
      <c r="M38" s="10">
        <v>9.3639916191843309E-3</v>
      </c>
      <c r="N38" s="10">
        <v>1.8675992057936464E-2</v>
      </c>
      <c r="O38" s="10">
        <v>2.8214865510231446E-2</v>
      </c>
      <c r="P38" s="10">
        <v>3.6675190147948511E-2</v>
      </c>
      <c r="Q38" s="10"/>
      <c r="R38" s="19">
        <v>-9.3824596296299134E-4</v>
      </c>
      <c r="S38" s="19">
        <v>-1.4622979757450416E-4</v>
      </c>
      <c r="T38" s="19">
        <v>7.9500635836327049E-4</v>
      </c>
      <c r="U38" s="19">
        <v>-8.2811632586277106E-4</v>
      </c>
      <c r="V38" s="19">
        <v>-2.6675267144282699E-5</v>
      </c>
      <c r="W38" s="19">
        <v>-9.9158817438516067E-4</v>
      </c>
    </row>
    <row r="39" spans="2:23" s="5" customFormat="1" outlineLevel="1" x14ac:dyDescent="0.15">
      <c r="B39" s="78">
        <v>2029</v>
      </c>
      <c r="C39" s="75">
        <v>2.4998123535819872E-3</v>
      </c>
      <c r="D39" s="75">
        <v>1.7093457877791707E-2</v>
      </c>
      <c r="E39" s="75">
        <v>1.4557255118031298E-2</v>
      </c>
      <c r="F39" s="75">
        <v>1.6767788514388871E-2</v>
      </c>
      <c r="G39" s="75">
        <v>3.1569136607589421E-2</v>
      </c>
      <c r="H39" s="75">
        <v>3.4147865878854766E-2</v>
      </c>
      <c r="J39" s="8">
        <v>2029</v>
      </c>
      <c r="K39" s="10">
        <v>2.4998123535819872E-3</v>
      </c>
      <c r="L39" s="10">
        <v>1.7288504794590986E-2</v>
      </c>
      <c r="M39" s="10">
        <v>1.4751815669959534E-2</v>
      </c>
      <c r="N39" s="10">
        <v>1.7355378996982918E-2</v>
      </c>
      <c r="O39" s="10">
        <v>3.2363218018788276E-2</v>
      </c>
      <c r="P39" s="10">
        <v>3.4943932344575268E-2</v>
      </c>
      <c r="Q39" s="10"/>
      <c r="R39" s="19">
        <v>0</v>
      </c>
      <c r="S39" s="19">
        <v>-1.9504691679927966E-4</v>
      </c>
      <c r="T39" s="19">
        <v>-1.9456055192823563E-4</v>
      </c>
      <c r="U39" s="19">
        <v>-5.87590482594047E-4</v>
      </c>
      <c r="V39" s="19">
        <v>-7.9408141119885478E-4</v>
      </c>
      <c r="W39" s="19">
        <v>-7.9606646572050188E-4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0692-126F-46E1-AD2B-C056AE7AF461}">
  <sheetPr>
    <tabColor theme="7" tint="0.79998168889431442"/>
  </sheetPr>
  <dimension ref="B1:W54"/>
  <sheetViews>
    <sheetView zoomScale="150" zoomScaleNormal="150" workbookViewId="0">
      <selection activeCell="O64" sqref="O64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34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23134.12562448873</v>
      </c>
      <c r="D5" s="74">
        <v>13708.134194543543</v>
      </c>
      <c r="E5" s="75">
        <v>0.59255034821946062</v>
      </c>
      <c r="F5" s="76">
        <v>0</v>
      </c>
      <c r="G5" s="76">
        <v>0</v>
      </c>
      <c r="H5" s="77">
        <v>0</v>
      </c>
      <c r="J5" s="4"/>
      <c r="K5" s="9">
        <v>23134.12562448873</v>
      </c>
      <c r="L5" s="9">
        <v>13708.134194543543</v>
      </c>
      <c r="M5" s="20">
        <v>0.59255034821946062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23405.508727585388</v>
      </c>
      <c r="D6" s="74">
        <v>15391.554550245828</v>
      </c>
      <c r="E6" s="75">
        <v>0.65760393116794635</v>
      </c>
      <c r="F6" s="76">
        <v>81.405337065687107</v>
      </c>
      <c r="G6" s="76">
        <v>53.532469672447576</v>
      </c>
      <c r="H6" s="77">
        <v>457328460.43660021</v>
      </c>
      <c r="J6" s="4"/>
      <c r="K6" s="9">
        <v>23405.508727585388</v>
      </c>
      <c r="L6" s="9">
        <v>15391.554550245828</v>
      </c>
      <c r="M6" s="20">
        <v>0.65760393116794635</v>
      </c>
      <c r="N6" s="11">
        <v>81.405337065687107</v>
      </c>
      <c r="O6" s="11">
        <v>53.532469672447576</v>
      </c>
      <c r="P6" s="12">
        <v>457328460.43660021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23531.75</v>
      </c>
      <c r="D7" s="74">
        <v>16520.394290834603</v>
      </c>
      <c r="E7" s="75">
        <v>0.70204699144069627</v>
      </c>
      <c r="F7" s="76">
        <v>87.33344518027576</v>
      </c>
      <c r="G7" s="76">
        <v>61.312182440963568</v>
      </c>
      <c r="H7" s="77">
        <v>526615776.44162768</v>
      </c>
      <c r="J7" s="4"/>
      <c r="K7" s="9">
        <v>23531.75</v>
      </c>
      <c r="L7" s="9">
        <v>16520.394290834603</v>
      </c>
      <c r="M7" s="20">
        <v>0.70204699144069627</v>
      </c>
      <c r="N7" s="11">
        <v>87.33344518027576</v>
      </c>
      <c r="O7" s="11">
        <v>61.312182440963568</v>
      </c>
      <c r="P7" s="12">
        <v>526615776.44162768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23690.916666666668</v>
      </c>
      <c r="D8" s="74">
        <v>17031.338463729593</v>
      </c>
      <c r="E8" s="75">
        <v>0.71889740288913506</v>
      </c>
      <c r="F8" s="76">
        <v>94.071303779196327</v>
      </c>
      <c r="G8" s="76">
        <v>67.627615973259125</v>
      </c>
      <c r="H8" s="77">
        <v>584788478.25155342</v>
      </c>
      <c r="J8" s="4"/>
      <c r="K8" s="9">
        <v>23690.916666666668</v>
      </c>
      <c r="L8" s="9">
        <v>17031.338463729593</v>
      </c>
      <c r="M8" s="20">
        <v>0.71889740288913506</v>
      </c>
      <c r="N8" s="11">
        <v>94.071303779196327</v>
      </c>
      <c r="O8" s="11">
        <v>67.627615973259125</v>
      </c>
      <c r="P8" s="12">
        <v>584788478.25155342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23808.916666666668</v>
      </c>
      <c r="D9" s="74">
        <v>17253.283150123203</v>
      </c>
      <c r="E9" s="75">
        <v>0.72465637104263603</v>
      </c>
      <c r="F9" s="76">
        <v>98.702491138825849</v>
      </c>
      <c r="G9" s="76">
        <v>71.525389041529493</v>
      </c>
      <c r="H9" s="77">
        <v>621573839.94285142</v>
      </c>
      <c r="J9" s="4"/>
      <c r="K9" s="9">
        <v>23808.916666666668</v>
      </c>
      <c r="L9" s="9">
        <v>17253.283150123203</v>
      </c>
      <c r="M9" s="20">
        <v>0.72465637104263603</v>
      </c>
      <c r="N9" s="11">
        <v>98.702491138825849</v>
      </c>
      <c r="O9" s="11">
        <v>71.525389041529493</v>
      </c>
      <c r="P9" s="12">
        <v>621573839.94285142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24896.166666666668</v>
      </c>
      <c r="D10" s="74">
        <v>17969.772068612379</v>
      </c>
      <c r="E10" s="75">
        <v>0.7217887118610915</v>
      </c>
      <c r="F10" s="76">
        <v>102.42619833966353</v>
      </c>
      <c r="G10" s="76">
        <v>73.930073760414416</v>
      </c>
      <c r="H10" s="77">
        <v>671810034.87665665</v>
      </c>
      <c r="J10" s="4"/>
      <c r="K10" s="9">
        <v>24896.166666666668</v>
      </c>
      <c r="L10" s="9">
        <v>17969.772068612379</v>
      </c>
      <c r="M10" s="20">
        <v>0.7217887118610915</v>
      </c>
      <c r="N10" s="11">
        <v>102.42619833966353</v>
      </c>
      <c r="O10" s="11">
        <v>73.930073760414416</v>
      </c>
      <c r="P10" s="12">
        <v>671810034.87665665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26054.583333333332</v>
      </c>
      <c r="D11" s="74">
        <v>18612.485385416665</v>
      </c>
      <c r="E11" s="75">
        <v>0.71436511370360301</v>
      </c>
      <c r="F11" s="76">
        <v>102.66864898312593</v>
      </c>
      <c r="G11" s="76">
        <v>73.342901104626051</v>
      </c>
      <c r="H11" s="77">
        <v>697485335.98970032</v>
      </c>
      <c r="J11" s="8">
        <v>2019</v>
      </c>
      <c r="K11" s="9">
        <v>26054.583333333332</v>
      </c>
      <c r="L11" s="9">
        <v>18612.485385416665</v>
      </c>
      <c r="M11" s="20">
        <v>0.71436511370360301</v>
      </c>
      <c r="N11" s="11">
        <v>102.66864898312593</v>
      </c>
      <c r="O11" s="11">
        <v>73.342901104626051</v>
      </c>
      <c r="P11" s="12">
        <v>697485335.98970032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27354.25</v>
      </c>
      <c r="D12" s="74">
        <v>16408.931992999998</v>
      </c>
      <c r="E12" s="75">
        <v>0.59986773510514813</v>
      </c>
      <c r="F12" s="76">
        <v>96.901737706824321</v>
      </c>
      <c r="G12" s="76">
        <v>58.128225925945841</v>
      </c>
      <c r="H12" s="77">
        <v>580369718.77270341</v>
      </c>
      <c r="J12" s="8">
        <v>2020</v>
      </c>
      <c r="K12" s="9">
        <v>27354.25</v>
      </c>
      <c r="L12" s="9">
        <v>16408.931992999998</v>
      </c>
      <c r="M12" s="20">
        <v>0.59986773510514813</v>
      </c>
      <c r="N12" s="11">
        <v>96.901737706824321</v>
      </c>
      <c r="O12" s="11">
        <v>58.128225925945841</v>
      </c>
      <c r="P12" s="12">
        <v>580369718.77270341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27907.416666666668</v>
      </c>
      <c r="D13" s="74">
        <v>20288.767705017908</v>
      </c>
      <c r="E13" s="75">
        <v>0.7270027157064427</v>
      </c>
      <c r="F13" s="76">
        <v>117.23958634828452</v>
      </c>
      <c r="G13" s="76">
        <v>85.233497663502831</v>
      </c>
      <c r="H13" s="77">
        <v>868206057.63724768</v>
      </c>
      <c r="J13" s="8">
        <v>2021</v>
      </c>
      <c r="K13" s="9">
        <v>27907.416666666668</v>
      </c>
      <c r="L13" s="9">
        <v>20288.767705017908</v>
      </c>
      <c r="M13" s="20">
        <v>0.7270027157064427</v>
      </c>
      <c r="N13" s="11">
        <v>117.23958634828452</v>
      </c>
      <c r="O13" s="11">
        <v>85.233497663502831</v>
      </c>
      <c r="P13" s="12">
        <v>868206057.63724768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28880.166666666668</v>
      </c>
      <c r="D14" s="74">
        <v>20245.916845878124</v>
      </c>
      <c r="E14" s="75">
        <v>0.70103185620621267</v>
      </c>
      <c r="F14" s="76">
        <v>130.49602834339115</v>
      </c>
      <c r="G14" s="76">
        <v>91.481872977106036</v>
      </c>
      <c r="H14" s="77">
        <v>964334284.57354307</v>
      </c>
      <c r="J14" s="8">
        <v>2022</v>
      </c>
      <c r="K14" s="9">
        <v>28880.166666666668</v>
      </c>
      <c r="L14" s="9">
        <v>20245.916845878124</v>
      </c>
      <c r="M14" s="20">
        <v>0.70103185620621267</v>
      </c>
      <c r="N14" s="11">
        <v>130.49602834339115</v>
      </c>
      <c r="O14" s="11">
        <v>91.481872977106036</v>
      </c>
      <c r="P14" s="12">
        <v>964334284.57354307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29495.801075268817</v>
      </c>
      <c r="D15" s="74">
        <v>19812.317822293542</v>
      </c>
      <c r="E15" s="75">
        <v>0.67169960130038531</v>
      </c>
      <c r="F15" s="76">
        <v>130.77919161401584</v>
      </c>
      <c r="G15" s="76">
        <v>87.844330865521144</v>
      </c>
      <c r="H15" s="77">
        <v>945729201.71182048</v>
      </c>
      <c r="J15" s="8">
        <v>2023</v>
      </c>
      <c r="K15" s="9">
        <v>29495.801075268817</v>
      </c>
      <c r="L15" s="9">
        <v>19812.317822293542</v>
      </c>
      <c r="M15" s="20">
        <v>0.67169960130038531</v>
      </c>
      <c r="N15" s="11">
        <v>130.77919161401584</v>
      </c>
      <c r="O15" s="11">
        <v>87.844330865521144</v>
      </c>
      <c r="P15" s="12">
        <v>945729201.71182048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30439.083333333332</v>
      </c>
      <c r="D16" s="74">
        <v>19738.098060675886</v>
      </c>
      <c r="E16" s="75">
        <v>0.64844587612994986</v>
      </c>
      <c r="F16" s="76">
        <v>126.08361804452285</v>
      </c>
      <c r="G16" s="76">
        <v>81.758402168514564</v>
      </c>
      <c r="H16" s="77">
        <v>908357548.13477242</v>
      </c>
      <c r="J16" s="8">
        <v>2024</v>
      </c>
      <c r="K16" s="9">
        <v>30439.083333333332</v>
      </c>
      <c r="L16" s="9">
        <v>19738.098060675886</v>
      </c>
      <c r="M16" s="20">
        <v>0.64844587612994986</v>
      </c>
      <c r="N16" s="11">
        <v>126.08361804452285</v>
      </c>
      <c r="O16" s="11">
        <v>81.758402168514564</v>
      </c>
      <c r="P16" s="12">
        <v>908357548.13477242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31522.833333333332</v>
      </c>
      <c r="D17" s="74">
        <v>20078.818313182841</v>
      </c>
      <c r="E17" s="75">
        <v>0.63696109105620291</v>
      </c>
      <c r="F17" s="76">
        <v>124.04539183304304</v>
      </c>
      <c r="G17" s="76">
        <v>79.012088122469308</v>
      </c>
      <c r="H17" s="77">
        <v>909099983.09918475</v>
      </c>
      <c r="J17" s="8">
        <v>2025</v>
      </c>
      <c r="K17" s="9">
        <v>31522.833333333332</v>
      </c>
      <c r="L17" s="9">
        <v>20078.818313182841</v>
      </c>
      <c r="M17" s="20">
        <v>0.63696109105620291</v>
      </c>
      <c r="N17" s="11">
        <v>124.04539183304304</v>
      </c>
      <c r="O17" s="11">
        <v>79.012088122469308</v>
      </c>
      <c r="P17" s="12">
        <v>909099983.09918475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31755.75</v>
      </c>
      <c r="D18" s="74">
        <v>20736.601737768207</v>
      </c>
      <c r="E18" s="75">
        <v>0.65300305417973781</v>
      </c>
      <c r="F18" s="76">
        <v>124.88959762127216</v>
      </c>
      <c r="G18" s="76">
        <v>81.553288681969235</v>
      </c>
      <c r="H18" s="77">
        <v>945271834.17779219</v>
      </c>
      <c r="J18" s="8">
        <v>2026</v>
      </c>
      <c r="K18" s="9">
        <v>32036.916666666668</v>
      </c>
      <c r="L18" s="9">
        <v>20368.256015190145</v>
      </c>
      <c r="M18" s="20">
        <v>0.63577454182357784</v>
      </c>
      <c r="N18" s="11">
        <v>125.27395052722471</v>
      </c>
      <c r="O18" s="11">
        <v>79.645988498875852</v>
      </c>
      <c r="P18" s="12">
        <v>931338342.17606378</v>
      </c>
      <c r="Q18" s="9"/>
      <c r="R18" s="22">
        <v>-281.16666666666788</v>
      </c>
      <c r="S18" s="22">
        <v>368.34572257806212</v>
      </c>
      <c r="T18" s="21">
        <v>1.7228512356159964E-2</v>
      </c>
      <c r="U18" s="23">
        <v>-0.38435290595255367</v>
      </c>
      <c r="V18" s="23">
        <v>1.9073001830933833</v>
      </c>
      <c r="W18" s="24">
        <v>13933492.001728415</v>
      </c>
    </row>
    <row r="19" spans="2:23" s="5" customFormat="1" outlineLevel="1" x14ac:dyDescent="0.15">
      <c r="B19" s="78">
        <v>2027</v>
      </c>
      <c r="C19" s="74">
        <v>32371.683333333334</v>
      </c>
      <c r="D19" s="74">
        <v>21037.23224011487</v>
      </c>
      <c r="E19" s="75">
        <v>0.64986525487393154</v>
      </c>
      <c r="F19" s="76">
        <v>126.40763936153105</v>
      </c>
      <c r="G19" s="76">
        <v>82.147932771693405</v>
      </c>
      <c r="H19" s="77">
        <v>970632406.1532234</v>
      </c>
      <c r="J19" s="8">
        <v>2027</v>
      </c>
      <c r="K19" s="9">
        <v>32723.633333333335</v>
      </c>
      <c r="L19" s="9">
        <v>20586.588980735469</v>
      </c>
      <c r="M19" s="20">
        <v>0.62910462206424111</v>
      </c>
      <c r="N19" s="11">
        <v>126.34130247256304</v>
      </c>
      <c r="O19" s="11">
        <v>79.481897343105729</v>
      </c>
      <c r="P19" s="12">
        <v>949341809.83210301</v>
      </c>
      <c r="Q19" s="9"/>
      <c r="R19" s="22">
        <v>-351.95000000000073</v>
      </c>
      <c r="S19" s="22">
        <v>450.64325937940157</v>
      </c>
      <c r="T19" s="21">
        <v>2.0760632809690427E-2</v>
      </c>
      <c r="U19" s="23">
        <v>6.6336888968010044E-2</v>
      </c>
      <c r="V19" s="23">
        <v>2.6660354285876764</v>
      </c>
      <c r="W19" s="24">
        <v>21290596.321120381</v>
      </c>
    </row>
    <row r="20" spans="2:23" s="5" customFormat="1" outlineLevel="1" x14ac:dyDescent="0.15">
      <c r="B20" s="78">
        <v>2028</v>
      </c>
      <c r="C20" s="74">
        <v>32788.183333333334</v>
      </c>
      <c r="D20" s="74">
        <v>21369.814313982573</v>
      </c>
      <c r="E20" s="75">
        <v>0.65175353256785817</v>
      </c>
      <c r="F20" s="76">
        <v>128.39290426837016</v>
      </c>
      <c r="G20" s="76">
        <v>83.680528913557097</v>
      </c>
      <c r="H20" s="77">
        <v>1001462371.058524</v>
      </c>
      <c r="J20" s="8">
        <v>2028</v>
      </c>
      <c r="K20" s="9">
        <v>33525.416666666686</v>
      </c>
      <c r="L20" s="9">
        <v>20934.08748603757</v>
      </c>
      <c r="M20" s="20">
        <v>0.62442437909658266</v>
      </c>
      <c r="N20" s="11">
        <v>128.17657695019361</v>
      </c>
      <c r="O20" s="11">
        <v>80.036579476849994</v>
      </c>
      <c r="P20" s="12">
        <v>979389781.57070553</v>
      </c>
      <c r="Q20" s="9"/>
      <c r="R20" s="22">
        <v>-737.23333333335177</v>
      </c>
      <c r="S20" s="22">
        <v>435.72682794500361</v>
      </c>
      <c r="T20" s="21">
        <v>2.7329153471275514E-2</v>
      </c>
      <c r="U20" s="23">
        <v>0.21632731817655326</v>
      </c>
      <c r="V20" s="23">
        <v>3.6439494367071035</v>
      </c>
      <c r="W20" s="24">
        <v>22072589.48781848</v>
      </c>
    </row>
    <row r="21" spans="2:23" s="5" customFormat="1" outlineLevel="1" x14ac:dyDescent="0.15">
      <c r="B21" s="78">
        <v>2029</v>
      </c>
      <c r="C21" s="74">
        <v>33759.230455469311</v>
      </c>
      <c r="D21" s="74">
        <v>21736.627483418215</v>
      </c>
      <c r="E21" s="75">
        <v>0.64387212593872023</v>
      </c>
      <c r="F21" s="76">
        <v>130.22795962209406</v>
      </c>
      <c r="G21" s="76">
        <v>83.850153218539518</v>
      </c>
      <c r="H21" s="77">
        <v>1033211575.8743469</v>
      </c>
      <c r="J21" s="8">
        <v>2029</v>
      </c>
      <c r="K21" s="9">
        <v>34518.297517722567</v>
      </c>
      <c r="L21" s="9">
        <v>21272.004224117143</v>
      </c>
      <c r="M21" s="20">
        <v>0.61625299489917074</v>
      </c>
      <c r="N21" s="11">
        <v>130.08975203446894</v>
      </c>
      <c r="O21" s="11">
        <v>80.168199296931974</v>
      </c>
      <c r="P21" s="12">
        <v>1010053460.4989249</v>
      </c>
      <c r="Q21" s="9"/>
      <c r="R21" s="22">
        <v>-759.06706225325615</v>
      </c>
      <c r="S21" s="22">
        <v>464.62325930107181</v>
      </c>
      <c r="T21" s="21">
        <v>2.7619131039549494E-2</v>
      </c>
      <c r="U21" s="23">
        <v>0.13820758762511787</v>
      </c>
      <c r="V21" s="23">
        <v>3.6819539216075441</v>
      </c>
      <c r="W21" s="24">
        <v>23158115.375422001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1.1730856290042002E-2</v>
      </c>
      <c r="D24" s="75">
        <v>0.12280448468124594</v>
      </c>
      <c r="E24" s="75">
        <v>0.10978574756383752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5.3936564201155779E-3</v>
      </c>
      <c r="D25" s="75">
        <v>7.3341502763978106E-2</v>
      </c>
      <c r="E25" s="75">
        <v>6.7583325108498293E-2</v>
      </c>
      <c r="F25" s="75">
        <v>7.2822106366382089E-2</v>
      </c>
      <c r="G25" s="75">
        <v>0.14532699156452522</v>
      </c>
      <c r="H25" s="75">
        <v>0.15150449184570891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6.7639111696609078E-3</v>
      </c>
      <c r="D26" s="75">
        <v>3.092808584952822E-2</v>
      </c>
      <c r="E26" s="75">
        <v>2.4001828444360163E-2</v>
      </c>
      <c r="F26" s="75">
        <v>7.7150953852926696E-2</v>
      </c>
      <c r="G26" s="75">
        <v>0.10300454625598388</v>
      </c>
      <c r="H26" s="75">
        <v>0.11046517102659159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4.9808119145522411E-3</v>
      </c>
      <c r="D27" s="75">
        <v>1.3031546925467374E-2</v>
      </c>
      <c r="E27" s="75">
        <v>8.0108345507392542E-3</v>
      </c>
      <c r="F27" s="75">
        <v>4.9230606716154535E-2</v>
      </c>
      <c r="G27" s="75">
        <v>5.7635819512129594E-2</v>
      </c>
      <c r="H27" s="75">
        <v>6.2903704603212818E-2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4.5665664474444201E-2</v>
      </c>
      <c r="D28" s="75">
        <v>4.1527685615248222E-2</v>
      </c>
      <c r="E28" s="75">
        <v>-3.9572676045317445E-3</v>
      </c>
      <c r="F28" s="75">
        <v>3.7726577697013264E-2</v>
      </c>
      <c r="G28" s="75">
        <v>3.3620015928731206E-2</v>
      </c>
      <c r="H28" s="75">
        <v>8.0820960770202399E-2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4.6529920938296998E-2</v>
      </c>
      <c r="D29" s="75">
        <v>3.5766358880361393E-2</v>
      </c>
      <c r="E29" s="75">
        <v>-1.0285001740117483E-2</v>
      </c>
      <c r="F29" s="75">
        <v>2.3670764647381048E-3</v>
      </c>
      <c r="G29" s="75">
        <v>-7.9422706609385552E-3</v>
      </c>
      <c r="H29" s="75">
        <v>3.821809705143453E-2</v>
      </c>
      <c r="J29" s="8">
        <v>2019</v>
      </c>
      <c r="K29" s="10">
        <v>4.6529920938296998E-2</v>
      </c>
      <c r="L29" s="10">
        <v>3.5766358880361393E-2</v>
      </c>
      <c r="M29" s="10">
        <v>-1.0285001740117483E-2</v>
      </c>
      <c r="N29" s="10">
        <v>2.3670764647381048E-3</v>
      </c>
      <c r="O29" s="10">
        <v>-7.9422706609385552E-3</v>
      </c>
      <c r="P29" s="10">
        <v>3.821809705143453E-2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4.9882458300682941E-2</v>
      </c>
      <c r="D30" s="75">
        <v>-0.11839114157979158</v>
      </c>
      <c r="E30" s="75">
        <v>-0.16027851360888401</v>
      </c>
      <c r="F30" s="75">
        <v>-5.6170129181785877E-2</v>
      </c>
      <c r="G30" s="75">
        <v>-0.20744577797619401</v>
      </c>
      <c r="H30" s="75">
        <v>-0.16791122504506151</v>
      </c>
      <c r="J30" s="8">
        <v>2020</v>
      </c>
      <c r="K30" s="10">
        <v>4.9882458300682941E-2</v>
      </c>
      <c r="L30" s="10">
        <v>-0.11839114157979158</v>
      </c>
      <c r="M30" s="10">
        <v>-0.16027851360888401</v>
      </c>
      <c r="N30" s="10">
        <v>-5.6170129181785877E-2</v>
      </c>
      <c r="O30" s="10">
        <v>-0.20744577797619401</v>
      </c>
      <c r="P30" s="10">
        <v>-0.16791122504506151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2.0222329863427646E-2</v>
      </c>
      <c r="D31" s="75">
        <v>0.23644657151806325</v>
      </c>
      <c r="E31" s="75">
        <v>0.21193835434241115</v>
      </c>
      <c r="F31" s="75">
        <v>0.20988115510366034</v>
      </c>
      <c r="G31" s="75">
        <v>0.46630137606622557</v>
      </c>
      <c r="H31" s="75">
        <v>0.49595340617223482</v>
      </c>
      <c r="J31" s="8">
        <v>2021</v>
      </c>
      <c r="K31" s="10">
        <v>2.0222329863427646E-2</v>
      </c>
      <c r="L31" s="10">
        <v>0.23644657151806325</v>
      </c>
      <c r="M31" s="10">
        <v>0.21193835434241115</v>
      </c>
      <c r="N31" s="10">
        <v>0.20988115510366034</v>
      </c>
      <c r="O31" s="10">
        <v>0.46630137606622557</v>
      </c>
      <c r="P31" s="10">
        <v>0.49595340617223482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3.4856325528757282E-2</v>
      </c>
      <c r="D32" s="75">
        <v>-2.1120483886848396E-3</v>
      </c>
      <c r="E32" s="75">
        <v>-3.572319461694673E-2</v>
      </c>
      <c r="F32" s="75">
        <v>0.11307138150185558</v>
      </c>
      <c r="G32" s="75">
        <v>7.3308915917911222E-2</v>
      </c>
      <c r="H32" s="75">
        <v>0.11072052088406359</v>
      </c>
      <c r="J32" s="8">
        <v>2022</v>
      </c>
      <c r="K32" s="10">
        <v>3.4856325528757282E-2</v>
      </c>
      <c r="L32" s="10">
        <v>-2.1120483886848396E-3</v>
      </c>
      <c r="M32" s="10">
        <v>-3.572319461694673E-2</v>
      </c>
      <c r="N32" s="10">
        <v>0.11307138150185558</v>
      </c>
      <c r="O32" s="10">
        <v>7.3308915917911222E-2</v>
      </c>
      <c r="P32" s="10">
        <v>0.11072052088406359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2.1316857887551999E-2</v>
      </c>
      <c r="D33" s="75">
        <v>-2.1416615848289355E-2</v>
      </c>
      <c r="E33" s="75">
        <v>-4.1841543499271605E-2</v>
      </c>
      <c r="F33" s="75">
        <v>2.1698995304253454E-3</v>
      </c>
      <c r="G33" s="75">
        <v>-3.9762435914437511E-2</v>
      </c>
      <c r="H33" s="75">
        <v>-1.9293188222536672E-2</v>
      </c>
      <c r="J33" s="8">
        <v>2023</v>
      </c>
      <c r="K33" s="10">
        <v>2.1316857887551999E-2</v>
      </c>
      <c r="L33" s="10">
        <v>-2.1416615848289355E-2</v>
      </c>
      <c r="M33" s="10">
        <v>-4.1841543499271605E-2</v>
      </c>
      <c r="N33" s="10">
        <v>2.1698995304253454E-3</v>
      </c>
      <c r="O33" s="10">
        <v>-3.9762435914437511E-2</v>
      </c>
      <c r="P33" s="10">
        <v>-1.9293188222536672E-2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3.1980221715538493E-2</v>
      </c>
      <c r="D34" s="75">
        <v>-3.7461422880133988E-3</v>
      </c>
      <c r="E34" s="75">
        <v>-3.4619233248638359E-2</v>
      </c>
      <c r="F34" s="75">
        <v>-3.5904592401454827E-2</v>
      </c>
      <c r="G34" s="75">
        <v>-6.9280836191050188E-2</v>
      </c>
      <c r="H34" s="75">
        <v>-3.9516230977539202E-2</v>
      </c>
      <c r="J34" s="8">
        <v>2024</v>
      </c>
      <c r="K34" s="10">
        <v>3.1980221715538493E-2</v>
      </c>
      <c r="L34" s="10">
        <v>-3.7461422880133988E-3</v>
      </c>
      <c r="M34" s="10">
        <v>-3.4619233248638359E-2</v>
      </c>
      <c r="N34" s="10">
        <v>-3.5904592401454827E-2</v>
      </c>
      <c r="O34" s="10">
        <v>-6.9280836191050188E-2</v>
      </c>
      <c r="P34" s="10">
        <v>-3.9516230977539202E-2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3.5603897401641049E-2</v>
      </c>
      <c r="D35" s="75">
        <v>1.7262060987819794E-2</v>
      </c>
      <c r="E35" s="75">
        <v>-1.7711246993026397E-2</v>
      </c>
      <c r="F35" s="75">
        <v>-1.61656703947064E-2</v>
      </c>
      <c r="G35" s="75">
        <v>-3.359060320656404E-2</v>
      </c>
      <c r="H35" s="75">
        <v>8.1733780485104823E-4</v>
      </c>
      <c r="J35" s="8">
        <v>2025</v>
      </c>
      <c r="K35" s="10">
        <v>3.5603897401641049E-2</v>
      </c>
      <c r="L35" s="10">
        <v>1.7262060987819794E-2</v>
      </c>
      <c r="M35" s="10">
        <v>-1.7711246993026397E-2</v>
      </c>
      <c r="N35" s="10">
        <v>-1.61656703947064E-2</v>
      </c>
      <c r="O35" s="10">
        <v>-3.359060320656404E-2</v>
      </c>
      <c r="P35" s="10">
        <v>8.1733780485104823E-4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7.388823974156411E-3</v>
      </c>
      <c r="D36" s="75">
        <v>3.2760066569928359E-2</v>
      </c>
      <c r="E36" s="75">
        <v>2.5185153926646109E-2</v>
      </c>
      <c r="F36" s="75">
        <v>6.8056199086006242E-3</v>
      </c>
      <c r="G36" s="75">
        <v>3.2162174420210743E-2</v>
      </c>
      <c r="H36" s="75">
        <v>3.9788639039784357E-2</v>
      </c>
      <c r="J36" s="8">
        <v>2026</v>
      </c>
      <c r="K36" s="10">
        <v>1.6308284471044932E-2</v>
      </c>
      <c r="L36" s="10">
        <v>1.4415076499660007E-2</v>
      </c>
      <c r="M36" s="10">
        <v>-1.86282843534058E-3</v>
      </c>
      <c r="N36" s="10">
        <v>9.9041058763007506E-3</v>
      </c>
      <c r="O36" s="10">
        <v>8.0228277909071277E-3</v>
      </c>
      <c r="P36" s="10">
        <v>2.4461950819828271E-2</v>
      </c>
      <c r="Q36" s="10"/>
      <c r="R36" s="19">
        <v>-8.9194604968885205E-3</v>
      </c>
      <c r="S36" s="19">
        <v>1.8344990070268352E-2</v>
      </c>
      <c r="T36" s="19">
        <v>2.7047982361986689E-2</v>
      </c>
      <c r="U36" s="19">
        <v>-3.0984859677001264E-3</v>
      </c>
      <c r="V36" s="19">
        <v>2.4139346629303615E-2</v>
      </c>
      <c r="W36" s="19">
        <v>1.5326688219956086E-2</v>
      </c>
    </row>
    <row r="37" spans="2:23" s="5" customFormat="1" outlineLevel="1" x14ac:dyDescent="0.15">
      <c r="B37" s="78">
        <v>2027</v>
      </c>
      <c r="C37" s="75">
        <v>1.939596241100694E-2</v>
      </c>
      <c r="D37" s="75">
        <v>1.449757805779317E-2</v>
      </c>
      <c r="E37" s="75">
        <v>-4.8051832004795125E-3</v>
      </c>
      <c r="F37" s="75">
        <v>1.2155069510771943E-2</v>
      </c>
      <c r="G37" s="75">
        <v>7.2914789744786823E-3</v>
      </c>
      <c r="H37" s="75">
        <v>2.6828866637595317E-2</v>
      </c>
      <c r="J37" s="8">
        <v>2027</v>
      </c>
      <c r="K37" s="10">
        <v>2.1435167241957931E-2</v>
      </c>
      <c r="L37" s="10">
        <v>1.0719276377049392E-2</v>
      </c>
      <c r="M37" s="10">
        <v>-1.0491014220552985E-2</v>
      </c>
      <c r="N37" s="10">
        <v>8.5201427818497599E-3</v>
      </c>
      <c r="O37" s="10">
        <v>-2.0602563777890603E-3</v>
      </c>
      <c r="P37" s="10">
        <v>1.9330748924149654E-2</v>
      </c>
      <c r="Q37" s="10"/>
      <c r="R37" s="19">
        <v>-2.0392048309509914E-3</v>
      </c>
      <c r="S37" s="19">
        <v>3.7783016807437786E-3</v>
      </c>
      <c r="T37" s="19">
        <v>5.685831020073473E-3</v>
      </c>
      <c r="U37" s="19">
        <v>3.6349267289221832E-3</v>
      </c>
      <c r="V37" s="19">
        <v>9.3517353522677427E-3</v>
      </c>
      <c r="W37" s="19">
        <v>7.4981177134456622E-3</v>
      </c>
    </row>
    <row r="38" spans="2:23" s="5" customFormat="1" outlineLevel="1" x14ac:dyDescent="0.15">
      <c r="B38" s="78">
        <v>2028</v>
      </c>
      <c r="C38" s="75">
        <v>1.2866182944867965E-2</v>
      </c>
      <c r="D38" s="75">
        <v>1.5809212451128429E-2</v>
      </c>
      <c r="E38" s="75">
        <v>2.9056449468018997E-3</v>
      </c>
      <c r="F38" s="75">
        <v>1.5705260511678087E-2</v>
      </c>
      <c r="G38" s="75">
        <v>1.8656539369324099E-2</v>
      </c>
      <c r="H38" s="75">
        <v>3.1762760762835907E-2</v>
      </c>
      <c r="J38" s="8">
        <v>2028</v>
      </c>
      <c r="K38" s="10">
        <v>2.4501659860509006E-2</v>
      </c>
      <c r="L38" s="10">
        <v>1.6879848605676484E-2</v>
      </c>
      <c r="M38" s="10">
        <v>-7.4395304111762872E-3</v>
      </c>
      <c r="N38" s="10">
        <v>1.4526322285058901E-2</v>
      </c>
      <c r="O38" s="10">
        <v>6.9787228574806903E-3</v>
      </c>
      <c r="P38" s="10">
        <v>3.1651373011704509E-2</v>
      </c>
      <c r="Q38" s="10"/>
      <c r="R38" s="19">
        <v>-1.1635476915641041E-2</v>
      </c>
      <c r="S38" s="19">
        <v>-1.0706361545480547E-3</v>
      </c>
      <c r="T38" s="19">
        <v>1.0345175357978187E-2</v>
      </c>
      <c r="U38" s="19">
        <v>1.1789382266191861E-3</v>
      </c>
      <c r="V38" s="19">
        <v>1.1677816511843409E-2</v>
      </c>
      <c r="W38" s="19">
        <v>1.1138775113139765E-4</v>
      </c>
    </row>
    <row r="39" spans="2:23" s="5" customFormat="1" outlineLevel="1" x14ac:dyDescent="0.15">
      <c r="B39" s="78">
        <v>2029</v>
      </c>
      <c r="C39" s="75">
        <v>2.9615764687663804E-2</v>
      </c>
      <c r="D39" s="75">
        <v>1.7165014353710539E-2</v>
      </c>
      <c r="E39" s="75">
        <v>-1.2092618198916161E-2</v>
      </c>
      <c r="F39" s="75">
        <v>1.4292498204481863E-2</v>
      </c>
      <c r="G39" s="75">
        <v>2.027046281670275E-3</v>
      </c>
      <c r="H39" s="75">
        <v>3.1702843495022837E-2</v>
      </c>
      <c r="J39" s="8">
        <v>2029</v>
      </c>
      <c r="K39" s="10">
        <v>2.9615764687663804E-2</v>
      </c>
      <c r="L39" s="10">
        <v>1.6141937799053929E-2</v>
      </c>
      <c r="M39" s="10">
        <v>-1.3086267082067282E-2</v>
      </c>
      <c r="N39" s="10">
        <v>1.4926089694365485E-2</v>
      </c>
      <c r="O39" s="10">
        <v>1.6444958160668488E-3</v>
      </c>
      <c r="P39" s="10">
        <v>3.130896350484913E-2</v>
      </c>
      <c r="Q39" s="10"/>
      <c r="R39" s="19">
        <v>0</v>
      </c>
      <c r="S39" s="19">
        <v>1.0230765546566101E-3</v>
      </c>
      <c r="T39" s="19">
        <v>9.9364888315112143E-4</v>
      </c>
      <c r="U39" s="19">
        <v>-6.3359148988362257E-4</v>
      </c>
      <c r="V39" s="19">
        <v>3.825504656034262E-4</v>
      </c>
      <c r="W39" s="19">
        <v>3.9387999017370667E-4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7BAA-B699-4DA5-83DE-B78233671EB0}">
  <sheetPr>
    <tabColor theme="7" tint="0.79998168889431442"/>
  </sheetPr>
  <dimension ref="B1:W54"/>
  <sheetViews>
    <sheetView zoomScale="150" zoomScaleNormal="150" workbookViewId="0">
      <selection activeCell="P64" sqref="P64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35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96942.1667761274</v>
      </c>
      <c r="D5" s="74">
        <v>75210.276017761076</v>
      </c>
      <c r="E5" s="75">
        <v>0.77582623247371096</v>
      </c>
      <c r="F5" s="76">
        <v>0</v>
      </c>
      <c r="G5" s="76">
        <v>0</v>
      </c>
      <c r="H5" s="77">
        <v>0</v>
      </c>
      <c r="J5" s="4"/>
      <c r="K5" s="9">
        <v>96942.1667761274</v>
      </c>
      <c r="L5" s="9">
        <v>75210.276017761076</v>
      </c>
      <c r="M5" s="20">
        <v>0.77582623247371096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97675.010499964585</v>
      </c>
      <c r="D6" s="74">
        <v>76869.556868376676</v>
      </c>
      <c r="E6" s="75">
        <v>0.78699307504455862</v>
      </c>
      <c r="F6" s="76">
        <v>147.24304749031293</v>
      </c>
      <c r="G6" s="76">
        <v>115.87925872333335</v>
      </c>
      <c r="H6" s="77">
        <v>4131255351.5733399</v>
      </c>
      <c r="J6" s="4"/>
      <c r="K6" s="9">
        <v>97675.010499964585</v>
      </c>
      <c r="L6" s="9">
        <v>76869.556868376676</v>
      </c>
      <c r="M6" s="20">
        <v>0.78699307504455862</v>
      </c>
      <c r="N6" s="11">
        <v>147.24304749031293</v>
      </c>
      <c r="O6" s="11">
        <v>115.87925872333335</v>
      </c>
      <c r="P6" s="12">
        <v>4131255351.5733399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97886.416666666672</v>
      </c>
      <c r="D7" s="74">
        <v>77965.275032001999</v>
      </c>
      <c r="E7" s="75">
        <v>0.79648717040585637</v>
      </c>
      <c r="F7" s="76">
        <v>158.24020977113227</v>
      </c>
      <c r="G7" s="76">
        <v>126.03629692503831</v>
      </c>
      <c r="H7" s="77">
        <v>4503093138.713727</v>
      </c>
      <c r="J7" s="4"/>
      <c r="K7" s="9">
        <v>97886.416666666672</v>
      </c>
      <c r="L7" s="9">
        <v>77965.275032001999</v>
      </c>
      <c r="M7" s="20">
        <v>0.79648717040585637</v>
      </c>
      <c r="N7" s="11">
        <v>158.24020977113227</v>
      </c>
      <c r="O7" s="11">
        <v>126.03629692503831</v>
      </c>
      <c r="P7" s="12">
        <v>4503093138.713727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98180.333333333328</v>
      </c>
      <c r="D8" s="74">
        <v>79751.651923371086</v>
      </c>
      <c r="E8" s="75">
        <v>0.81229762841204878</v>
      </c>
      <c r="F8" s="76">
        <v>172.09502151175994</v>
      </c>
      <c r="G8" s="76">
        <v>139.79237783552313</v>
      </c>
      <c r="H8" s="77">
        <v>5009574722.4730921</v>
      </c>
      <c r="J8" s="4"/>
      <c r="K8" s="9">
        <v>98180.333333333328</v>
      </c>
      <c r="L8" s="9">
        <v>79751.651923371086</v>
      </c>
      <c r="M8" s="20">
        <v>0.81229762841204878</v>
      </c>
      <c r="N8" s="11">
        <v>172.09502151175994</v>
      </c>
      <c r="O8" s="11">
        <v>139.79237783552313</v>
      </c>
      <c r="P8" s="12">
        <v>5009574722.4730921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100713.25</v>
      </c>
      <c r="D9" s="74">
        <v>80727.145772912045</v>
      </c>
      <c r="E9" s="75">
        <v>0.80155437117670258</v>
      </c>
      <c r="F9" s="76">
        <v>175.94341830931054</v>
      </c>
      <c r="G9" s="76">
        <v>141.02821602559897</v>
      </c>
      <c r="H9" s="77">
        <v>5184244641.8386564</v>
      </c>
      <c r="J9" s="4"/>
      <c r="K9" s="9">
        <v>100713.25</v>
      </c>
      <c r="L9" s="9">
        <v>80727.145772912045</v>
      </c>
      <c r="M9" s="20">
        <v>0.80155437117670258</v>
      </c>
      <c r="N9" s="11">
        <v>175.94341830931054</v>
      </c>
      <c r="O9" s="11">
        <v>141.02821602559897</v>
      </c>
      <c r="P9" s="12">
        <v>5184244641.8386564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103717.83333333333</v>
      </c>
      <c r="D10" s="74">
        <v>82673.649679979455</v>
      </c>
      <c r="E10" s="75">
        <v>0.79710158825125987</v>
      </c>
      <c r="F10" s="76">
        <v>180.25056966936054</v>
      </c>
      <c r="G10" s="76">
        <v>143.67801536664166</v>
      </c>
      <c r="H10" s="77">
        <v>5439219944.7834272</v>
      </c>
      <c r="J10" s="4"/>
      <c r="K10" s="9">
        <v>103717.83333333333</v>
      </c>
      <c r="L10" s="9">
        <v>82673.649679979455</v>
      </c>
      <c r="M10" s="20">
        <v>0.79710158825125987</v>
      </c>
      <c r="N10" s="11">
        <v>180.25056966936054</v>
      </c>
      <c r="O10" s="11">
        <v>143.67801536664166</v>
      </c>
      <c r="P10" s="12">
        <v>5439219944.7834272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110117.41666666667</v>
      </c>
      <c r="D11" s="74">
        <v>87207.572266833318</v>
      </c>
      <c r="E11" s="75">
        <v>0.79195076407228937</v>
      </c>
      <c r="F11" s="76">
        <v>177.20257604486906</v>
      </c>
      <c r="G11" s="76">
        <v>140.33571549431201</v>
      </c>
      <c r="H11" s="77">
        <v>5640493356.55021</v>
      </c>
      <c r="J11" s="8">
        <v>2019</v>
      </c>
      <c r="K11" s="9">
        <v>110117.41666666667</v>
      </c>
      <c r="L11" s="9">
        <v>87207.572266833318</v>
      </c>
      <c r="M11" s="20">
        <v>0.79195076407228937</v>
      </c>
      <c r="N11" s="11">
        <v>177.20257604486906</v>
      </c>
      <c r="O11" s="11">
        <v>140.33571549431201</v>
      </c>
      <c r="P11" s="12">
        <v>5640493356.55021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103802.41666666667</v>
      </c>
      <c r="D12" s="74">
        <v>51275.352562749991</v>
      </c>
      <c r="E12" s="75">
        <v>0.49397070135088367</v>
      </c>
      <c r="F12" s="76">
        <v>137.69061521376901</v>
      </c>
      <c r="G12" s="76">
        <v>68.015129766580131</v>
      </c>
      <c r="H12" s="77">
        <v>2576949216.4788032</v>
      </c>
      <c r="J12" s="8">
        <v>2020</v>
      </c>
      <c r="K12" s="9">
        <v>103802.41666666667</v>
      </c>
      <c r="L12" s="9">
        <v>51275.352562749991</v>
      </c>
      <c r="M12" s="20">
        <v>0.49397070135088367</v>
      </c>
      <c r="N12" s="11">
        <v>137.69061521376901</v>
      </c>
      <c r="O12" s="11">
        <v>68.015129766580131</v>
      </c>
      <c r="P12" s="12">
        <v>2576949216.4788032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108138.75</v>
      </c>
      <c r="D13" s="74">
        <v>68984.612227519654</v>
      </c>
      <c r="E13" s="75">
        <v>0.63792685071280786</v>
      </c>
      <c r="F13" s="76">
        <v>161.27203934546412</v>
      </c>
      <c r="G13" s="76">
        <v>102.87976416768397</v>
      </c>
      <c r="H13" s="77">
        <v>4060730520.5466695</v>
      </c>
      <c r="J13" s="8">
        <v>2021</v>
      </c>
      <c r="K13" s="9">
        <v>108138.75</v>
      </c>
      <c r="L13" s="9">
        <v>68984.612227519654</v>
      </c>
      <c r="M13" s="20">
        <v>0.63792685071280786</v>
      </c>
      <c r="N13" s="11">
        <v>161.27203934546412</v>
      </c>
      <c r="O13" s="11">
        <v>102.87976416768397</v>
      </c>
      <c r="P13" s="12">
        <v>4060730520.5466695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112876.16666666667</v>
      </c>
      <c r="D14" s="74">
        <v>79696.970654121804</v>
      </c>
      <c r="E14" s="75">
        <v>0.70605667261428207</v>
      </c>
      <c r="F14" s="76">
        <v>197.29485728081698</v>
      </c>
      <c r="G14" s="76">
        <v>139.30135045560331</v>
      </c>
      <c r="H14" s="77">
        <v>5739187894.5852242</v>
      </c>
      <c r="J14" s="8">
        <v>2022</v>
      </c>
      <c r="K14" s="9">
        <v>112876.16666666667</v>
      </c>
      <c r="L14" s="9">
        <v>79696.970654121804</v>
      </c>
      <c r="M14" s="20">
        <v>0.70605667261428207</v>
      </c>
      <c r="N14" s="11">
        <v>197.29485728081698</v>
      </c>
      <c r="O14" s="11">
        <v>139.30135045560331</v>
      </c>
      <c r="P14" s="12">
        <v>5739187894.5852242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114343.85752688172</v>
      </c>
      <c r="D15" s="74">
        <v>81973.0048468608</v>
      </c>
      <c r="E15" s="75">
        <v>0.71689906760045519</v>
      </c>
      <c r="F15" s="76">
        <v>203.51944565124973</v>
      </c>
      <c r="G15" s="76">
        <v>145.90290082594245</v>
      </c>
      <c r="H15" s="77">
        <v>6089331684.2521162</v>
      </c>
      <c r="J15" s="8">
        <v>2023</v>
      </c>
      <c r="K15" s="9">
        <v>114343.85752688172</v>
      </c>
      <c r="L15" s="9">
        <v>81973.0048468608</v>
      </c>
      <c r="M15" s="20">
        <v>0.71689906760045519</v>
      </c>
      <c r="N15" s="11">
        <v>203.51944565124973</v>
      </c>
      <c r="O15" s="11">
        <v>145.90290082594245</v>
      </c>
      <c r="P15" s="12">
        <v>6089331684.2521162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114204.16666666667</v>
      </c>
      <c r="D16" s="74">
        <v>82423.293593189956</v>
      </c>
      <c r="E16" s="75">
        <v>0.72171879537252681</v>
      </c>
      <c r="F16" s="76">
        <v>193.75345533880389</v>
      </c>
      <c r="G16" s="76">
        <v>139.8355103863862</v>
      </c>
      <c r="H16" s="77">
        <v>5828976245.9411163</v>
      </c>
      <c r="J16" s="8">
        <v>2024</v>
      </c>
      <c r="K16" s="9">
        <v>114204.16666666667</v>
      </c>
      <c r="L16" s="9">
        <v>82423.293593189956</v>
      </c>
      <c r="M16" s="20">
        <v>0.72171879537252681</v>
      </c>
      <c r="N16" s="11">
        <v>193.75345533880389</v>
      </c>
      <c r="O16" s="11">
        <v>139.8355103863862</v>
      </c>
      <c r="P16" s="12">
        <v>5828976245.9411163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113298</v>
      </c>
      <c r="D17" s="74">
        <v>81538.616399340477</v>
      </c>
      <c r="E17" s="75">
        <v>0.71968275167558537</v>
      </c>
      <c r="F17" s="76">
        <v>194.6602461548365</v>
      </c>
      <c r="G17" s="76">
        <v>140.09362159455952</v>
      </c>
      <c r="H17" s="77">
        <v>5793399405.8884478</v>
      </c>
      <c r="J17" s="8">
        <v>2025</v>
      </c>
      <c r="K17" s="9">
        <v>113298</v>
      </c>
      <c r="L17" s="9">
        <v>81538.616399340477</v>
      </c>
      <c r="M17" s="20">
        <v>0.71968275167558537</v>
      </c>
      <c r="N17" s="11">
        <v>194.6602461548365</v>
      </c>
      <c r="O17" s="11">
        <v>140.09362159455952</v>
      </c>
      <c r="P17" s="12">
        <v>5793399405.8884478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111935.25</v>
      </c>
      <c r="D18" s="74">
        <v>82127.085185150572</v>
      </c>
      <c r="E18" s="75">
        <v>0.73370171760147562</v>
      </c>
      <c r="F18" s="76">
        <v>203.42618764553649</v>
      </c>
      <c r="G18" s="76">
        <v>149.2541432806502</v>
      </c>
      <c r="H18" s="77">
        <v>6097981942.2042208</v>
      </c>
      <c r="J18" s="8">
        <v>2026</v>
      </c>
      <c r="K18" s="9">
        <v>112561.5</v>
      </c>
      <c r="L18" s="9">
        <v>83006.606134297064</v>
      </c>
      <c r="M18" s="20">
        <v>0.73743336872995713</v>
      </c>
      <c r="N18" s="11">
        <v>201.28390865369184</v>
      </c>
      <c r="O18" s="11">
        <v>148.43347082962492</v>
      </c>
      <c r="P18" s="12">
        <v>6098381356.2779217</v>
      </c>
      <c r="Q18" s="9"/>
      <c r="R18" s="22">
        <v>-626.25</v>
      </c>
      <c r="S18" s="22">
        <v>-879.52094914649206</v>
      </c>
      <c r="T18" s="21">
        <v>-3.7316511284815057E-3</v>
      </c>
      <c r="U18" s="23">
        <v>2.1422789918446483</v>
      </c>
      <c r="V18" s="23">
        <v>0.82067245102527409</v>
      </c>
      <c r="W18" s="24">
        <v>-399414.07370090485</v>
      </c>
    </row>
    <row r="19" spans="2:23" s="5" customFormat="1" outlineLevel="1" x14ac:dyDescent="0.15">
      <c r="B19" s="78">
        <v>2027</v>
      </c>
      <c r="C19" s="74">
        <v>113117.27499999998</v>
      </c>
      <c r="D19" s="74">
        <v>83623.541771609569</v>
      </c>
      <c r="E19" s="75">
        <v>0.73926411126514124</v>
      </c>
      <c r="F19" s="76">
        <v>212.02824415434091</v>
      </c>
      <c r="G19" s="76">
        <v>156.74487147786721</v>
      </c>
      <c r="H19" s="77">
        <v>6471651747.1075687</v>
      </c>
      <c r="J19" s="8">
        <v>2027</v>
      </c>
      <c r="K19" s="9">
        <v>113652.45</v>
      </c>
      <c r="L19" s="9">
        <v>84048.171356732884</v>
      </c>
      <c r="M19" s="20">
        <v>0.73951922159823991</v>
      </c>
      <c r="N19" s="11">
        <v>208.60456917488671</v>
      </c>
      <c r="O19" s="11">
        <v>154.2670886180484</v>
      </c>
      <c r="P19" s="12">
        <v>6399483890.1700354</v>
      </c>
      <c r="Q19" s="9"/>
      <c r="R19" s="22">
        <v>-535.17500000001746</v>
      </c>
      <c r="S19" s="22">
        <v>-424.62958512331534</v>
      </c>
      <c r="T19" s="21">
        <v>-2.551103330986626E-4</v>
      </c>
      <c r="U19" s="23">
        <v>3.423674979454205</v>
      </c>
      <c r="V19" s="23">
        <v>2.4777828598188023</v>
      </c>
      <c r="W19" s="24">
        <v>72167856.937533379</v>
      </c>
    </row>
    <row r="20" spans="2:23" s="5" customFormat="1" outlineLevel="1" x14ac:dyDescent="0.15">
      <c r="B20" s="78">
        <v>2028</v>
      </c>
      <c r="C20" s="74">
        <v>114264.67222222222</v>
      </c>
      <c r="D20" s="74">
        <v>85371.339129121276</v>
      </c>
      <c r="E20" s="75">
        <v>0.7471367787507488</v>
      </c>
      <c r="F20" s="76">
        <v>213.18453689176218</v>
      </c>
      <c r="G20" s="76">
        <v>159.2780081727814</v>
      </c>
      <c r="H20" s="77">
        <v>6642945029.5660229</v>
      </c>
      <c r="J20" s="8">
        <v>2028</v>
      </c>
      <c r="K20" s="9">
        <v>115683.01666666666</v>
      </c>
      <c r="L20" s="9">
        <v>85845.597457413038</v>
      </c>
      <c r="M20" s="20">
        <v>0.74207606207894572</v>
      </c>
      <c r="N20" s="11">
        <v>209.29261106124412</v>
      </c>
      <c r="O20" s="11">
        <v>155.31103663854842</v>
      </c>
      <c r="P20" s="12">
        <v>6557899972.590683</v>
      </c>
      <c r="Q20" s="9"/>
      <c r="R20" s="22">
        <v>-1418.3444444444467</v>
      </c>
      <c r="S20" s="22">
        <v>-474.25832829176215</v>
      </c>
      <c r="T20" s="21">
        <v>5.0607166718030783E-3</v>
      </c>
      <c r="U20" s="23">
        <v>3.891925830518062</v>
      </c>
      <c r="V20" s="23">
        <v>3.9669715342329823</v>
      </c>
      <c r="W20" s="24">
        <v>85045056.97533989</v>
      </c>
    </row>
    <row r="21" spans="2:23" s="5" customFormat="1" outlineLevel="1" x14ac:dyDescent="0.15">
      <c r="B21" s="78">
        <v>2029</v>
      </c>
      <c r="C21" s="74">
        <v>114856.00827943314</v>
      </c>
      <c r="D21" s="74">
        <v>86712.465249416666</v>
      </c>
      <c r="E21" s="75">
        <v>0.75496673224489874</v>
      </c>
      <c r="F21" s="76">
        <v>216.5687438832415</v>
      </c>
      <c r="G21" s="76">
        <v>163.50219687591323</v>
      </c>
      <c r="H21" s="77">
        <v>6854411532.5011702</v>
      </c>
      <c r="J21" s="8">
        <v>2029</v>
      </c>
      <c r="K21" s="9">
        <v>116261.43175000003</v>
      </c>
      <c r="L21" s="9">
        <v>87177.592013529502</v>
      </c>
      <c r="M21" s="20">
        <v>0.74984103241554545</v>
      </c>
      <c r="N21" s="11">
        <v>212.7032554522423</v>
      </c>
      <c r="O21" s="11">
        <v>159.49362866645689</v>
      </c>
      <c r="P21" s="12">
        <v>6768179532.6742706</v>
      </c>
      <c r="Q21" s="9"/>
      <c r="R21" s="22">
        <v>-1405.4234705668932</v>
      </c>
      <c r="S21" s="22">
        <v>-465.1267641128361</v>
      </c>
      <c r="T21" s="21">
        <v>5.1256998293532918E-3</v>
      </c>
      <c r="U21" s="23">
        <v>3.8654884309991928</v>
      </c>
      <c r="V21" s="23">
        <v>4.0085682094563424</v>
      </c>
      <c r="W21" s="24">
        <v>86231999.826899529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7.5595971104047699E-3</v>
      </c>
      <c r="D24" s="75">
        <v>2.2061890189363886E-2</v>
      </c>
      <c r="E24" s="75">
        <v>1.4393484137862123E-2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2.1643833527118517E-3</v>
      </c>
      <c r="D25" s="75">
        <v>1.4254253676803552E-2</v>
      </c>
      <c r="E25" s="75">
        <v>1.2063759723375256E-2</v>
      </c>
      <c r="F25" s="75">
        <v>7.4687141214887065E-2</v>
      </c>
      <c r="G25" s="75">
        <v>8.7651908664304834E-2</v>
      </c>
      <c r="H25" s="75">
        <v>9.0006004348962998E-2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3.0026297485945541E-3</v>
      </c>
      <c r="D26" s="75">
        <v>2.2912468283294629E-2</v>
      </c>
      <c r="E26" s="75">
        <v>1.9850235626690749E-2</v>
      </c>
      <c r="F26" s="75">
        <v>8.7555569855893856E-2</v>
      </c>
      <c r="G26" s="75">
        <v>0.10914380417465308</v>
      </c>
      <c r="H26" s="75">
        <v>0.11247415235653713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2.579861547288842E-2</v>
      </c>
      <c r="D27" s="75">
        <v>1.2231644436384359E-2</v>
      </c>
      <c r="E27" s="75">
        <v>-1.3225764620719227E-2</v>
      </c>
      <c r="F27" s="75">
        <v>2.2362046058884033E-2</v>
      </c>
      <c r="G27" s="75">
        <v>8.8405262805522078E-3</v>
      </c>
      <c r="H27" s="75">
        <v>3.4867215091530568E-2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2.983304911055229E-2</v>
      </c>
      <c r="D28" s="75">
        <v>2.4112135867443873E-2</v>
      </c>
      <c r="E28" s="75">
        <v>-5.5551851322398482E-3</v>
      </c>
      <c r="F28" s="75">
        <v>2.4480321011371764E-2</v>
      </c>
      <c r="G28" s="75">
        <v>1.8789143163816968E-2</v>
      </c>
      <c r="H28" s="75">
        <v>4.9182729705120609E-2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6.1701860978584655E-2</v>
      </c>
      <c r="D29" s="75">
        <v>5.4841205201465959E-2</v>
      </c>
      <c r="E29" s="75">
        <v>-6.4619419342404338E-3</v>
      </c>
      <c r="F29" s="75">
        <v>-1.6909758621470705E-2</v>
      </c>
      <c r="G29" s="75">
        <v>-2.3262430677377322E-2</v>
      </c>
      <c r="H29" s="75">
        <v>3.7004095037527884E-2</v>
      </c>
      <c r="J29" s="8">
        <v>2019</v>
      </c>
      <c r="K29" s="10">
        <v>6.1701860978584655E-2</v>
      </c>
      <c r="L29" s="10">
        <v>5.4841205201465959E-2</v>
      </c>
      <c r="M29" s="10">
        <v>-6.4619419342404338E-3</v>
      </c>
      <c r="N29" s="10">
        <v>-1.6909758621470705E-2</v>
      </c>
      <c r="O29" s="10">
        <v>-2.3262430677377322E-2</v>
      </c>
      <c r="P29" s="10">
        <v>3.7004095037527884E-2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-5.7347876395574704E-2</v>
      </c>
      <c r="D30" s="75">
        <v>-0.41203095981321136</v>
      </c>
      <c r="E30" s="75">
        <v>-0.37626084377917979</v>
      </c>
      <c r="F30" s="75">
        <v>-0.22297622141280449</v>
      </c>
      <c r="G30" s="75">
        <v>-0.51533984398050925</v>
      </c>
      <c r="H30" s="75">
        <v>-0.54313407470177488</v>
      </c>
      <c r="J30" s="8">
        <v>2020</v>
      </c>
      <c r="K30" s="10">
        <v>-5.7347876395574704E-2</v>
      </c>
      <c r="L30" s="10">
        <v>-0.41203095981321136</v>
      </c>
      <c r="M30" s="10">
        <v>-0.37626084377917979</v>
      </c>
      <c r="N30" s="10">
        <v>-0.22297622141280449</v>
      </c>
      <c r="O30" s="10">
        <v>-0.51533984398050925</v>
      </c>
      <c r="P30" s="10">
        <v>-0.54313407470177488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4.1774878394770676E-2</v>
      </c>
      <c r="D31" s="75">
        <v>0.34537567817007875</v>
      </c>
      <c r="E31" s="75">
        <v>0.29142649345040272</v>
      </c>
      <c r="F31" s="75">
        <v>0.17126384463519329</v>
      </c>
      <c r="G31" s="75">
        <v>0.51260115978246512</v>
      </c>
      <c r="H31" s="75">
        <v>0.5757898892921669</v>
      </c>
      <c r="J31" s="8">
        <v>2021</v>
      </c>
      <c r="K31" s="10">
        <v>4.1774878394770676E-2</v>
      </c>
      <c r="L31" s="10">
        <v>0.34537567817007875</v>
      </c>
      <c r="M31" s="10">
        <v>0.29142649345040272</v>
      </c>
      <c r="N31" s="10">
        <v>0.17126384463519329</v>
      </c>
      <c r="O31" s="10">
        <v>0.51260115978246512</v>
      </c>
      <c r="P31" s="10">
        <v>0.5757898892921669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4.3808687141905001E-2</v>
      </c>
      <c r="D32" s="75">
        <v>0.15528620196155463</v>
      </c>
      <c r="E32" s="75">
        <v>0.10679879961996774</v>
      </c>
      <c r="F32" s="75">
        <v>0.22336679117815117</v>
      </c>
      <c r="G32" s="75">
        <v>0.35402089597090947</v>
      </c>
      <c r="H32" s="75">
        <v>0.41333877378610073</v>
      </c>
      <c r="J32" s="8">
        <v>2022</v>
      </c>
      <c r="K32" s="10">
        <v>4.3808687141905001E-2</v>
      </c>
      <c r="L32" s="10">
        <v>0.15528620196155463</v>
      </c>
      <c r="M32" s="10">
        <v>0.10679879961996774</v>
      </c>
      <c r="N32" s="10">
        <v>0.22336679117815117</v>
      </c>
      <c r="O32" s="10">
        <v>0.35402089597090947</v>
      </c>
      <c r="P32" s="10">
        <v>0.41333877378610073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1.3002663924168045E-2</v>
      </c>
      <c r="D33" s="75">
        <v>2.8558603596324783E-2</v>
      </c>
      <c r="E33" s="75">
        <v>1.5356267289462044E-2</v>
      </c>
      <c r="F33" s="75">
        <v>3.1549673702711223E-2</v>
      </c>
      <c r="G33" s="75">
        <v>4.7390426214447334E-2</v>
      </c>
      <c r="H33" s="75">
        <v>6.100929192390514E-2</v>
      </c>
      <c r="J33" s="8">
        <v>2023</v>
      </c>
      <c r="K33" s="10">
        <v>1.3002663924168045E-2</v>
      </c>
      <c r="L33" s="10">
        <v>2.8558603596324783E-2</v>
      </c>
      <c r="M33" s="10">
        <v>1.5356267289462044E-2</v>
      </c>
      <c r="N33" s="10">
        <v>3.1549673702711223E-2</v>
      </c>
      <c r="O33" s="10">
        <v>4.7390426214447334E-2</v>
      </c>
      <c r="P33" s="10">
        <v>6.100929192390514E-2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-1.2216734963853559E-3</v>
      </c>
      <c r="D34" s="75">
        <v>5.4931345650970353E-3</v>
      </c>
      <c r="E34" s="75">
        <v>6.7230213985405296E-3</v>
      </c>
      <c r="F34" s="75">
        <v>-4.7985539078073236E-2</v>
      </c>
      <c r="G34" s="75">
        <v>-4.1585125485575136E-2</v>
      </c>
      <c r="H34" s="75">
        <v>-4.2755995536310931E-2</v>
      </c>
      <c r="J34" s="8">
        <v>2024</v>
      </c>
      <c r="K34" s="10">
        <v>-1.2216734963853559E-3</v>
      </c>
      <c r="L34" s="10">
        <v>5.4931345650970353E-3</v>
      </c>
      <c r="M34" s="10">
        <v>6.7230213985405296E-3</v>
      </c>
      <c r="N34" s="10">
        <v>-4.7985539078073236E-2</v>
      </c>
      <c r="O34" s="10">
        <v>-4.1585125485575136E-2</v>
      </c>
      <c r="P34" s="10">
        <v>-4.2755995536310931E-2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-7.9346200153235236E-3</v>
      </c>
      <c r="D35" s="75">
        <v>-1.0733339512200346E-2</v>
      </c>
      <c r="E35" s="75">
        <v>-2.8211038842219649E-3</v>
      </c>
      <c r="F35" s="75">
        <v>4.680127197974171E-3</v>
      </c>
      <c r="G35" s="75">
        <v>1.8458201887354697E-3</v>
      </c>
      <c r="H35" s="75">
        <v>-6.1034457084023774E-3</v>
      </c>
      <c r="J35" s="8">
        <v>2025</v>
      </c>
      <c r="K35" s="10">
        <v>-7.9346200153235236E-3</v>
      </c>
      <c r="L35" s="10">
        <v>-1.0733339512200346E-2</v>
      </c>
      <c r="M35" s="10">
        <v>-2.8211038842219649E-3</v>
      </c>
      <c r="N35" s="10">
        <v>4.680127197974171E-3</v>
      </c>
      <c r="O35" s="10">
        <v>1.8458201887354697E-3</v>
      </c>
      <c r="P35" s="10">
        <v>-6.1034457084023774E-3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-1.2028014616321525E-2</v>
      </c>
      <c r="D36" s="75">
        <v>7.2170563077502692E-3</v>
      </c>
      <c r="E36" s="75">
        <v>1.947936905984049E-2</v>
      </c>
      <c r="F36" s="75">
        <v>4.503200660563933E-2</v>
      </c>
      <c r="G36" s="75">
        <v>6.538857074165616E-2</v>
      </c>
      <c r="H36" s="75">
        <v>5.2574061440713526E-2</v>
      </c>
      <c r="J36" s="8">
        <v>2026</v>
      </c>
      <c r="K36" s="10">
        <v>-6.5005560557115372E-3</v>
      </c>
      <c r="L36" s="10">
        <v>1.8003613499731452E-2</v>
      </c>
      <c r="M36" s="10">
        <v>2.466450253676955E-2</v>
      </c>
      <c r="N36" s="10">
        <v>3.4026785795733261E-2</v>
      </c>
      <c r="O36" s="10">
        <v>5.9530542077079751E-2</v>
      </c>
      <c r="P36" s="10">
        <v>5.2643004395569237E-2</v>
      </c>
      <c r="Q36" s="10"/>
      <c r="R36" s="19">
        <v>-5.527458560609988E-3</v>
      </c>
      <c r="S36" s="19">
        <v>-1.0786557191981183E-2</v>
      </c>
      <c r="T36" s="19">
        <v>-5.1851334769290602E-3</v>
      </c>
      <c r="U36" s="19">
        <v>1.1005220809906069E-2</v>
      </c>
      <c r="V36" s="19">
        <v>5.858028664576409E-3</v>
      </c>
      <c r="W36" s="19">
        <v>-6.8942954855710781E-5</v>
      </c>
    </row>
    <row r="37" spans="2:23" s="5" customFormat="1" outlineLevel="1" x14ac:dyDescent="0.15">
      <c r="B37" s="78">
        <v>2027</v>
      </c>
      <c r="C37" s="75">
        <v>1.0559899584804411E-2</v>
      </c>
      <c r="D37" s="75">
        <v>1.8221230950609346E-2</v>
      </c>
      <c r="E37" s="75">
        <v>7.5812738749603259E-3</v>
      </c>
      <c r="F37" s="75">
        <v>4.2285885649065102E-2</v>
      </c>
      <c r="G37" s="75">
        <v>5.0187740404176395E-2</v>
      </c>
      <c r="H37" s="75">
        <v>6.1277617488037173E-2</v>
      </c>
      <c r="J37" s="8">
        <v>2027</v>
      </c>
      <c r="K37" s="10">
        <v>9.6920350208551387E-3</v>
      </c>
      <c r="L37" s="10">
        <v>1.2547979865008108E-2</v>
      </c>
      <c r="M37" s="10">
        <v>2.8285306262654242E-3</v>
      </c>
      <c r="N37" s="10">
        <v>3.6369824941098639E-2</v>
      </c>
      <c r="O37" s="10">
        <v>3.9301228731082105E-2</v>
      </c>
      <c r="P37" s="10">
        <v>4.9374172637161484E-2</v>
      </c>
      <c r="Q37" s="10"/>
      <c r="R37" s="19">
        <v>8.6786456394927214E-4</v>
      </c>
      <c r="S37" s="19">
        <v>5.6732510856012386E-3</v>
      </c>
      <c r="T37" s="19">
        <v>4.7527432486949017E-3</v>
      </c>
      <c r="U37" s="19">
        <v>5.916060707966464E-3</v>
      </c>
      <c r="V37" s="19">
        <v>1.088651167309429E-2</v>
      </c>
      <c r="W37" s="19">
        <v>1.1903444850875688E-2</v>
      </c>
    </row>
    <row r="38" spans="2:23" s="5" customFormat="1" outlineLevel="1" x14ac:dyDescent="0.15">
      <c r="B38" s="78">
        <v>2028</v>
      </c>
      <c r="C38" s="75">
        <v>1.0143430543409382E-2</v>
      </c>
      <c r="D38" s="75">
        <v>2.090078129296713E-2</v>
      </c>
      <c r="E38" s="75">
        <v>1.0649330010264801E-2</v>
      </c>
      <c r="F38" s="75">
        <v>5.4534844734155374E-3</v>
      </c>
      <c r="G38" s="75">
        <v>1.6160890439543829E-2</v>
      </c>
      <c r="H38" s="75">
        <v>2.6468247852646121E-2</v>
      </c>
      <c r="J38" s="8">
        <v>2028</v>
      </c>
      <c r="K38" s="10">
        <v>1.7866457490944176E-2</v>
      </c>
      <c r="L38" s="10">
        <v>2.1385665763639095E-2</v>
      </c>
      <c r="M38" s="10">
        <v>3.4574361369268392E-3</v>
      </c>
      <c r="N38" s="10">
        <v>3.2983068831085038E-3</v>
      </c>
      <c r="O38" s="10">
        <v>6.7671467054437606E-3</v>
      </c>
      <c r="P38" s="10">
        <v>2.4754509135335612E-2</v>
      </c>
      <c r="Q38" s="10"/>
      <c r="R38" s="19">
        <v>-7.7230269475347946E-3</v>
      </c>
      <c r="S38" s="19">
        <v>-4.8488447067196461E-4</v>
      </c>
      <c r="T38" s="19">
        <v>7.1918938733379623E-3</v>
      </c>
      <c r="U38" s="19">
        <v>2.1551775903070336E-3</v>
      </c>
      <c r="V38" s="19">
        <v>9.3937437341000685E-3</v>
      </c>
      <c r="W38" s="19">
        <v>1.713738717310509E-3</v>
      </c>
    </row>
    <row r="39" spans="2:23" s="5" customFormat="1" outlineLevel="1" x14ac:dyDescent="0.15">
      <c r="B39" s="78">
        <v>2029</v>
      </c>
      <c r="C39" s="75">
        <v>5.1751433379241263E-3</v>
      </c>
      <c r="D39" s="75">
        <v>1.5709325096411764E-2</v>
      </c>
      <c r="E39" s="75">
        <v>1.0479946533005657E-2</v>
      </c>
      <c r="F39" s="75">
        <v>1.5874542501164379E-2</v>
      </c>
      <c r="G39" s="75">
        <v>2.6520853390817889E-2</v>
      </c>
      <c r="H39" s="75">
        <v>3.1833245946483846E-2</v>
      </c>
      <c r="J39" s="8">
        <v>2029</v>
      </c>
      <c r="K39" s="10">
        <v>5.0000000000003375E-3</v>
      </c>
      <c r="L39" s="10">
        <v>1.5516166181699154E-2</v>
      </c>
      <c r="M39" s="10">
        <v>1.0463846946963784E-2</v>
      </c>
      <c r="N39" s="10">
        <v>1.6296057341461223E-2</v>
      </c>
      <c r="O39" s="10">
        <v>2.6930423738285247E-2</v>
      </c>
      <c r="P39" s="10">
        <v>3.2065075856976932E-2</v>
      </c>
      <c r="Q39" s="10"/>
      <c r="R39" s="19">
        <v>1.7514333792378878E-4</v>
      </c>
      <c r="S39" s="19">
        <v>1.9315891471261004E-4</v>
      </c>
      <c r="T39" s="19">
        <v>1.6099586041873337E-5</v>
      </c>
      <c r="U39" s="19">
        <v>-4.2151484029684383E-4</v>
      </c>
      <c r="V39" s="19">
        <v>-4.0957034746735843E-4</v>
      </c>
      <c r="W39" s="19">
        <v>-2.3182991049308654E-4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A388-20CA-47E3-A186-1E1BC4109810}">
  <sheetPr>
    <tabColor theme="7" tint="0.79998168889431442"/>
  </sheetPr>
  <dimension ref="B1:W54"/>
  <sheetViews>
    <sheetView zoomScale="150" zoomScaleNormal="150" workbookViewId="0">
      <selection activeCell="R65" sqref="R65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36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14698.330172041477</v>
      </c>
      <c r="D5" s="74">
        <v>8430.7749505138509</v>
      </c>
      <c r="E5" s="75">
        <v>0.57358726139861138</v>
      </c>
      <c r="F5" s="76">
        <v>0</v>
      </c>
      <c r="G5" s="76">
        <v>0</v>
      </c>
      <c r="H5" s="77">
        <v>0</v>
      </c>
      <c r="J5" s="4"/>
      <c r="K5" s="9">
        <v>14698.330172041477</v>
      </c>
      <c r="L5" s="9">
        <v>8430.7749505138509</v>
      </c>
      <c r="M5" s="20">
        <v>0.57358726139861138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14871.356347165916</v>
      </c>
      <c r="D6" s="74">
        <v>8977.5514168873451</v>
      </c>
      <c r="E6" s="75">
        <v>0.60368074083560153</v>
      </c>
      <c r="F6" s="76">
        <v>93.815199072455073</v>
      </c>
      <c r="G6" s="76">
        <v>56.634428877699115</v>
      </c>
      <c r="H6" s="77">
        <v>307414232.27584791</v>
      </c>
      <c r="J6" s="4"/>
      <c r="K6" s="9">
        <v>14871.356347165916</v>
      </c>
      <c r="L6" s="9">
        <v>8977.5514168873451</v>
      </c>
      <c r="M6" s="20">
        <v>0.60368074083560153</v>
      </c>
      <c r="N6" s="11">
        <v>93.815199072455073</v>
      </c>
      <c r="O6" s="11">
        <v>56.634428877699115</v>
      </c>
      <c r="P6" s="12">
        <v>307414232.27584791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14990.030974996502</v>
      </c>
      <c r="D7" s="74">
        <v>9578.0864476766219</v>
      </c>
      <c r="E7" s="75">
        <v>0.63896375288703211</v>
      </c>
      <c r="F7" s="76">
        <v>99.0666748601042</v>
      </c>
      <c r="G7" s="76">
        <v>63.300014354651587</v>
      </c>
      <c r="H7" s="77">
        <v>346337249.20129192</v>
      </c>
      <c r="J7" s="4"/>
      <c r="K7" s="9">
        <v>14990.030974996502</v>
      </c>
      <c r="L7" s="9">
        <v>9578.0864476766219</v>
      </c>
      <c r="M7" s="20">
        <v>0.63896375288703211</v>
      </c>
      <c r="N7" s="11">
        <v>99.0666748601042</v>
      </c>
      <c r="O7" s="11">
        <v>63.300014354651587</v>
      </c>
      <c r="P7" s="12">
        <v>346337249.20129192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15231.713123341238</v>
      </c>
      <c r="D8" s="74">
        <v>9910.7698152621069</v>
      </c>
      <c r="E8" s="75">
        <v>0.65066678547633217</v>
      </c>
      <c r="F8" s="76">
        <v>105.46838684895039</v>
      </c>
      <c r="G8" s="76">
        <v>68.624776240380825</v>
      </c>
      <c r="H8" s="77">
        <v>381524610.26914203</v>
      </c>
      <c r="J8" s="4"/>
      <c r="K8" s="9">
        <v>15231.713123341238</v>
      </c>
      <c r="L8" s="9">
        <v>9910.7698152621069</v>
      </c>
      <c r="M8" s="20">
        <v>0.65066678547633217</v>
      </c>
      <c r="N8" s="11">
        <v>105.46838684895039</v>
      </c>
      <c r="O8" s="11">
        <v>68.624776240380825</v>
      </c>
      <c r="P8" s="12">
        <v>381524610.26914203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15079.575080318478</v>
      </c>
      <c r="D9" s="74">
        <v>10042.28629200962</v>
      </c>
      <c r="E9" s="75">
        <v>0.66595286926331132</v>
      </c>
      <c r="F9" s="76">
        <v>109.1747272731667</v>
      </c>
      <c r="G9" s="76">
        <v>72.705222878604857</v>
      </c>
      <c r="H9" s="77">
        <v>400172811.50216186</v>
      </c>
      <c r="J9" s="4"/>
      <c r="K9" s="9">
        <v>15079.575080318478</v>
      </c>
      <c r="L9" s="9">
        <v>10042.28629200962</v>
      </c>
      <c r="M9" s="20">
        <v>0.66595286926331132</v>
      </c>
      <c r="N9" s="11">
        <v>109.1747272731667</v>
      </c>
      <c r="O9" s="11">
        <v>72.705222878604857</v>
      </c>
      <c r="P9" s="12">
        <v>400172811.50216186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14382.898111933699</v>
      </c>
      <c r="D10" s="74">
        <v>9436.6527583172738</v>
      </c>
      <c r="E10" s="75">
        <v>0.65610231574174516</v>
      </c>
      <c r="F10" s="76">
        <v>110.13539773041641</v>
      </c>
      <c r="G10" s="76">
        <v>72.260089496064353</v>
      </c>
      <c r="H10" s="77">
        <v>379347969.245103</v>
      </c>
      <c r="J10" s="4"/>
      <c r="K10" s="9">
        <v>14382.898111933699</v>
      </c>
      <c r="L10" s="9">
        <v>9436.6527583172738</v>
      </c>
      <c r="M10" s="20">
        <v>0.65610231574174516</v>
      </c>
      <c r="N10" s="11">
        <v>110.13539773041641</v>
      </c>
      <c r="O10" s="11">
        <v>72.260089496064353</v>
      </c>
      <c r="P10" s="12">
        <v>379347969.245103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8374.9166666666661</v>
      </c>
      <c r="D11" s="74">
        <v>5500.7114684166672</v>
      </c>
      <c r="E11" s="75">
        <v>0.65680790476522166</v>
      </c>
      <c r="F11" s="76">
        <v>134.23242666481724</v>
      </c>
      <c r="G11" s="76">
        <v>88.164918909269886</v>
      </c>
      <c r="H11" s="77">
        <v>269506454.80782419</v>
      </c>
      <c r="J11" s="8">
        <v>2019</v>
      </c>
      <c r="K11" s="9">
        <v>8374.9166666666661</v>
      </c>
      <c r="L11" s="9">
        <v>5500.7114684166672</v>
      </c>
      <c r="M11" s="20">
        <v>0.65680790476522166</v>
      </c>
      <c r="N11" s="11">
        <v>134.23242666481724</v>
      </c>
      <c r="O11" s="11">
        <v>88.164918909269886</v>
      </c>
      <c r="P11" s="12">
        <v>269506454.80782419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8110.833333333333</v>
      </c>
      <c r="D12" s="74">
        <v>4604.5584790000003</v>
      </c>
      <c r="E12" s="75">
        <v>0.56770473387444775</v>
      </c>
      <c r="F12" s="76">
        <v>119.15368925201368</v>
      </c>
      <c r="G12" s="76">
        <v>67.64411344697308</v>
      </c>
      <c r="H12" s="77">
        <v>200257297.50456414</v>
      </c>
      <c r="J12" s="8">
        <v>2020</v>
      </c>
      <c r="K12" s="9">
        <v>8110.833333333333</v>
      </c>
      <c r="L12" s="9">
        <v>4604.5584790000003</v>
      </c>
      <c r="M12" s="20">
        <v>0.56770473387444775</v>
      </c>
      <c r="N12" s="11">
        <v>119.15368925201368</v>
      </c>
      <c r="O12" s="11">
        <v>67.64411344697308</v>
      </c>
      <c r="P12" s="12">
        <v>200257297.50456414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8310</v>
      </c>
      <c r="D13" s="74">
        <v>5625.4588345304628</v>
      </c>
      <c r="E13" s="75">
        <v>0.67695052160414715</v>
      </c>
      <c r="F13" s="76">
        <v>152.93501665010041</v>
      </c>
      <c r="G13" s="76">
        <v>103.52943929282441</v>
      </c>
      <c r="H13" s="77">
        <v>314020318.79103035</v>
      </c>
      <c r="J13" s="8">
        <v>2021</v>
      </c>
      <c r="K13" s="9">
        <v>8310</v>
      </c>
      <c r="L13" s="9">
        <v>5625.4588345304628</v>
      </c>
      <c r="M13" s="20">
        <v>0.67695052160414715</v>
      </c>
      <c r="N13" s="11">
        <v>152.93501665010041</v>
      </c>
      <c r="O13" s="11">
        <v>103.52943929282441</v>
      </c>
      <c r="P13" s="12">
        <v>314020318.79103035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8547.8333333333339</v>
      </c>
      <c r="D14" s="74">
        <v>5108.5746223758279</v>
      </c>
      <c r="E14" s="75">
        <v>0.59764555802162278</v>
      </c>
      <c r="F14" s="76">
        <v>175.4746696425612</v>
      </c>
      <c r="G14" s="76">
        <v>104.87165685718838</v>
      </c>
      <c r="H14" s="77">
        <v>327195287.13510609</v>
      </c>
      <c r="J14" s="8">
        <v>2022</v>
      </c>
      <c r="K14" s="9">
        <v>8547.8333333333339</v>
      </c>
      <c r="L14" s="9">
        <v>5108.5746223758279</v>
      </c>
      <c r="M14" s="20">
        <v>0.59764555802162278</v>
      </c>
      <c r="N14" s="11">
        <v>175.4746696425612</v>
      </c>
      <c r="O14" s="11">
        <v>104.87165685718838</v>
      </c>
      <c r="P14" s="12">
        <v>327195287.13510609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8587.2768817204305</v>
      </c>
      <c r="D15" s="74">
        <v>4668.8343001903431</v>
      </c>
      <c r="E15" s="75">
        <v>0.54369206495819411</v>
      </c>
      <c r="F15" s="76">
        <v>175.06057982830063</v>
      </c>
      <c r="G15" s="76">
        <v>95.179048139627554</v>
      </c>
      <c r="H15" s="77">
        <v>298325026.49545658</v>
      </c>
      <c r="J15" s="8">
        <v>2023</v>
      </c>
      <c r="K15" s="9">
        <v>8587.2768817204305</v>
      </c>
      <c r="L15" s="9">
        <v>4668.8343001903431</v>
      </c>
      <c r="M15" s="20">
        <v>0.54369206495819411</v>
      </c>
      <c r="N15" s="11">
        <v>175.06057982830063</v>
      </c>
      <c r="O15" s="11">
        <v>95.179048139627554</v>
      </c>
      <c r="P15" s="12">
        <v>298325026.49545658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8679.75</v>
      </c>
      <c r="D16" s="74">
        <v>4781.5461853558618</v>
      </c>
      <c r="E16" s="75">
        <v>0.55088524270351813</v>
      </c>
      <c r="F16" s="76">
        <v>167.46624506038538</v>
      </c>
      <c r="G16" s="76">
        <v>92.254683054737242</v>
      </c>
      <c r="H16" s="77">
        <v>292272868.6141898</v>
      </c>
      <c r="J16" s="8">
        <v>2024</v>
      </c>
      <c r="K16" s="9">
        <v>8679.75</v>
      </c>
      <c r="L16" s="9">
        <v>4781.5461853558618</v>
      </c>
      <c r="M16" s="20">
        <v>0.55088524270351813</v>
      </c>
      <c r="N16" s="11">
        <v>167.46624506038538</v>
      </c>
      <c r="O16" s="11">
        <v>92.254683054737242</v>
      </c>
      <c r="P16" s="12">
        <v>292272868.6141898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8685.5833333333339</v>
      </c>
      <c r="D17" s="74">
        <v>4735.5693836415794</v>
      </c>
      <c r="E17" s="75">
        <v>0.54522180052864377</v>
      </c>
      <c r="F17" s="76">
        <v>170.77500175987367</v>
      </c>
      <c r="G17" s="76">
        <v>93.110253944800604</v>
      </c>
      <c r="H17" s="77">
        <v>295181657.486269</v>
      </c>
      <c r="J17" s="8">
        <v>2025</v>
      </c>
      <c r="K17" s="9">
        <v>8685.5833333333339</v>
      </c>
      <c r="L17" s="9">
        <v>4735.5693836415794</v>
      </c>
      <c r="M17" s="20">
        <v>0.54522180052864377</v>
      </c>
      <c r="N17" s="11">
        <v>170.77500175987367</v>
      </c>
      <c r="O17" s="11">
        <v>93.110253944800604</v>
      </c>
      <c r="P17" s="12">
        <v>295181657.486269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8571.75</v>
      </c>
      <c r="D18" s="74">
        <v>4929.7742018992831</v>
      </c>
      <c r="E18" s="75">
        <v>0.57511875660154377</v>
      </c>
      <c r="F18" s="76">
        <v>173.8572722196447</v>
      </c>
      <c r="G18" s="76">
        <v>99.98857822509818</v>
      </c>
      <c r="H18" s="77">
        <v>312833139.82135963</v>
      </c>
      <c r="J18" s="8">
        <v>2026</v>
      </c>
      <c r="K18" s="9">
        <v>8517.0833333333339</v>
      </c>
      <c r="L18" s="9">
        <v>4870.7897620897693</v>
      </c>
      <c r="M18" s="20">
        <v>0.57188471351770687</v>
      </c>
      <c r="N18" s="11">
        <v>171.7833735113029</v>
      </c>
      <c r="O18" s="11">
        <v>98.240285347616677</v>
      </c>
      <c r="P18" s="12">
        <v>305403054.40357542</v>
      </c>
      <c r="Q18" s="9"/>
      <c r="R18" s="22">
        <v>54.66666666666606</v>
      </c>
      <c r="S18" s="22">
        <v>58.984439809513788</v>
      </c>
      <c r="T18" s="21">
        <v>3.2340430838369016E-3</v>
      </c>
      <c r="U18" s="23">
        <v>2.073898708341801</v>
      </c>
      <c r="V18" s="23">
        <v>1.7482928774815036</v>
      </c>
      <c r="W18" s="24">
        <v>7430085.417784214</v>
      </c>
    </row>
    <row r="19" spans="2:23" s="5" customFormat="1" outlineLevel="1" x14ac:dyDescent="0.15">
      <c r="B19" s="78">
        <v>2027</v>
      </c>
      <c r="C19" s="74">
        <v>8615</v>
      </c>
      <c r="D19" s="74">
        <v>4990.4154377958257</v>
      </c>
      <c r="E19" s="75">
        <v>0.57927050932046731</v>
      </c>
      <c r="F19" s="76">
        <v>175.96195269580394</v>
      </c>
      <c r="G19" s="76">
        <v>101.92956995912232</v>
      </c>
      <c r="H19" s="77">
        <v>320514984.49721116</v>
      </c>
      <c r="J19" s="8">
        <v>2027</v>
      </c>
      <c r="K19" s="9">
        <v>8560.5</v>
      </c>
      <c r="L19" s="9">
        <v>4940.2591993409505</v>
      </c>
      <c r="M19" s="20">
        <v>0.57709937495951757</v>
      </c>
      <c r="N19" s="11">
        <v>173.6575084005313</v>
      </c>
      <c r="O19" s="11">
        <v>100.2176395549738</v>
      </c>
      <c r="P19" s="12">
        <v>313138282.74477893</v>
      </c>
      <c r="Q19" s="9"/>
      <c r="R19" s="22">
        <v>54.5</v>
      </c>
      <c r="S19" s="22">
        <v>50.156238454875165</v>
      </c>
      <c r="T19" s="21">
        <v>2.1711343609497336E-3</v>
      </c>
      <c r="U19" s="23">
        <v>2.3044442952726456</v>
      </c>
      <c r="V19" s="23">
        <v>1.7119304041485179</v>
      </c>
      <c r="W19" s="24">
        <v>7376701.7524322271</v>
      </c>
    </row>
    <row r="20" spans="2:23" s="5" customFormat="1" outlineLevel="1" x14ac:dyDescent="0.15">
      <c r="B20" s="78">
        <v>2028</v>
      </c>
      <c r="C20" s="74">
        <v>8630</v>
      </c>
      <c r="D20" s="74">
        <v>5069.3232534477265</v>
      </c>
      <c r="E20" s="75">
        <v>0.58740709773438315</v>
      </c>
      <c r="F20" s="76">
        <v>178.81475067614011</v>
      </c>
      <c r="G20" s="76">
        <v>105.0370537267688</v>
      </c>
      <c r="H20" s="77">
        <v>330861467.38663536</v>
      </c>
      <c r="J20" s="8">
        <v>2028</v>
      </c>
      <c r="K20" s="9">
        <v>8605.5</v>
      </c>
      <c r="L20" s="9">
        <v>5016.9844436979438</v>
      </c>
      <c r="M20" s="20">
        <v>0.58299743695287243</v>
      </c>
      <c r="N20" s="11">
        <v>176.54407436541482</v>
      </c>
      <c r="O20" s="11">
        <v>102.92474286425413</v>
      </c>
      <c r="P20" s="12">
        <v>323287389.27219373</v>
      </c>
      <c r="Q20" s="9"/>
      <c r="R20" s="22">
        <v>24.5</v>
      </c>
      <c r="S20" s="22">
        <v>52.33880974978274</v>
      </c>
      <c r="T20" s="21">
        <v>4.4096607815107269E-3</v>
      </c>
      <c r="U20" s="23">
        <v>2.2706763107252925</v>
      </c>
      <c r="V20" s="23">
        <v>2.1123108625146756</v>
      </c>
      <c r="W20" s="24">
        <v>7574078.1144416332</v>
      </c>
    </row>
    <row r="21" spans="2:23" s="5" customFormat="1" outlineLevel="1" x14ac:dyDescent="0.15">
      <c r="B21" s="78">
        <v>2029</v>
      </c>
      <c r="C21" s="74">
        <v>8676.1112267794379</v>
      </c>
      <c r="D21" s="74">
        <v>5139.2409599119028</v>
      </c>
      <c r="E21" s="75">
        <v>0.59234383073020869</v>
      </c>
      <c r="F21" s="76">
        <v>181.29822990334878</v>
      </c>
      <c r="G21" s="76">
        <v>107.39088800555569</v>
      </c>
      <c r="H21" s="77">
        <v>340083380.51376748</v>
      </c>
      <c r="J21" s="8">
        <v>2029</v>
      </c>
      <c r="K21" s="9">
        <v>8651.4803200521965</v>
      </c>
      <c r="L21" s="9">
        <v>5093.6287435979475</v>
      </c>
      <c r="M21" s="20">
        <v>0.58875805702199369</v>
      </c>
      <c r="N21" s="11">
        <v>179.15322216166641</v>
      </c>
      <c r="O21" s="11">
        <v>105.4779029891323</v>
      </c>
      <c r="P21" s="12">
        <v>333077100.69746131</v>
      </c>
      <c r="Q21" s="9"/>
      <c r="R21" s="22">
        <v>24.630906727241381</v>
      </c>
      <c r="S21" s="22">
        <v>45.612216313955287</v>
      </c>
      <c r="T21" s="21">
        <v>3.585773708215001E-3</v>
      </c>
      <c r="U21" s="23">
        <v>2.1450077416823774</v>
      </c>
      <c r="V21" s="23">
        <v>1.9129850164233915</v>
      </c>
      <c r="W21" s="24">
        <v>7006279.8163061738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1.177182530935128E-2</v>
      </c>
      <c r="D24" s="75">
        <v>6.4854828836365508E-2</v>
      </c>
      <c r="E24" s="75">
        <v>5.2465390119737831E-2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7.9800809731254141E-3</v>
      </c>
      <c r="D25" s="75">
        <v>6.689296478543505E-2</v>
      </c>
      <c r="E25" s="75">
        <v>5.8446476199642605E-2</v>
      </c>
      <c r="F25" s="75">
        <v>5.5976812281699928E-2</v>
      </c>
      <c r="G25" s="75">
        <v>0.11769493590809699</v>
      </c>
      <c r="H25" s="75">
        <v>0.12661423199989552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1.6122858501617765E-2</v>
      </c>
      <c r="D26" s="75">
        <v>3.4733802978588191E-2</v>
      </c>
      <c r="E26" s="75">
        <v>1.8315643941338111E-2</v>
      </c>
      <c r="F26" s="75">
        <v>6.4620236804013853E-2</v>
      </c>
      <c r="G26" s="75">
        <v>8.4119441994059407E-2</v>
      </c>
      <c r="H26" s="75">
        <v>0.10159854635618237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-9.9882424117889723E-3</v>
      </c>
      <c r="D27" s="75">
        <v>1.3270056635255933E-2</v>
      </c>
      <c r="E27" s="75">
        <v>2.3492952350085972E-2</v>
      </c>
      <c r="F27" s="75">
        <v>3.514171909659014E-2</v>
      </c>
      <c r="G27" s="75">
        <v>5.9460254178912431E-2</v>
      </c>
      <c r="H27" s="75">
        <v>4.8878108334517778E-2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-4.6200039767305245E-2</v>
      </c>
      <c r="D28" s="75">
        <v>-6.0308331796339321E-2</v>
      </c>
      <c r="E28" s="75">
        <v>-1.479166766330331E-2</v>
      </c>
      <c r="F28" s="75">
        <v>8.7993849972807237E-3</v>
      </c>
      <c r="G28" s="75">
        <v>-6.1224402445438919E-3</v>
      </c>
      <c r="H28" s="75">
        <v>-5.2039623029078164E-2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-0.41771702743844952</v>
      </c>
      <c r="D29" s="75">
        <v>-0.41709082560355393</v>
      </c>
      <c r="E29" s="75">
        <v>1.0754252904576767E-3</v>
      </c>
      <c r="F29" s="75">
        <v>0.21879458767093451</v>
      </c>
      <c r="G29" s="75">
        <v>0.22010531019438861</v>
      </c>
      <c r="H29" s="75">
        <v>-0.28955345314187875</v>
      </c>
      <c r="J29" s="8">
        <v>2019</v>
      </c>
      <c r="K29" s="10">
        <v>-0.41771702743844952</v>
      </c>
      <c r="L29" s="10">
        <v>-0.41709082560355393</v>
      </c>
      <c r="M29" s="10">
        <v>1.0754252904576767E-3</v>
      </c>
      <c r="N29" s="10">
        <v>0.21879458767093451</v>
      </c>
      <c r="O29" s="10">
        <v>0.22010531019438861</v>
      </c>
      <c r="P29" s="10">
        <v>-0.28955345314187875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-3.1532652066189715E-2</v>
      </c>
      <c r="D30" s="75">
        <v>-0.16291583271765697</v>
      </c>
      <c r="E30" s="75">
        <v>-0.13566092954168107</v>
      </c>
      <c r="F30" s="75">
        <v>-0.11233304639910635</v>
      </c>
      <c r="G30" s="75">
        <v>-0.23275477044803583</v>
      </c>
      <c r="H30" s="75">
        <v>-0.25694804732094179</v>
      </c>
      <c r="J30" s="8">
        <v>2020</v>
      </c>
      <c r="K30" s="10">
        <v>-3.1532652066189715E-2</v>
      </c>
      <c r="L30" s="10">
        <v>-0.16291583271765697</v>
      </c>
      <c r="M30" s="10">
        <v>-0.13566092954168107</v>
      </c>
      <c r="N30" s="10">
        <v>-0.11233304639910635</v>
      </c>
      <c r="O30" s="10">
        <v>-0.23275477044803583</v>
      </c>
      <c r="P30" s="10">
        <v>-0.25694804732094179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2.455563546696804E-2</v>
      </c>
      <c r="D31" s="75">
        <v>0.22171514602029285</v>
      </c>
      <c r="E31" s="75">
        <v>0.19243416728996299</v>
      </c>
      <c r="F31" s="75">
        <v>0.2835105451635509</v>
      </c>
      <c r="G31" s="75">
        <v>0.53050182812998514</v>
      </c>
      <c r="H31" s="75">
        <v>0.5680842731030733</v>
      </c>
      <c r="J31" s="8">
        <v>2021</v>
      </c>
      <c r="K31" s="10">
        <v>2.455563546696804E-2</v>
      </c>
      <c r="L31" s="10">
        <v>0.22171514602029285</v>
      </c>
      <c r="M31" s="10">
        <v>0.19243416728996299</v>
      </c>
      <c r="N31" s="10">
        <v>0.2835105451635509</v>
      </c>
      <c r="O31" s="10">
        <v>0.53050182812998514</v>
      </c>
      <c r="P31" s="10">
        <v>0.5680842731030733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2.8620136381869221E-2</v>
      </c>
      <c r="D32" s="75">
        <v>-9.1883031652790992E-2</v>
      </c>
      <c r="E32" s="75">
        <v>-0.11715031018012667</v>
      </c>
      <c r="F32" s="75">
        <v>0.14738059004517723</v>
      </c>
      <c r="G32" s="75">
        <v>1.2964598026727669E-2</v>
      </c>
      <c r="H32" s="75">
        <v>4.1955782972258104E-2</v>
      </c>
      <c r="J32" s="8">
        <v>2022</v>
      </c>
      <c r="K32" s="10">
        <v>2.8620136381869221E-2</v>
      </c>
      <c r="L32" s="10">
        <v>-9.1883031652790992E-2</v>
      </c>
      <c r="M32" s="10">
        <v>-0.11715031018012667</v>
      </c>
      <c r="N32" s="10">
        <v>0.14738059004517723</v>
      </c>
      <c r="O32" s="10">
        <v>1.2964598026727669E-2</v>
      </c>
      <c r="P32" s="10">
        <v>4.1955782972258104E-2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4.6144498668780898E-3</v>
      </c>
      <c r="D33" s="75">
        <v>-8.6078868312777224E-2</v>
      </c>
      <c r="E33" s="75">
        <v>-9.0276740685616641E-2</v>
      </c>
      <c r="F33" s="75">
        <v>-2.3598267208826407E-3</v>
      </c>
      <c r="G33" s="75">
        <v>-9.2423529941555005E-2</v>
      </c>
      <c r="H33" s="75">
        <v>-8.8235563820111995E-2</v>
      </c>
      <c r="J33" s="8">
        <v>2023</v>
      </c>
      <c r="K33" s="10">
        <v>4.6144498668780898E-3</v>
      </c>
      <c r="L33" s="10">
        <v>-8.6078868312777224E-2</v>
      </c>
      <c r="M33" s="10">
        <v>-9.0276740685616641E-2</v>
      </c>
      <c r="N33" s="10">
        <v>-2.3598267208826407E-3</v>
      </c>
      <c r="O33" s="10">
        <v>-9.2423529941555005E-2</v>
      </c>
      <c r="P33" s="10">
        <v>-8.8235563820111995E-2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1.0768619616355446E-2</v>
      </c>
      <c r="D34" s="75">
        <v>2.4141333343298044E-2</v>
      </c>
      <c r="E34" s="75">
        <v>1.3230242280392934E-2</v>
      </c>
      <c r="F34" s="75">
        <v>-4.3381181390829249E-2</v>
      </c>
      <c r="G34" s="75">
        <v>-3.0724882650646768E-2</v>
      </c>
      <c r="H34" s="75">
        <v>-2.0287127608313305E-2</v>
      </c>
      <c r="J34" s="8">
        <v>2024</v>
      </c>
      <c r="K34" s="10">
        <v>1.0768619616355446E-2</v>
      </c>
      <c r="L34" s="10">
        <v>2.4141333343298044E-2</v>
      </c>
      <c r="M34" s="10">
        <v>1.3230242280392934E-2</v>
      </c>
      <c r="N34" s="10">
        <v>-4.3381181390829249E-2</v>
      </c>
      <c r="O34" s="10">
        <v>-3.0724882650646768E-2</v>
      </c>
      <c r="P34" s="10">
        <v>-2.0287127608313305E-2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6.7206236738770464E-4</v>
      </c>
      <c r="D35" s="75">
        <v>-9.615467451740356E-3</v>
      </c>
      <c r="E35" s="75">
        <v>-1.0280620600908619E-2</v>
      </c>
      <c r="F35" s="75">
        <v>1.9757752962665576E-2</v>
      </c>
      <c r="G35" s="75">
        <v>9.2740103996209466E-3</v>
      </c>
      <c r="H35" s="75">
        <v>9.9523054803929423E-3</v>
      </c>
      <c r="J35" s="8">
        <v>2025</v>
      </c>
      <c r="K35" s="10">
        <v>6.7206236738770464E-4</v>
      </c>
      <c r="L35" s="10">
        <v>-9.615467451740356E-3</v>
      </c>
      <c r="M35" s="10">
        <v>-1.0280620600908619E-2</v>
      </c>
      <c r="N35" s="10">
        <v>1.9757752962665576E-2</v>
      </c>
      <c r="O35" s="10">
        <v>9.2740103996209466E-3</v>
      </c>
      <c r="P35" s="10">
        <v>9.9523054803929423E-3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-1.3106008999587471E-2</v>
      </c>
      <c r="D36" s="75">
        <v>4.1009813715022103E-2</v>
      </c>
      <c r="E36" s="75">
        <v>5.4834483954808944E-2</v>
      </c>
      <c r="F36" s="75">
        <v>1.8048721581071847E-2</v>
      </c>
      <c r="G36" s="75">
        <v>7.3872897869823317E-2</v>
      </c>
      <c r="H36" s="75">
        <v>5.9798710005928291E-2</v>
      </c>
      <c r="J36" s="8">
        <v>2026</v>
      </c>
      <c r="K36" s="10">
        <v>-1.9399963541116949E-2</v>
      </c>
      <c r="L36" s="10">
        <v>2.8554196442626578E-2</v>
      </c>
      <c r="M36" s="10">
        <v>4.890287395553683E-2</v>
      </c>
      <c r="N36" s="10">
        <v>5.9046800822002421E-3</v>
      </c>
      <c r="O36" s="10">
        <v>5.5096309863544635E-2</v>
      </c>
      <c r="P36" s="10">
        <v>3.4627479919824955E-2</v>
      </c>
      <c r="Q36" s="10"/>
      <c r="R36" s="19">
        <v>6.2939545415294784E-3</v>
      </c>
      <c r="S36" s="19">
        <v>1.2455617272395525E-2</v>
      </c>
      <c r="T36" s="19">
        <v>5.9316099992721139E-3</v>
      </c>
      <c r="U36" s="19">
        <v>1.2144041498871605E-2</v>
      </c>
      <c r="V36" s="19">
        <v>1.8776588006278683E-2</v>
      </c>
      <c r="W36" s="19">
        <v>2.5171230086103336E-2</v>
      </c>
    </row>
    <row r="37" spans="2:23" s="5" customFormat="1" outlineLevel="1" x14ac:dyDescent="0.15">
      <c r="B37" s="78">
        <v>2027</v>
      </c>
      <c r="C37" s="75">
        <v>5.0456441216788495E-3</v>
      </c>
      <c r="D37" s="75">
        <v>1.2301016925517549E-2</v>
      </c>
      <c r="E37" s="75">
        <v>7.2189485584799318E-3</v>
      </c>
      <c r="F37" s="75">
        <v>1.2105794881563936E-2</v>
      </c>
      <c r="G37" s="75">
        <v>1.941213455055335E-2</v>
      </c>
      <c r="H37" s="75">
        <v>2.4555725394816541E-2</v>
      </c>
      <c r="J37" s="8">
        <v>2027</v>
      </c>
      <c r="K37" s="10">
        <v>5.0975979648744119E-3</v>
      </c>
      <c r="L37" s="10">
        <v>1.4262458583590432E-2</v>
      </c>
      <c r="M37" s="10">
        <v>9.1183787895552371E-3</v>
      </c>
      <c r="N37" s="10">
        <v>1.0909873586252949E-2</v>
      </c>
      <c r="O37" s="10">
        <v>2.012773273571411E-2</v>
      </c>
      <c r="P37" s="10">
        <v>2.532793379001963E-2</v>
      </c>
      <c r="Q37" s="10"/>
      <c r="R37" s="19">
        <v>-5.1953843195562399E-5</v>
      </c>
      <c r="S37" s="19">
        <v>-1.9614416580728822E-3</v>
      </c>
      <c r="T37" s="19">
        <v>-1.8994302310753053E-3</v>
      </c>
      <c r="U37" s="19">
        <v>1.1959212953109866E-3</v>
      </c>
      <c r="V37" s="19">
        <v>-7.1559818516075957E-4</v>
      </c>
      <c r="W37" s="19">
        <v>-7.7220839520308893E-4</v>
      </c>
    </row>
    <row r="38" spans="2:23" s="5" customFormat="1" outlineLevel="1" x14ac:dyDescent="0.15">
      <c r="B38" s="78">
        <v>2028</v>
      </c>
      <c r="C38" s="75">
        <v>1.7411491584444772E-3</v>
      </c>
      <c r="D38" s="75">
        <v>1.581187310665122E-2</v>
      </c>
      <c r="E38" s="75">
        <v>1.4046267301714987E-2</v>
      </c>
      <c r="F38" s="75">
        <v>1.621258423557026E-2</v>
      </c>
      <c r="G38" s="75">
        <v>3.0486577829109907E-2</v>
      </c>
      <c r="H38" s="75">
        <v>3.2280808666885319E-2</v>
      </c>
      <c r="J38" s="8">
        <v>2028</v>
      </c>
      <c r="K38" s="10">
        <v>5.2567022954266296E-3</v>
      </c>
      <c r="L38" s="10">
        <v>1.5530611099763503E-2</v>
      </c>
      <c r="M38" s="10">
        <v>1.0220184337868421E-2</v>
      </c>
      <c r="N38" s="10">
        <v>1.6622177707547259E-2</v>
      </c>
      <c r="O38" s="10">
        <v>2.701224376568323E-2</v>
      </c>
      <c r="P38" s="10">
        <v>3.2410941384917624E-2</v>
      </c>
      <c r="Q38" s="10"/>
      <c r="R38" s="19">
        <v>-3.5155531369821524E-3</v>
      </c>
      <c r="S38" s="19">
        <v>2.8126200688771696E-4</v>
      </c>
      <c r="T38" s="19">
        <v>3.8260829638465665E-3</v>
      </c>
      <c r="U38" s="19">
        <v>-4.0959347197699891E-4</v>
      </c>
      <c r="V38" s="19">
        <v>3.4743340634266762E-3</v>
      </c>
      <c r="W38" s="19">
        <v>-1.3013271803230531E-4</v>
      </c>
    </row>
    <row r="39" spans="2:23" s="5" customFormat="1" outlineLevel="1" x14ac:dyDescent="0.15">
      <c r="B39" s="78">
        <v>2029</v>
      </c>
      <c r="C39" s="75">
        <v>5.3431317241527942E-3</v>
      </c>
      <c r="D39" s="75">
        <v>1.3792315654091336E-2</v>
      </c>
      <c r="E39" s="75">
        <v>8.4042787614695413E-3</v>
      </c>
      <c r="F39" s="75">
        <v>1.3888559069193507E-2</v>
      </c>
      <c r="G39" s="75">
        <v>2.2409561152675561E-2</v>
      </c>
      <c r="H39" s="75">
        <v>2.7872430113947466E-2</v>
      </c>
      <c r="J39" s="8">
        <v>2029</v>
      </c>
      <c r="K39" s="10">
        <v>5.3431317241527942E-3</v>
      </c>
      <c r="L39" s="10">
        <v>1.5276965826808597E-2</v>
      </c>
      <c r="M39" s="10">
        <v>9.8810384128444895E-3</v>
      </c>
      <c r="N39" s="10">
        <v>1.4779016546605295E-2</v>
      </c>
      <c r="O39" s="10">
        <v>2.4806086989651366E-2</v>
      </c>
      <c r="P39" s="10">
        <v>3.0281760904150357E-2</v>
      </c>
      <c r="Q39" s="10"/>
      <c r="R39" s="19">
        <v>0</v>
      </c>
      <c r="S39" s="19">
        <v>-1.4846501727172612E-3</v>
      </c>
      <c r="T39" s="19">
        <v>-1.4767596513749481E-3</v>
      </c>
      <c r="U39" s="19">
        <v>-8.9045747741178793E-4</v>
      </c>
      <c r="V39" s="19">
        <v>-2.3965258369758047E-3</v>
      </c>
      <c r="W39" s="19">
        <v>-2.4093307902028904E-3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5E96-9EF2-4577-8C5B-CF38538CF988}">
  <sheetPr>
    <tabColor theme="7" tint="0.79998168889431442"/>
  </sheetPr>
  <dimension ref="B1:W54"/>
  <sheetViews>
    <sheetView zoomScale="150" zoomScaleNormal="150" workbookViewId="0">
      <selection activeCell="P57" sqref="P57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37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53999.110539975758</v>
      </c>
      <c r="D5" s="74">
        <v>40563.345528530466</v>
      </c>
      <c r="E5" s="75">
        <v>0.7511854384805331</v>
      </c>
      <c r="F5" s="76">
        <v>0</v>
      </c>
      <c r="G5" s="76">
        <v>0</v>
      </c>
      <c r="H5" s="77">
        <v>0</v>
      </c>
      <c r="J5" s="4"/>
      <c r="K5" s="9">
        <v>53999.110539975758</v>
      </c>
      <c r="L5" s="9">
        <v>40563.345528530466</v>
      </c>
      <c r="M5" s="20">
        <v>0.7511854384805331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54512.330569966456</v>
      </c>
      <c r="D6" s="74">
        <v>41639.150848390265</v>
      </c>
      <c r="E6" s="75">
        <v>0.76384829657845044</v>
      </c>
      <c r="F6" s="76">
        <v>135.46613209575435</v>
      </c>
      <c r="G6" s="76">
        <v>103.4755742454133</v>
      </c>
      <c r="H6" s="77">
        <v>2058853568.8518233</v>
      </c>
      <c r="J6" s="4"/>
      <c r="K6" s="9">
        <v>54512.330569966456</v>
      </c>
      <c r="L6" s="9">
        <v>41639.150848390265</v>
      </c>
      <c r="M6" s="20">
        <v>0.76384829657845044</v>
      </c>
      <c r="N6" s="11">
        <v>135.46613209575435</v>
      </c>
      <c r="O6" s="11">
        <v>103.4755742454133</v>
      </c>
      <c r="P6" s="12">
        <v>2058853568.8518233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55150.5</v>
      </c>
      <c r="D7" s="74">
        <v>43378.339330517112</v>
      </c>
      <c r="E7" s="75">
        <v>0.78654480613080768</v>
      </c>
      <c r="F7" s="76">
        <v>143.8733630991342</v>
      </c>
      <c r="G7" s="76">
        <v>113.16284648619582</v>
      </c>
      <c r="H7" s="77">
        <v>2277960461.2749839</v>
      </c>
      <c r="J7" s="4"/>
      <c r="K7" s="9">
        <v>55150.5</v>
      </c>
      <c r="L7" s="9">
        <v>43378.339330517112</v>
      </c>
      <c r="M7" s="20">
        <v>0.78654480613080768</v>
      </c>
      <c r="N7" s="11">
        <v>143.8733630991342</v>
      </c>
      <c r="O7" s="11">
        <v>113.16284648619582</v>
      </c>
      <c r="P7" s="12">
        <v>2277960461.2749839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56473</v>
      </c>
      <c r="D8" s="74">
        <v>44153.652170117864</v>
      </c>
      <c r="E8" s="75">
        <v>0.78185419882276241</v>
      </c>
      <c r="F8" s="76">
        <v>150.62042106311034</v>
      </c>
      <c r="G8" s="76">
        <v>117.76320863664526</v>
      </c>
      <c r="H8" s="77">
        <v>2427411213.6881027</v>
      </c>
      <c r="J8" s="4"/>
      <c r="K8" s="9">
        <v>56473</v>
      </c>
      <c r="L8" s="9">
        <v>44153.652170117864</v>
      </c>
      <c r="M8" s="20">
        <v>0.78185419882276241</v>
      </c>
      <c r="N8" s="11">
        <v>150.62042106311034</v>
      </c>
      <c r="O8" s="11">
        <v>117.76320863664526</v>
      </c>
      <c r="P8" s="12">
        <v>2427411213.6881027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57189.916666666664</v>
      </c>
      <c r="D9" s="74">
        <v>44504.720381179555</v>
      </c>
      <c r="E9" s="75">
        <v>0.77819173335357006</v>
      </c>
      <c r="F9" s="76">
        <v>156.2456445033352</v>
      </c>
      <c r="G9" s="76">
        <v>121.58906892499611</v>
      </c>
      <c r="H9" s="77">
        <v>2538089082.5803127</v>
      </c>
      <c r="J9" s="4"/>
      <c r="K9" s="9">
        <v>57189.916666666664</v>
      </c>
      <c r="L9" s="9">
        <v>44504.720381179555</v>
      </c>
      <c r="M9" s="20">
        <v>0.77819173335357006</v>
      </c>
      <c r="N9" s="11">
        <v>156.2456445033352</v>
      </c>
      <c r="O9" s="11">
        <v>121.58906892499611</v>
      </c>
      <c r="P9" s="12">
        <v>2538089082.5803127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57870.416666666664</v>
      </c>
      <c r="D10" s="74">
        <v>44882.726740911392</v>
      </c>
      <c r="E10" s="75">
        <v>0.77557289762463077</v>
      </c>
      <c r="F10" s="76">
        <v>161.79445813720412</v>
      </c>
      <c r="G10" s="76">
        <v>125.48339671707842</v>
      </c>
      <c r="H10" s="77">
        <v>2650548405.2595754</v>
      </c>
      <c r="J10" s="4"/>
      <c r="K10" s="9">
        <v>57870.416666666664</v>
      </c>
      <c r="L10" s="9">
        <v>44882.726740911392</v>
      </c>
      <c r="M10" s="20">
        <v>0.77557289762463077</v>
      </c>
      <c r="N10" s="11">
        <v>161.79445813720412</v>
      </c>
      <c r="O10" s="11">
        <v>125.48339671707842</v>
      </c>
      <c r="P10" s="12">
        <v>2650548405.2595754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58282.416666666664</v>
      </c>
      <c r="D11" s="74">
        <v>45141.360639583327</v>
      </c>
      <c r="E11" s="75">
        <v>0.77452794893113841</v>
      </c>
      <c r="F11" s="76">
        <v>161.93676764135546</v>
      </c>
      <c r="G11" s="76">
        <v>125.42455249779738</v>
      </c>
      <c r="H11" s="77">
        <v>2668166800.5509944</v>
      </c>
      <c r="J11" s="8">
        <v>2019</v>
      </c>
      <c r="K11" s="9">
        <v>58282.416666666664</v>
      </c>
      <c r="L11" s="9">
        <v>45141.360639583327</v>
      </c>
      <c r="M11" s="20">
        <v>0.77452794893113841</v>
      </c>
      <c r="N11" s="11">
        <v>161.93676764135546</v>
      </c>
      <c r="O11" s="11">
        <v>125.42455249779738</v>
      </c>
      <c r="P11" s="12">
        <v>2668166800.5509944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50463.166666666664</v>
      </c>
      <c r="D12" s="74">
        <v>22478.539628416667</v>
      </c>
      <c r="E12" s="75">
        <v>0.44544449175966633</v>
      </c>
      <c r="F12" s="76">
        <v>136.02876564505425</v>
      </c>
      <c r="G12" s="76">
        <v>60.593264377455945</v>
      </c>
      <c r="H12" s="77">
        <v>1116070719.6922889</v>
      </c>
      <c r="J12" s="8">
        <v>2020</v>
      </c>
      <c r="K12" s="9">
        <v>50463.166666666664</v>
      </c>
      <c r="L12" s="9">
        <v>22478.539628416667</v>
      </c>
      <c r="M12" s="20">
        <v>0.44544449175966633</v>
      </c>
      <c r="N12" s="11">
        <v>136.02876564505425</v>
      </c>
      <c r="O12" s="11">
        <v>60.593264377455945</v>
      </c>
      <c r="P12" s="12">
        <v>1116070719.6922889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56854.083333333336</v>
      </c>
      <c r="D13" s="74">
        <v>32935.691948052525</v>
      </c>
      <c r="E13" s="75">
        <v>0.5793021365756934</v>
      </c>
      <c r="F13" s="76">
        <v>168.05227367959077</v>
      </c>
      <c r="G13" s="76">
        <v>97.353041198990098</v>
      </c>
      <c r="H13" s="77">
        <v>2020245039.734498</v>
      </c>
      <c r="J13" s="8">
        <v>2021</v>
      </c>
      <c r="K13" s="9">
        <v>56854.083333333336</v>
      </c>
      <c r="L13" s="9">
        <v>32935.691948052525</v>
      </c>
      <c r="M13" s="20">
        <v>0.5793021365756934</v>
      </c>
      <c r="N13" s="11">
        <v>168.05227367959077</v>
      </c>
      <c r="O13" s="11">
        <v>97.353041198990098</v>
      </c>
      <c r="P13" s="12">
        <v>2020245039.734498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60044.083333333336</v>
      </c>
      <c r="D14" s="74">
        <v>42427.597989092079</v>
      </c>
      <c r="E14" s="75">
        <v>0.70660747293877824</v>
      </c>
      <c r="F14" s="76">
        <v>201.9026079886587</v>
      </c>
      <c r="G14" s="76">
        <v>142.66589161061489</v>
      </c>
      <c r="H14" s="77">
        <v>3126678579.9126029</v>
      </c>
      <c r="J14" s="8">
        <v>2022</v>
      </c>
      <c r="K14" s="9">
        <v>60044.083333333336</v>
      </c>
      <c r="L14" s="9">
        <v>42427.597989092079</v>
      </c>
      <c r="M14" s="20">
        <v>0.70660747293877824</v>
      </c>
      <c r="N14" s="11">
        <v>201.9026079886587</v>
      </c>
      <c r="O14" s="11">
        <v>142.66589161061489</v>
      </c>
      <c r="P14" s="12">
        <v>3126678579.9126029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60202.87634408602</v>
      </c>
      <c r="D15" s="74">
        <v>43160.16872931338</v>
      </c>
      <c r="E15" s="75">
        <v>0.71691207049035266</v>
      </c>
      <c r="F15" s="76">
        <v>210.27619300372254</v>
      </c>
      <c r="G15" s="76">
        <v>150.74954090112772</v>
      </c>
      <c r="H15" s="77">
        <v>3312577928.9763904</v>
      </c>
      <c r="J15" s="8">
        <v>2023</v>
      </c>
      <c r="K15" s="9">
        <v>60202.87634408602</v>
      </c>
      <c r="L15" s="9">
        <v>43160.16872931338</v>
      </c>
      <c r="M15" s="20">
        <v>0.71691207049035266</v>
      </c>
      <c r="N15" s="11">
        <v>210.27619300372254</v>
      </c>
      <c r="O15" s="11">
        <v>150.74954090112772</v>
      </c>
      <c r="P15" s="12">
        <v>3312577928.9763904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60992.833333333336</v>
      </c>
      <c r="D16" s="74">
        <v>43783.753373015876</v>
      </c>
      <c r="E16" s="75">
        <v>0.71785078639866229</v>
      </c>
      <c r="F16" s="76">
        <v>208.3660818337066</v>
      </c>
      <c r="G16" s="76">
        <v>149.57575570313429</v>
      </c>
      <c r="H16" s="77">
        <v>3329912935.4826584</v>
      </c>
      <c r="J16" s="8">
        <v>2024</v>
      </c>
      <c r="K16" s="9">
        <v>60992.833333333336</v>
      </c>
      <c r="L16" s="9">
        <v>43783.753373015876</v>
      </c>
      <c r="M16" s="20">
        <v>0.71785078639866229</v>
      </c>
      <c r="N16" s="11">
        <v>208.3660818337066</v>
      </c>
      <c r="O16" s="11">
        <v>149.57575570313429</v>
      </c>
      <c r="P16" s="12">
        <v>3329912935.4826584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60662.916666666664</v>
      </c>
      <c r="D17" s="74">
        <v>44152.016512716742</v>
      </c>
      <c r="E17" s="75">
        <v>0.727825481180294</v>
      </c>
      <c r="F17" s="76">
        <v>210.32953809087758</v>
      </c>
      <c r="G17" s="76">
        <v>153.08319726742195</v>
      </c>
      <c r="H17" s="77">
        <v>3389562732.1986871</v>
      </c>
      <c r="J17" s="8">
        <v>2025</v>
      </c>
      <c r="K17" s="9">
        <v>60662.916666666664</v>
      </c>
      <c r="L17" s="9">
        <v>44152.016512716742</v>
      </c>
      <c r="M17" s="20">
        <v>0.727825481180294</v>
      </c>
      <c r="N17" s="11">
        <v>210.32953809087758</v>
      </c>
      <c r="O17" s="11">
        <v>153.08319726742195</v>
      </c>
      <c r="P17" s="12">
        <v>3389562732.1986871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60256.708333333336</v>
      </c>
      <c r="D18" s="74">
        <v>45725.124598998998</v>
      </c>
      <c r="E18" s="75">
        <v>0.7588387395151549</v>
      </c>
      <c r="F18" s="76">
        <v>221.60737204585206</v>
      </c>
      <c r="G18" s="76">
        <v>168.16425887054035</v>
      </c>
      <c r="H18" s="77">
        <v>3698554015.0814595</v>
      </c>
      <c r="J18" s="8">
        <v>2026</v>
      </c>
      <c r="K18" s="9">
        <v>60204.083333333336</v>
      </c>
      <c r="L18" s="9">
        <v>45177.35180342129</v>
      </c>
      <c r="M18" s="20">
        <v>0.75040344943526183</v>
      </c>
      <c r="N18" s="11">
        <v>215.50502194606878</v>
      </c>
      <c r="O18" s="11">
        <v>161.71571183895182</v>
      </c>
      <c r="P18" s="12">
        <v>3553620360.0294752</v>
      </c>
      <c r="Q18" s="9"/>
      <c r="R18" s="22">
        <v>52.625</v>
      </c>
      <c r="S18" s="22">
        <v>547.77279557770817</v>
      </c>
      <c r="T18" s="21">
        <v>8.4352900798930763E-3</v>
      </c>
      <c r="U18" s="23">
        <v>6.1023500997832798</v>
      </c>
      <c r="V18" s="23">
        <v>6.4485470315885323</v>
      </c>
      <c r="W18" s="24">
        <v>144933655.05198431</v>
      </c>
    </row>
    <row r="19" spans="2:23" s="5" customFormat="1" outlineLevel="1" x14ac:dyDescent="0.15">
      <c r="B19" s="78">
        <v>2027</v>
      </c>
      <c r="C19" s="74">
        <v>60509.125</v>
      </c>
      <c r="D19" s="74">
        <v>46102.100876904937</v>
      </c>
      <c r="E19" s="75">
        <v>0.76190328114817285</v>
      </c>
      <c r="F19" s="76">
        <v>224.55513061982745</v>
      </c>
      <c r="G19" s="76">
        <v>171.08929081790311</v>
      </c>
      <c r="H19" s="77">
        <v>3778649098.7555757</v>
      </c>
      <c r="J19" s="8">
        <v>2027</v>
      </c>
      <c r="K19" s="9">
        <v>60342.416666666664</v>
      </c>
      <c r="L19" s="9">
        <v>45540.099752379465</v>
      </c>
      <c r="M19" s="20">
        <v>0.7546946620309285</v>
      </c>
      <c r="N19" s="11">
        <v>218.55457192172744</v>
      </c>
      <c r="O19" s="11">
        <v>164.94196879178233</v>
      </c>
      <c r="P19" s="12">
        <v>3632843907.4287319</v>
      </c>
      <c r="Q19" s="9"/>
      <c r="R19" s="22">
        <v>166.70833333333576</v>
      </c>
      <c r="S19" s="22">
        <v>562.00112452547182</v>
      </c>
      <c r="T19" s="21">
        <v>7.2086191172443526E-3</v>
      </c>
      <c r="U19" s="23">
        <v>6.0005586981000079</v>
      </c>
      <c r="V19" s="23">
        <v>6.1473220261207757</v>
      </c>
      <c r="W19" s="24">
        <v>145805191.32684374</v>
      </c>
    </row>
    <row r="20" spans="2:23" s="5" customFormat="1" outlineLevel="1" x14ac:dyDescent="0.15">
      <c r="B20" s="78">
        <v>2028</v>
      </c>
      <c r="C20" s="74">
        <v>60927.64166666667</v>
      </c>
      <c r="D20" s="74">
        <v>46957.964763073993</v>
      </c>
      <c r="E20" s="75">
        <v>0.77071692713759765</v>
      </c>
      <c r="F20" s="76">
        <v>229.52210470077841</v>
      </c>
      <c r="G20" s="76">
        <v>176.89657124513786</v>
      </c>
      <c r="H20" s="77">
        <v>3933930180.2832918</v>
      </c>
      <c r="J20" s="8">
        <v>2028</v>
      </c>
      <c r="K20" s="9">
        <v>61056.758333333331</v>
      </c>
      <c r="L20" s="9">
        <v>46387.79583202098</v>
      </c>
      <c r="M20" s="20">
        <v>0.75974875015098897</v>
      </c>
      <c r="N20" s="11">
        <v>223.36086400091816</v>
      </c>
      <c r="O20" s="11">
        <v>169.69813725734258</v>
      </c>
      <c r="P20" s="12">
        <v>3781844626.9905143</v>
      </c>
      <c r="Q20" s="9"/>
      <c r="R20" s="22">
        <v>-129.11666666666133</v>
      </c>
      <c r="S20" s="22">
        <v>570.16893105301278</v>
      </c>
      <c r="T20" s="21">
        <v>1.096817698660868E-2</v>
      </c>
      <c r="U20" s="23">
        <v>6.161240699860258</v>
      </c>
      <c r="V20" s="23">
        <v>7.1984339877952834</v>
      </c>
      <c r="W20" s="24">
        <v>152085553.29277754</v>
      </c>
    </row>
    <row r="21" spans="2:23" s="5" customFormat="1" outlineLevel="1" x14ac:dyDescent="0.15">
      <c r="B21" s="78">
        <v>2029</v>
      </c>
      <c r="C21" s="74">
        <v>61435.305199694012</v>
      </c>
      <c r="D21" s="74">
        <v>47750.649714317202</v>
      </c>
      <c r="E21" s="75">
        <v>0.77725095625560647</v>
      </c>
      <c r="F21" s="76">
        <v>232.92550738087809</v>
      </c>
      <c r="G21" s="76">
        <v>181.04157334810981</v>
      </c>
      <c r="H21" s="77">
        <v>4059655674.052979</v>
      </c>
      <c r="J21" s="8">
        <v>2029</v>
      </c>
      <c r="K21" s="9">
        <v>61783.080861272218</v>
      </c>
      <c r="L21" s="9">
        <v>47167.381436945856</v>
      </c>
      <c r="M21" s="20">
        <v>0.76343524439733812</v>
      </c>
      <c r="N21" s="11">
        <v>226.72309665721394</v>
      </c>
      <c r="O21" s="11">
        <v>173.0884027070214</v>
      </c>
      <c r="P21" s="12">
        <v>3903286194.9176688</v>
      </c>
      <c r="Q21" s="9"/>
      <c r="R21" s="22">
        <v>-347.77566157820547</v>
      </c>
      <c r="S21" s="22">
        <v>583.2682773713459</v>
      </c>
      <c r="T21" s="21">
        <v>1.3815711858268354E-2</v>
      </c>
      <c r="U21" s="23">
        <v>6.2024107236641441</v>
      </c>
      <c r="V21" s="23">
        <v>7.9531706410884055</v>
      </c>
      <c r="W21" s="24">
        <v>156369479.13531017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9.5042311782294053E-3</v>
      </c>
      <c r="D24" s="75">
        <v>2.6521612205362199E-2</v>
      </c>
      <c r="E24" s="75">
        <v>1.6857166618579944E-2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1.1706882156037324E-2</v>
      </c>
      <c r="D25" s="75">
        <v>4.1768106378040626E-2</v>
      </c>
      <c r="E25" s="75">
        <v>2.9713373262757914E-2</v>
      </c>
      <c r="F25" s="75">
        <v>6.2061497389156894E-2</v>
      </c>
      <c r="G25" s="75">
        <v>9.3618927089084814E-2</v>
      </c>
      <c r="H25" s="75">
        <v>0.10642179499212845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2.3979836991504966E-2</v>
      </c>
      <c r="D26" s="75">
        <v>1.7873271581314576E-2</v>
      </c>
      <c r="E26" s="75">
        <v>-5.9635602085015282E-3</v>
      </c>
      <c r="F26" s="75">
        <v>4.6895810444961716E-2</v>
      </c>
      <c r="G26" s="75">
        <v>4.065258424734508E-2</v>
      </c>
      <c r="H26" s="75">
        <v>6.5607263582384778E-2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1.2694857129365689E-2</v>
      </c>
      <c r="D27" s="75">
        <v>7.9510571335996705E-3</v>
      </c>
      <c r="E27" s="75">
        <v>-4.6843330568626662E-3</v>
      </c>
      <c r="F27" s="75">
        <v>3.7347017094500501E-2</v>
      </c>
      <c r="G27" s="75">
        <v>3.2487738170886793E-2</v>
      </c>
      <c r="H27" s="75">
        <v>4.5595022494788084E-2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1.1898950718293833E-2</v>
      </c>
      <c r="D28" s="75">
        <v>8.4936239682946724E-3</v>
      </c>
      <c r="E28" s="75">
        <v>-3.3652834085676764E-3</v>
      </c>
      <c r="F28" s="75">
        <v>3.5513397199052665E-2</v>
      </c>
      <c r="G28" s="75">
        <v>3.2028601144109325E-2</v>
      </c>
      <c r="H28" s="75">
        <v>4.430865860899269E-2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7.1193543045164898E-3</v>
      </c>
      <c r="D29" s="75">
        <v>5.7624372994296014E-3</v>
      </c>
      <c r="E29" s="75">
        <v>-1.3473249216067185E-3</v>
      </c>
      <c r="F29" s="75">
        <v>8.7956970708269466E-4</v>
      </c>
      <c r="G29" s="75">
        <v>-4.6894028071076121E-4</v>
      </c>
      <c r="H29" s="75">
        <v>6.6470754717997682E-3</v>
      </c>
      <c r="J29" s="8">
        <v>2019</v>
      </c>
      <c r="K29" s="10">
        <v>7.1193543045164898E-3</v>
      </c>
      <c r="L29" s="10">
        <v>5.7624372994296014E-3</v>
      </c>
      <c r="M29" s="10">
        <v>-1.3473249216067185E-3</v>
      </c>
      <c r="N29" s="10">
        <v>8.7956970708269466E-4</v>
      </c>
      <c r="O29" s="10">
        <v>-4.6894028071076121E-4</v>
      </c>
      <c r="P29" s="10">
        <v>6.6470754717997682E-3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-0.13416138944135525</v>
      </c>
      <c r="D30" s="75">
        <v>-0.50204115892984846</v>
      </c>
      <c r="E30" s="75">
        <v>-0.42488261091883484</v>
      </c>
      <c r="F30" s="75">
        <v>-0.15998838542757732</v>
      </c>
      <c r="G30" s="75">
        <v>-0.5168947134292543</v>
      </c>
      <c r="H30" s="75">
        <v>-0.58170878992204955</v>
      </c>
      <c r="J30" s="8">
        <v>2020</v>
      </c>
      <c r="K30" s="10">
        <v>-0.13416138944135525</v>
      </c>
      <c r="L30" s="10">
        <v>-0.50204115892984846</v>
      </c>
      <c r="M30" s="10">
        <v>-0.42488261091883484</v>
      </c>
      <c r="N30" s="10">
        <v>-0.15998838542757732</v>
      </c>
      <c r="O30" s="10">
        <v>-0.5168947134292543</v>
      </c>
      <c r="P30" s="10">
        <v>-0.58170878992204955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0.12664517684515775</v>
      </c>
      <c r="D31" s="75">
        <v>0.46520603617933665</v>
      </c>
      <c r="E31" s="75">
        <v>0.30050353588893008</v>
      </c>
      <c r="F31" s="75">
        <v>0.23541717726158629</v>
      </c>
      <c r="G31" s="75">
        <v>0.60666440732661409</v>
      </c>
      <c r="H31" s="75">
        <v>0.81014070532331361</v>
      </c>
      <c r="J31" s="8">
        <v>2021</v>
      </c>
      <c r="K31" s="10">
        <v>0.12664517684515775</v>
      </c>
      <c r="L31" s="10">
        <v>0.46520603617933665</v>
      </c>
      <c r="M31" s="10">
        <v>0.30050353588893008</v>
      </c>
      <c r="N31" s="10">
        <v>0.23541717726158629</v>
      </c>
      <c r="O31" s="10">
        <v>0.60666440732661409</v>
      </c>
      <c r="P31" s="10">
        <v>0.81014070532331361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5.6108546879511723E-2</v>
      </c>
      <c r="D32" s="75">
        <v>0.28819513055959356</v>
      </c>
      <c r="E32" s="75">
        <v>0.21975637292760219</v>
      </c>
      <c r="F32" s="75">
        <v>0.20142741045924284</v>
      </c>
      <c r="G32" s="75">
        <v>0.46544874051756735</v>
      </c>
      <c r="H32" s="75">
        <v>0.5476729398744189</v>
      </c>
      <c r="J32" s="8">
        <v>2022</v>
      </c>
      <c r="K32" s="10">
        <v>5.6108546879511723E-2</v>
      </c>
      <c r="L32" s="10">
        <v>0.28819513055959356</v>
      </c>
      <c r="M32" s="10">
        <v>0.21975637292760219</v>
      </c>
      <c r="N32" s="10">
        <v>0.20142741045924284</v>
      </c>
      <c r="O32" s="10">
        <v>0.46544874051756735</v>
      </c>
      <c r="P32" s="10">
        <v>0.5476729398744189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2.6446071275856298E-3</v>
      </c>
      <c r="D33" s="75">
        <v>1.7266373184964268E-2</v>
      </c>
      <c r="E33" s="75">
        <v>1.4583199224765586E-2</v>
      </c>
      <c r="F33" s="75">
        <v>4.1473387087373359E-2</v>
      </c>
      <c r="G33" s="75">
        <v>5.6661400978559984E-2</v>
      </c>
      <c r="H33" s="75">
        <v>5.9455855251032474E-2</v>
      </c>
      <c r="J33" s="8">
        <v>2023</v>
      </c>
      <c r="K33" s="10">
        <v>2.6446071275856298E-3</v>
      </c>
      <c r="L33" s="10">
        <v>1.7266373184964268E-2</v>
      </c>
      <c r="M33" s="10">
        <v>1.4583199224765586E-2</v>
      </c>
      <c r="N33" s="10">
        <v>4.1473387087373359E-2</v>
      </c>
      <c r="O33" s="10">
        <v>5.6661400978559984E-2</v>
      </c>
      <c r="P33" s="10">
        <v>5.9455855251032474E-2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1.3121582177110014E-2</v>
      </c>
      <c r="D34" s="75">
        <v>1.4448151201942983E-2</v>
      </c>
      <c r="E34" s="75">
        <v>1.309387785405125E-3</v>
      </c>
      <c r="F34" s="75">
        <v>-9.0838203922691818E-3</v>
      </c>
      <c r="G34" s="75">
        <v>-7.7863268503303162E-3</v>
      </c>
      <c r="H34" s="75">
        <v>5.2330863991552068E-3</v>
      </c>
      <c r="J34" s="8">
        <v>2024</v>
      </c>
      <c r="K34" s="10">
        <v>1.3121582177110014E-2</v>
      </c>
      <c r="L34" s="10">
        <v>1.4448151201942983E-2</v>
      </c>
      <c r="M34" s="10">
        <v>1.309387785405125E-3</v>
      </c>
      <c r="N34" s="10">
        <v>-9.0838203922691818E-3</v>
      </c>
      <c r="O34" s="10">
        <v>-7.7863268503303162E-3</v>
      </c>
      <c r="P34" s="10">
        <v>5.2330863991552068E-3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-5.4091054413497597E-3</v>
      </c>
      <c r="D35" s="75">
        <v>8.4109540943977379E-3</v>
      </c>
      <c r="E35" s="75">
        <v>1.3895220247195139E-2</v>
      </c>
      <c r="F35" s="75">
        <v>9.42310878954844E-3</v>
      </c>
      <c r="G35" s="75">
        <v>2.3449265208787873E-2</v>
      </c>
      <c r="H35" s="75">
        <v>1.7913320219401729E-2</v>
      </c>
      <c r="J35" s="8">
        <v>2025</v>
      </c>
      <c r="K35" s="10">
        <v>-5.4091054413497597E-3</v>
      </c>
      <c r="L35" s="10">
        <v>8.4109540943977379E-3</v>
      </c>
      <c r="M35" s="10">
        <v>1.3895220247195139E-2</v>
      </c>
      <c r="N35" s="10">
        <v>9.42310878954844E-3</v>
      </c>
      <c r="O35" s="10">
        <v>2.3449265208787873E-2</v>
      </c>
      <c r="P35" s="10">
        <v>1.7913320219401729E-2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-6.6961556689629775E-3</v>
      </c>
      <c r="D36" s="75">
        <v>3.5629359891844681E-2</v>
      </c>
      <c r="E36" s="75">
        <v>4.2610844408150772E-2</v>
      </c>
      <c r="F36" s="75">
        <v>5.3619829422635101E-2</v>
      </c>
      <c r="G36" s="75">
        <v>9.8515460039505287E-2</v>
      </c>
      <c r="H36" s="75">
        <v>9.1159629514318219E-2</v>
      </c>
      <c r="J36" s="8">
        <v>2026</v>
      </c>
      <c r="K36" s="10">
        <v>-7.563654346765869E-3</v>
      </c>
      <c r="L36" s="10">
        <v>2.322284171118727E-2</v>
      </c>
      <c r="M36" s="10">
        <v>3.1021129156338034E-2</v>
      </c>
      <c r="N36" s="10">
        <v>2.4606547906528498E-2</v>
      </c>
      <c r="O36" s="10">
        <v>5.6390999963566779E-2</v>
      </c>
      <c r="P36" s="10">
        <v>4.8400823584807906E-2</v>
      </c>
      <c r="Q36" s="10"/>
      <c r="R36" s="19">
        <v>8.6749867780289147E-4</v>
      </c>
      <c r="S36" s="19">
        <v>1.2406518180657411E-2</v>
      </c>
      <c r="T36" s="19">
        <v>1.1589715251812738E-2</v>
      </c>
      <c r="U36" s="19">
        <v>2.9013281516106604E-2</v>
      </c>
      <c r="V36" s="19">
        <v>4.2124460075938508E-2</v>
      </c>
      <c r="W36" s="19">
        <v>4.2758805929510313E-2</v>
      </c>
    </row>
    <row r="37" spans="2:23" s="5" customFormat="1" outlineLevel="1" x14ac:dyDescent="0.15">
      <c r="B37" s="78">
        <v>2027</v>
      </c>
      <c r="C37" s="75">
        <v>4.1890218309026395E-3</v>
      </c>
      <c r="D37" s="75">
        <v>8.2444013266655958E-3</v>
      </c>
      <c r="E37" s="75">
        <v>4.0384622890707877E-3</v>
      </c>
      <c r="F37" s="75">
        <v>1.3301717116908307E-2</v>
      </c>
      <c r="G37" s="75">
        <v>1.7393897888935861E-2</v>
      </c>
      <c r="H37" s="75">
        <v>2.1655783137819684E-2</v>
      </c>
      <c r="J37" s="8">
        <v>2027</v>
      </c>
      <c r="K37" s="10">
        <v>2.2977400480863608E-3</v>
      </c>
      <c r="L37" s="10">
        <v>8.0294203727697688E-3</v>
      </c>
      <c r="M37" s="10">
        <v>5.7185406049187204E-3</v>
      </c>
      <c r="N37" s="10">
        <v>1.4150714206659254E-2</v>
      </c>
      <c r="O37" s="10">
        <v>1.9950176245357332E-2</v>
      </c>
      <c r="P37" s="10">
        <v>2.2293756612369098E-2</v>
      </c>
      <c r="Q37" s="10"/>
      <c r="R37" s="19">
        <v>1.8912817828162787E-3</v>
      </c>
      <c r="S37" s="19">
        <v>2.1498095389582694E-4</v>
      </c>
      <c r="T37" s="19">
        <v>-1.6800783158479327E-3</v>
      </c>
      <c r="U37" s="19">
        <v>-8.489970897509469E-4</v>
      </c>
      <c r="V37" s="19">
        <v>-2.5562783564214708E-3</v>
      </c>
      <c r="W37" s="19">
        <v>-6.3797347454941367E-4</v>
      </c>
    </row>
    <row r="38" spans="2:23" s="5" customFormat="1" outlineLevel="1" x14ac:dyDescent="0.15">
      <c r="B38" s="78">
        <v>2028</v>
      </c>
      <c r="C38" s="75">
        <v>6.9165876496588563E-3</v>
      </c>
      <c r="D38" s="75">
        <v>1.8564531114411809E-2</v>
      </c>
      <c r="E38" s="75">
        <v>1.1567932843316919E-2</v>
      </c>
      <c r="F38" s="75">
        <v>2.211917433033439E-2</v>
      </c>
      <c r="G38" s="75">
        <v>3.3942980296853609E-2</v>
      </c>
      <c r="H38" s="75">
        <v>4.1094337544826498E-2</v>
      </c>
      <c r="J38" s="8">
        <v>2028</v>
      </c>
      <c r="K38" s="10">
        <v>1.1838134866435812E-2</v>
      </c>
      <c r="L38" s="10">
        <v>1.8614278059354117E-2</v>
      </c>
      <c r="M38" s="10">
        <v>6.6968648041840773E-3</v>
      </c>
      <c r="N38" s="10">
        <v>2.1991267613070242E-2</v>
      </c>
      <c r="O38" s="10">
        <v>2.8835404963331701E-2</v>
      </c>
      <c r="P38" s="10">
        <v>4.1014897242651616E-2</v>
      </c>
      <c r="Q38" s="10"/>
      <c r="R38" s="19">
        <v>-4.9215472167769558E-3</v>
      </c>
      <c r="S38" s="19">
        <v>-4.9746944942308247E-5</v>
      </c>
      <c r="T38" s="19">
        <v>4.871068039132842E-3</v>
      </c>
      <c r="U38" s="19">
        <v>1.2790671726414793E-4</v>
      </c>
      <c r="V38" s="19">
        <v>5.1075753335219076E-3</v>
      </c>
      <c r="W38" s="19">
        <v>7.9440302174882405E-5</v>
      </c>
    </row>
    <row r="39" spans="2:23" s="5" customFormat="1" outlineLevel="1" x14ac:dyDescent="0.15">
      <c r="B39" s="78">
        <v>2029</v>
      </c>
      <c r="C39" s="75">
        <v>8.3322367178555456E-3</v>
      </c>
      <c r="D39" s="75">
        <v>1.6880734828323529E-2</v>
      </c>
      <c r="E39" s="75">
        <v>8.4778585858700239E-3</v>
      </c>
      <c r="F39" s="75">
        <v>1.4828213101899745E-2</v>
      </c>
      <c r="G39" s="75">
        <v>2.3431783181528942E-2</v>
      </c>
      <c r="H39" s="75">
        <v>3.1959259063574219E-2</v>
      </c>
      <c r="J39" s="8">
        <v>2029</v>
      </c>
      <c r="K39" s="10">
        <v>1.1895858014171035E-2</v>
      </c>
      <c r="L39" s="10">
        <v>1.6805834184230317E-2</v>
      </c>
      <c r="M39" s="10">
        <v>4.8522544401903289E-3</v>
      </c>
      <c r="N39" s="10">
        <v>1.5052917489976947E-2</v>
      </c>
      <c r="O39" s="10">
        <v>1.9978212515895599E-2</v>
      </c>
      <c r="P39" s="10">
        <v>3.21117285095327E-2</v>
      </c>
      <c r="Q39" s="10"/>
      <c r="R39" s="19">
        <v>-3.563621296315489E-3</v>
      </c>
      <c r="S39" s="19">
        <v>7.4900644093212065E-5</v>
      </c>
      <c r="T39" s="19">
        <v>3.625604145679695E-3</v>
      </c>
      <c r="U39" s="19">
        <v>-2.247043880772015E-4</v>
      </c>
      <c r="V39" s="19">
        <v>3.4535706656333431E-3</v>
      </c>
      <c r="W39" s="19">
        <v>-1.5246944595848078E-4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07B5-33A3-4826-BF42-C673F319656F}">
  <sheetPr>
    <tabColor theme="7" tint="0.79998168889431442"/>
  </sheetPr>
  <dimension ref="B1:W54"/>
  <sheetViews>
    <sheetView topLeftCell="B1" zoomScale="150" zoomScaleNormal="150" workbookViewId="0">
      <selection activeCell="P57" sqref="P57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38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8934.5596080115483</v>
      </c>
      <c r="D5" s="74">
        <v>5096.6356270846391</v>
      </c>
      <c r="E5" s="75">
        <v>0.5704406093518618</v>
      </c>
      <c r="F5" s="76">
        <v>0</v>
      </c>
      <c r="G5" s="76">
        <v>0</v>
      </c>
      <c r="H5" s="77">
        <v>0</v>
      </c>
      <c r="J5" s="4"/>
      <c r="K5" s="9">
        <v>8934.5596080115483</v>
      </c>
      <c r="L5" s="9">
        <v>5096.6356270846391</v>
      </c>
      <c r="M5" s="20">
        <v>0.5704406093518618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8999.4611715848896</v>
      </c>
      <c r="D6" s="74">
        <v>5200.4000017635399</v>
      </c>
      <c r="E6" s="75">
        <v>0.57785681860414106</v>
      </c>
      <c r="F6" s="76">
        <v>80.199289330435008</v>
      </c>
      <c r="G6" s="76">
        <v>46.343706186798201</v>
      </c>
      <c r="H6" s="77">
        <v>152229960.29703152</v>
      </c>
      <c r="J6" s="4"/>
      <c r="K6" s="9">
        <v>8999.4611715848896</v>
      </c>
      <c r="L6" s="9">
        <v>5200.4000017635399</v>
      </c>
      <c r="M6" s="20">
        <v>0.57785681860414106</v>
      </c>
      <c r="N6" s="11">
        <v>80.199289330435008</v>
      </c>
      <c r="O6" s="11">
        <v>46.343706186798201</v>
      </c>
      <c r="P6" s="12">
        <v>152229960.29703152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8947.5833333333339</v>
      </c>
      <c r="D7" s="74">
        <v>5437.4918714797714</v>
      </c>
      <c r="E7" s="75">
        <v>0.60770508291584557</v>
      </c>
      <c r="F7" s="76">
        <v>83.575390279317531</v>
      </c>
      <c r="G7" s="76">
        <v>50.789189479416812</v>
      </c>
      <c r="H7" s="77">
        <v>165870784.43433157</v>
      </c>
      <c r="J7" s="4"/>
      <c r="K7" s="9">
        <v>8947.5833333333339</v>
      </c>
      <c r="L7" s="9">
        <v>5437.4918714797714</v>
      </c>
      <c r="M7" s="20">
        <v>0.60770508291584557</v>
      </c>
      <c r="N7" s="11">
        <v>83.575390279317531</v>
      </c>
      <c r="O7" s="11">
        <v>50.789189479416812</v>
      </c>
      <c r="P7" s="12">
        <v>165870784.43433157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8950</v>
      </c>
      <c r="D8" s="74">
        <v>5495.3414091296845</v>
      </c>
      <c r="E8" s="75">
        <v>0.6140046267184005</v>
      </c>
      <c r="F8" s="76">
        <v>87.699058860820045</v>
      </c>
      <c r="G8" s="76">
        <v>53.84762789939284</v>
      </c>
      <c r="H8" s="77">
        <v>175906738.44034156</v>
      </c>
      <c r="J8" s="4"/>
      <c r="K8" s="9">
        <v>8950</v>
      </c>
      <c r="L8" s="9">
        <v>5495.3414091296845</v>
      </c>
      <c r="M8" s="20">
        <v>0.6140046267184005</v>
      </c>
      <c r="N8" s="11">
        <v>87.699058860820045</v>
      </c>
      <c r="O8" s="11">
        <v>53.84762789939284</v>
      </c>
      <c r="P8" s="12">
        <v>175906738.44034156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8888.4166666666661</v>
      </c>
      <c r="D9" s="74">
        <v>5694.5103494623609</v>
      </c>
      <c r="E9" s="75">
        <v>0.64066644971965703</v>
      </c>
      <c r="F9" s="76">
        <v>91.861885791267184</v>
      </c>
      <c r="G9" s="76">
        <v>58.852828234443749</v>
      </c>
      <c r="H9" s="77">
        <v>190934587.66621763</v>
      </c>
      <c r="J9" s="4"/>
      <c r="K9" s="9">
        <v>8888.4166666666661</v>
      </c>
      <c r="L9" s="9">
        <v>5694.5103494623609</v>
      </c>
      <c r="M9" s="20">
        <v>0.64066644971965703</v>
      </c>
      <c r="N9" s="11">
        <v>91.861885791267184</v>
      </c>
      <c r="O9" s="11">
        <v>58.852828234443749</v>
      </c>
      <c r="P9" s="12">
        <v>190934587.66621763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9007.5</v>
      </c>
      <c r="D10" s="74">
        <v>6023.790905017916</v>
      </c>
      <c r="E10" s="75">
        <v>0.66875280655208613</v>
      </c>
      <c r="F10" s="76">
        <v>96.17594593726561</v>
      </c>
      <c r="G10" s="76">
        <v>64.317933768348084</v>
      </c>
      <c r="H10" s="77">
        <v>211460482.77271429</v>
      </c>
      <c r="J10" s="4"/>
      <c r="K10" s="9">
        <v>9007.5</v>
      </c>
      <c r="L10" s="9">
        <v>6023.790905017916</v>
      </c>
      <c r="M10" s="20">
        <v>0.66875280655208613</v>
      </c>
      <c r="N10" s="11">
        <v>96.17594593726561</v>
      </c>
      <c r="O10" s="11">
        <v>64.317933768348084</v>
      </c>
      <c r="P10" s="12">
        <v>211460482.77271429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9225.25</v>
      </c>
      <c r="D11" s="74">
        <v>6490.1335838333325</v>
      </c>
      <c r="E11" s="75">
        <v>0.70351845032203275</v>
      </c>
      <c r="F11" s="76">
        <v>96.937905612213925</v>
      </c>
      <c r="G11" s="76">
        <v>68.197605133768221</v>
      </c>
      <c r="H11" s="77">
        <v>229636084.21750778</v>
      </c>
      <c r="J11" s="8">
        <v>2019</v>
      </c>
      <c r="K11" s="9">
        <v>9225.25</v>
      </c>
      <c r="L11" s="9">
        <v>6490.1335838333325</v>
      </c>
      <c r="M11" s="20">
        <v>0.70351845032203275</v>
      </c>
      <c r="N11" s="11">
        <v>96.937905612213925</v>
      </c>
      <c r="O11" s="11">
        <v>68.197605133768221</v>
      </c>
      <c r="P11" s="12">
        <v>229636084.21750778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9310.5</v>
      </c>
      <c r="D12" s="74">
        <v>5326.6411754166666</v>
      </c>
      <c r="E12" s="75">
        <v>0.57211118365465508</v>
      </c>
      <c r="F12" s="76">
        <v>96.253682532823603</v>
      </c>
      <c r="G12" s="76">
        <v>55.067808244973115</v>
      </c>
      <c r="H12" s="77">
        <v>187138722.4626601</v>
      </c>
      <c r="J12" s="8">
        <v>2020</v>
      </c>
      <c r="K12" s="9">
        <v>9310.5</v>
      </c>
      <c r="L12" s="9">
        <v>5326.6411754166666</v>
      </c>
      <c r="M12" s="20">
        <v>0.57211118365465508</v>
      </c>
      <c r="N12" s="11">
        <v>96.253682532823603</v>
      </c>
      <c r="O12" s="11">
        <v>55.067808244973115</v>
      </c>
      <c r="P12" s="12">
        <v>187138722.4626601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9397.3333333333339</v>
      </c>
      <c r="D13" s="74">
        <v>6482.3765158351207</v>
      </c>
      <c r="E13" s="75">
        <v>0.68981021380197793</v>
      </c>
      <c r="F13" s="76">
        <v>112.80874162110894</v>
      </c>
      <c r="G13" s="76">
        <v>77.816622176389231</v>
      </c>
      <c r="H13" s="77">
        <v>266913089.17493981</v>
      </c>
      <c r="J13" s="8">
        <v>2021</v>
      </c>
      <c r="K13" s="9">
        <v>9397.3333333333339</v>
      </c>
      <c r="L13" s="9">
        <v>6482.3765158351207</v>
      </c>
      <c r="M13" s="20">
        <v>0.68981021380197793</v>
      </c>
      <c r="N13" s="11">
        <v>112.80874162110894</v>
      </c>
      <c r="O13" s="11">
        <v>77.816622176389231</v>
      </c>
      <c r="P13" s="12">
        <v>266913089.17493981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9497.3333333333339</v>
      </c>
      <c r="D14" s="74">
        <v>5715.7257872503787</v>
      </c>
      <c r="E14" s="75">
        <v>0.60182427915734715</v>
      </c>
      <c r="F14" s="76">
        <v>119.44743072784284</v>
      </c>
      <c r="G14" s="76">
        <v>71.886363894981173</v>
      </c>
      <c r="H14" s="77">
        <v>249195997.41165614</v>
      </c>
      <c r="J14" s="8">
        <v>2022</v>
      </c>
      <c r="K14" s="9">
        <v>9497.3333333333339</v>
      </c>
      <c r="L14" s="9">
        <v>5715.7257872503787</v>
      </c>
      <c r="M14" s="20">
        <v>0.60182427915734715</v>
      </c>
      <c r="N14" s="11">
        <v>119.44743072784284</v>
      </c>
      <c r="O14" s="11">
        <v>71.886363894981173</v>
      </c>
      <c r="P14" s="12">
        <v>249195997.41165614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9583.0349462365593</v>
      </c>
      <c r="D15" s="74">
        <v>5270.2036966610058</v>
      </c>
      <c r="E15" s="75">
        <v>0.54995142209417858</v>
      </c>
      <c r="F15" s="76">
        <v>117.9789232160835</v>
      </c>
      <c r="G15" s="76">
        <v>64.882676599825018</v>
      </c>
      <c r="H15" s="77">
        <v>226947129.4004432</v>
      </c>
      <c r="J15" s="8">
        <v>2023</v>
      </c>
      <c r="K15" s="9">
        <v>9583.0349462365593</v>
      </c>
      <c r="L15" s="9">
        <v>5270.2036966610058</v>
      </c>
      <c r="M15" s="20">
        <v>0.54995142209417858</v>
      </c>
      <c r="N15" s="11">
        <v>117.9789232160835</v>
      </c>
      <c r="O15" s="11">
        <v>64.882676599825018</v>
      </c>
      <c r="P15" s="12">
        <v>226947129.4004432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9808.6666666666661</v>
      </c>
      <c r="D16" s="74">
        <v>5428.2784946236561</v>
      </c>
      <c r="E16" s="75">
        <v>0.55341655284003843</v>
      </c>
      <c r="F16" s="76">
        <v>116.12231529733566</v>
      </c>
      <c r="G16" s="76">
        <v>64.264011439655562</v>
      </c>
      <c r="H16" s="77">
        <v>230075657.40916869</v>
      </c>
      <c r="J16" s="8">
        <v>2024</v>
      </c>
      <c r="K16" s="9">
        <v>9808.6666666666661</v>
      </c>
      <c r="L16" s="9">
        <v>5428.2784946236561</v>
      </c>
      <c r="M16" s="20">
        <v>0.55341655284003843</v>
      </c>
      <c r="N16" s="11">
        <v>116.12231529733566</v>
      </c>
      <c r="O16" s="11">
        <v>64.264011439655562</v>
      </c>
      <c r="P16" s="12">
        <v>230075657.40916869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10055.916666666666</v>
      </c>
      <c r="D17" s="74">
        <v>5475.1142574464839</v>
      </c>
      <c r="E17" s="75">
        <v>0.54446694806007911</v>
      </c>
      <c r="F17" s="76">
        <v>116.40079775011075</v>
      </c>
      <c r="G17" s="76">
        <v>63.376387102761328</v>
      </c>
      <c r="H17" s="77">
        <v>232617298.57901821</v>
      </c>
      <c r="J17" s="8">
        <v>2025</v>
      </c>
      <c r="K17" s="9">
        <v>10055.916666666666</v>
      </c>
      <c r="L17" s="9">
        <v>5475.1142574464839</v>
      </c>
      <c r="M17" s="20">
        <v>0.54446694806007911</v>
      </c>
      <c r="N17" s="11">
        <v>116.40079775011075</v>
      </c>
      <c r="O17" s="11">
        <v>63.376387102761328</v>
      </c>
      <c r="P17" s="12">
        <v>232617298.57901821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10157.125</v>
      </c>
      <c r="D18" s="74">
        <v>5576.1120077951973</v>
      </c>
      <c r="E18" s="75">
        <v>0.54898526972890427</v>
      </c>
      <c r="F18" s="76">
        <v>116.09882196795103</v>
      </c>
      <c r="G18" s="76">
        <v>63.736543093283636</v>
      </c>
      <c r="H18" s="77">
        <v>236293712.87222451</v>
      </c>
      <c r="J18" s="8">
        <v>2026</v>
      </c>
      <c r="K18" s="9">
        <v>10157.208333333334</v>
      </c>
      <c r="L18" s="9">
        <v>5644.2944635378626</v>
      </c>
      <c r="M18" s="20">
        <v>0.55569348174288657</v>
      </c>
      <c r="N18" s="11">
        <v>117.2056260479856</v>
      </c>
      <c r="O18" s="11">
        <v>65.13040241845988</v>
      </c>
      <c r="P18" s="12">
        <v>241463219.16231897</v>
      </c>
      <c r="Q18" s="9"/>
      <c r="R18" s="22">
        <v>-8.3333333333939663E-2</v>
      </c>
      <c r="S18" s="22">
        <v>-68.182455742665297</v>
      </c>
      <c r="T18" s="21">
        <v>-6.7082120139823065E-3</v>
      </c>
      <c r="U18" s="23">
        <v>-1.1068040800345784</v>
      </c>
      <c r="V18" s="23">
        <v>-1.3938593251762441</v>
      </c>
      <c r="W18" s="24">
        <v>-5169506.290094465</v>
      </c>
    </row>
    <row r="19" spans="2:23" s="5" customFormat="1" outlineLevel="1" x14ac:dyDescent="0.15">
      <c r="B19" s="78">
        <v>2027</v>
      </c>
      <c r="C19" s="74">
        <v>10240</v>
      </c>
      <c r="D19" s="74">
        <v>5640.1647489054058</v>
      </c>
      <c r="E19" s="75">
        <v>0.55079733876029358</v>
      </c>
      <c r="F19" s="76">
        <v>117.73065747340975</v>
      </c>
      <c r="G19" s="76">
        <v>64.845732826853748</v>
      </c>
      <c r="H19" s="77">
        <v>242367411.01364857</v>
      </c>
      <c r="J19" s="8">
        <v>2027</v>
      </c>
      <c r="K19" s="9">
        <v>10285.6</v>
      </c>
      <c r="L19" s="9">
        <v>5689.7547394629955</v>
      </c>
      <c r="M19" s="20">
        <v>0.55317674607830314</v>
      </c>
      <c r="N19" s="11">
        <v>118.37401102697567</v>
      </c>
      <c r="O19" s="11">
        <v>65.481750240139576</v>
      </c>
      <c r="P19" s="12">
        <v>245834467.94854259</v>
      </c>
      <c r="Q19" s="9"/>
      <c r="R19" s="22">
        <v>-45.600000000000364</v>
      </c>
      <c r="S19" s="22">
        <v>-49.589990557589772</v>
      </c>
      <c r="T19" s="21">
        <v>-2.3794073180095632E-3</v>
      </c>
      <c r="U19" s="23">
        <v>-0.64335355356591606</v>
      </c>
      <c r="V19" s="23">
        <v>-0.63601741328582762</v>
      </c>
      <c r="W19" s="24">
        <v>-3467056.9348940253</v>
      </c>
    </row>
    <row r="20" spans="2:23" s="5" customFormat="1" outlineLevel="1" x14ac:dyDescent="0.15">
      <c r="B20" s="78">
        <v>2028</v>
      </c>
      <c r="C20" s="74">
        <v>10380.246779522269</v>
      </c>
      <c r="D20" s="74">
        <v>5710.0435732288252</v>
      </c>
      <c r="E20" s="75">
        <v>0.55008745885438559</v>
      </c>
      <c r="F20" s="76">
        <v>119.22277620449799</v>
      </c>
      <c r="G20" s="76">
        <v>65.582953999897413</v>
      </c>
      <c r="H20" s="77">
        <v>248480045.17288214</v>
      </c>
      <c r="J20" s="8">
        <v>2028</v>
      </c>
      <c r="K20" s="9">
        <v>10449.516980563145</v>
      </c>
      <c r="L20" s="9">
        <v>5773.1359061494677</v>
      </c>
      <c r="M20" s="20">
        <v>0.55247873340824427</v>
      </c>
      <c r="N20" s="11">
        <v>119.95360024483328</v>
      </c>
      <c r="O20" s="11">
        <v>66.271813131024359</v>
      </c>
      <c r="P20" s="12">
        <v>252765579.37555149</v>
      </c>
      <c r="Q20" s="9"/>
      <c r="R20" s="22">
        <v>-69.270201040875691</v>
      </c>
      <c r="S20" s="22">
        <v>-63.092332920642548</v>
      </c>
      <c r="T20" s="21">
        <v>-2.3912745538586799E-3</v>
      </c>
      <c r="U20" s="23">
        <v>-0.73082404033529258</v>
      </c>
      <c r="V20" s="23">
        <v>-0.68885913112694652</v>
      </c>
      <c r="W20" s="24">
        <v>-4285534.2026693523</v>
      </c>
    </row>
    <row r="21" spans="2:23" s="5" customFormat="1" outlineLevel="1" x14ac:dyDescent="0.15">
      <c r="B21" s="78">
        <v>2029</v>
      </c>
      <c r="C21" s="74">
        <v>10579.88645434012</v>
      </c>
      <c r="D21" s="74">
        <v>5790.2428777579235</v>
      </c>
      <c r="E21" s="75">
        <v>0.54728780906553387</v>
      </c>
      <c r="F21" s="76">
        <v>120.94362058171164</v>
      </c>
      <c r="G21" s="76">
        <v>66.190969128618178</v>
      </c>
      <c r="H21" s="77">
        <v>255606922.25448206</v>
      </c>
      <c r="J21" s="8">
        <v>2029</v>
      </c>
      <c r="K21" s="9">
        <v>10650.488905057144</v>
      </c>
      <c r="L21" s="9">
        <v>5854.5563632985641</v>
      </c>
      <c r="M21" s="20">
        <v>0.54969836741660383</v>
      </c>
      <c r="N21" s="11">
        <v>121.65794436927595</v>
      </c>
      <c r="O21" s="11">
        <v>66.875173403050994</v>
      </c>
      <c r="P21" s="12">
        <v>259972451.70883304</v>
      </c>
      <c r="Q21" s="9"/>
      <c r="R21" s="22">
        <v>-70.602450717024112</v>
      </c>
      <c r="S21" s="22">
        <v>-64.313485540640613</v>
      </c>
      <c r="T21" s="21">
        <v>-2.410558351069958E-3</v>
      </c>
      <c r="U21" s="23">
        <v>-0.71432378756431092</v>
      </c>
      <c r="V21" s="23">
        <v>-0.6842042744328154</v>
      </c>
      <c r="W21" s="24">
        <v>-4365529.4543509781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7.264103259789545E-3</v>
      </c>
      <c r="D24" s="75">
        <v>2.035938651911362E-2</v>
      </c>
      <c r="E24" s="75">
        <v>1.3000843787586591E-2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-5.7645493727286334E-3</v>
      </c>
      <c r="D25" s="75">
        <v>4.5591083308174296E-2</v>
      </c>
      <c r="E25" s="75">
        <v>5.1653391204771637E-2</v>
      </c>
      <c r="F25" s="75">
        <v>4.2096394831784512E-2</v>
      </c>
      <c r="G25" s="75">
        <v>9.5924207587113175E-2</v>
      </c>
      <c r="H25" s="75">
        <v>8.9606698383708716E-2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2.7009155172241783E-4</v>
      </c>
      <c r="D26" s="75">
        <v>1.0639011334129922E-2</v>
      </c>
      <c r="E26" s="75">
        <v>1.0366119980976585E-2</v>
      </c>
      <c r="F26" s="75">
        <v>4.9340703856970203E-2</v>
      </c>
      <c r="G26" s="75">
        <v>6.0218295494073759E-2</v>
      </c>
      <c r="H26" s="75">
        <v>6.050465149866846E-2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-6.8808193668529194E-3</v>
      </c>
      <c r="D27" s="75">
        <v>3.6243233223287374E-2</v>
      </c>
      <c r="E27" s="75">
        <v>4.3422837289928795E-2</v>
      </c>
      <c r="F27" s="75">
        <v>4.7467179061221332E-2</v>
      </c>
      <c r="G27" s="75">
        <v>9.2951175944137487E-2</v>
      </c>
      <c r="H27" s="75">
        <v>8.5430776325676305E-2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1.339758674679592E-2</v>
      </c>
      <c r="D28" s="75">
        <v>5.7824208816591893E-2</v>
      </c>
      <c r="E28" s="75">
        <v>4.3839281493075033E-2</v>
      </c>
      <c r="F28" s="75">
        <v>4.6962460097989212E-2</v>
      </c>
      <c r="G28" s="75">
        <v>9.2860542098907484E-2</v>
      </c>
      <c r="H28" s="75">
        <v>0.10750223601382802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2.4174299195115267E-2</v>
      </c>
      <c r="D29" s="75">
        <v>7.741681047178206E-2</v>
      </c>
      <c r="E29" s="75">
        <v>5.1985791206154541E-2</v>
      </c>
      <c r="F29" s="75">
        <v>7.9225597161822758E-3</v>
      </c>
      <c r="G29" s="75">
        <v>6.0320211457560724E-2</v>
      </c>
      <c r="H29" s="75">
        <v>8.5952709491963653E-2</v>
      </c>
      <c r="J29" s="8">
        <v>2019</v>
      </c>
      <c r="K29" s="10">
        <v>2.4174299195115267E-2</v>
      </c>
      <c r="L29" s="10">
        <v>7.741681047178206E-2</v>
      </c>
      <c r="M29" s="10">
        <v>5.1985791206154541E-2</v>
      </c>
      <c r="N29" s="10">
        <v>7.9225597161822758E-3</v>
      </c>
      <c r="O29" s="10">
        <v>6.0320211457560724E-2</v>
      </c>
      <c r="P29" s="10">
        <v>8.5952709491963653E-2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9.2409419798922254E-3</v>
      </c>
      <c r="D30" s="75">
        <v>-0.1792709492628749</v>
      </c>
      <c r="E30" s="75">
        <v>-0.18678581436951158</v>
      </c>
      <c r="F30" s="75">
        <v>-7.0583645795635475E-3</v>
      </c>
      <c r="G30" s="75">
        <v>-0.19252577657296432</v>
      </c>
      <c r="H30" s="75">
        <v>-0.18506395412401666</v>
      </c>
      <c r="J30" s="8">
        <v>2020</v>
      </c>
      <c r="K30" s="10">
        <v>9.2409419798922254E-3</v>
      </c>
      <c r="L30" s="10">
        <v>-0.1792709492628749</v>
      </c>
      <c r="M30" s="10">
        <v>-0.18678581436951158</v>
      </c>
      <c r="N30" s="10">
        <v>-7.0583645795635475E-3</v>
      </c>
      <c r="O30" s="10">
        <v>-0.19252577657296432</v>
      </c>
      <c r="P30" s="10">
        <v>-0.18506395412401666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9.3263877700804354E-3</v>
      </c>
      <c r="D31" s="75">
        <v>0.21697262915932169</v>
      </c>
      <c r="E31" s="75">
        <v>0.20572754651545111</v>
      </c>
      <c r="F31" s="75">
        <v>0.171994033398565</v>
      </c>
      <c r="G31" s="75">
        <v>0.41310549042039901</v>
      </c>
      <c r="H31" s="75">
        <v>0.4262846601840895</v>
      </c>
      <c r="J31" s="8">
        <v>2021</v>
      </c>
      <c r="K31" s="10">
        <v>9.3263877700804354E-3</v>
      </c>
      <c r="L31" s="10">
        <v>0.21697262915932169</v>
      </c>
      <c r="M31" s="10">
        <v>0.20572754651545111</v>
      </c>
      <c r="N31" s="10">
        <v>0.171994033398565</v>
      </c>
      <c r="O31" s="10">
        <v>0.41310549042039901</v>
      </c>
      <c r="P31" s="10">
        <v>0.4262846601840895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1.0641316685584545E-2</v>
      </c>
      <c r="D32" s="75">
        <v>-0.11826692366788183</v>
      </c>
      <c r="E32" s="75">
        <v>-0.12755093050838573</v>
      </c>
      <c r="F32" s="75">
        <v>5.8849066227786517E-2</v>
      </c>
      <c r="G32" s="75">
        <v>-7.6208117437502887E-2</v>
      </c>
      <c r="H32" s="75">
        <v>-6.6377755463582933E-2</v>
      </c>
      <c r="J32" s="8">
        <v>2022</v>
      </c>
      <c r="K32" s="10">
        <v>1.0641316685584545E-2</v>
      </c>
      <c r="L32" s="10">
        <v>-0.11826692366788183</v>
      </c>
      <c r="M32" s="10">
        <v>-0.12755093050838573</v>
      </c>
      <c r="N32" s="10">
        <v>5.8849066227786517E-2</v>
      </c>
      <c r="O32" s="10">
        <v>-7.6208117437502887E-2</v>
      </c>
      <c r="P32" s="10">
        <v>-6.6377755463582933E-2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9.0237553948362415E-3</v>
      </c>
      <c r="D33" s="75">
        <v>-7.7946722283837366E-2</v>
      </c>
      <c r="E33" s="75">
        <v>-8.6192695874282577E-2</v>
      </c>
      <c r="F33" s="75">
        <v>-1.2294174121712964E-2</v>
      </c>
      <c r="G33" s="75">
        <v>-9.7427201984897183E-2</v>
      </c>
      <c r="H33" s="75">
        <v>-8.9282605829576034E-2</v>
      </c>
      <c r="J33" s="8">
        <v>2023</v>
      </c>
      <c r="K33" s="10">
        <v>9.0237553948362415E-3</v>
      </c>
      <c r="L33" s="10">
        <v>-7.7946722283837366E-2</v>
      </c>
      <c r="M33" s="10">
        <v>-8.6192695874282577E-2</v>
      </c>
      <c r="N33" s="10">
        <v>-1.2294174121712964E-2</v>
      </c>
      <c r="O33" s="10">
        <v>-9.7427201984897183E-2</v>
      </c>
      <c r="P33" s="10">
        <v>-8.9282605829576034E-2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2.3544912618597591E-2</v>
      </c>
      <c r="D34" s="75">
        <v>2.999405849584158E-2</v>
      </c>
      <c r="E34" s="75">
        <v>6.3007942277244489E-3</v>
      </c>
      <c r="F34" s="75">
        <v>-1.5736776265938501E-2</v>
      </c>
      <c r="G34" s="75">
        <v>-9.5351362272734219E-3</v>
      </c>
      <c r="H34" s="75">
        <v>1.3785272442046415E-2</v>
      </c>
      <c r="J34" s="8">
        <v>2024</v>
      </c>
      <c r="K34" s="10">
        <v>2.3544912618597591E-2</v>
      </c>
      <c r="L34" s="10">
        <v>2.999405849584158E-2</v>
      </c>
      <c r="M34" s="10">
        <v>6.3007942277244489E-3</v>
      </c>
      <c r="N34" s="10">
        <v>-1.5736776265938501E-2</v>
      </c>
      <c r="O34" s="10">
        <v>-9.5351362272734219E-3</v>
      </c>
      <c r="P34" s="10">
        <v>1.3785272442046415E-2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2.5207299666961225E-2</v>
      </c>
      <c r="D35" s="75">
        <v>8.6281061056863173E-3</v>
      </c>
      <c r="E35" s="75">
        <v>-1.6171552393999589E-2</v>
      </c>
      <c r="F35" s="75">
        <v>2.3981820553786726E-3</v>
      </c>
      <c r="G35" s="75">
        <v>-1.3812152665379718E-2</v>
      </c>
      <c r="H35" s="75">
        <v>1.1046979930299239E-2</v>
      </c>
      <c r="J35" s="8">
        <v>2025</v>
      </c>
      <c r="K35" s="10">
        <v>2.5207299666961225E-2</v>
      </c>
      <c r="L35" s="10">
        <v>8.6281061056863173E-3</v>
      </c>
      <c r="M35" s="10">
        <v>-1.6171552393999589E-2</v>
      </c>
      <c r="N35" s="10">
        <v>2.3981820553786726E-3</v>
      </c>
      <c r="O35" s="10">
        <v>-1.3812152665379718E-2</v>
      </c>
      <c r="P35" s="10">
        <v>1.1046979930299239E-2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1.0064555692751442E-2</v>
      </c>
      <c r="D36" s="75">
        <v>1.8446692726339142E-2</v>
      </c>
      <c r="E36" s="75">
        <v>8.2986151591457613E-3</v>
      </c>
      <c r="F36" s="75">
        <v>-2.5942758812358413E-3</v>
      </c>
      <c r="G36" s="75">
        <v>5.6828103807549102E-3</v>
      </c>
      <c r="H36" s="75">
        <v>1.5804561035074771E-2</v>
      </c>
      <c r="J36" s="8">
        <v>2026</v>
      </c>
      <c r="K36" s="10">
        <v>1.007284268796993E-2</v>
      </c>
      <c r="L36" s="10">
        <v>3.0899849416162084E-2</v>
      </c>
      <c r="M36" s="10">
        <v>2.061931164565145E-2</v>
      </c>
      <c r="N36" s="10">
        <v>6.9142850687557988E-3</v>
      </c>
      <c r="O36" s="10">
        <v>2.7676164513046775E-2</v>
      </c>
      <c r="P36" s="10">
        <v>3.8027784852362911E-2</v>
      </c>
      <c r="Q36" s="10"/>
      <c r="R36" s="19">
        <v>-8.286995218487192E-6</v>
      </c>
      <c r="S36" s="19">
        <v>-1.2453156689822942E-2</v>
      </c>
      <c r="T36" s="19">
        <v>-1.2320696486505689E-2</v>
      </c>
      <c r="U36" s="19">
        <v>-9.5085609499916401E-3</v>
      </c>
      <c r="V36" s="19">
        <v>-2.1993354132291865E-2</v>
      </c>
      <c r="W36" s="19">
        <v>-2.222322381728814E-2</v>
      </c>
    </row>
    <row r="37" spans="2:23" s="5" customFormat="1" outlineLevel="1" x14ac:dyDescent="0.15">
      <c r="B37" s="78">
        <v>2027</v>
      </c>
      <c r="C37" s="75">
        <v>8.1592970451775937E-3</v>
      </c>
      <c r="D37" s="75">
        <v>1.1486989683970661E-2</v>
      </c>
      <c r="E37" s="75">
        <v>3.3007607513479975E-3</v>
      </c>
      <c r="F37" s="75">
        <v>1.405557332794638E-2</v>
      </c>
      <c r="G37" s="75">
        <v>1.7402728164072512E-2</v>
      </c>
      <c r="H37" s="75">
        <v>2.5704019237737352E-2</v>
      </c>
      <c r="J37" s="8">
        <v>2027</v>
      </c>
      <c r="K37" s="10">
        <v>1.264044828590527E-2</v>
      </c>
      <c r="L37" s="10">
        <v>8.0541999037799794E-3</v>
      </c>
      <c r="M37" s="10">
        <v>-4.5289997944368832E-3</v>
      </c>
      <c r="N37" s="10">
        <v>9.9686765762567742E-3</v>
      </c>
      <c r="O37" s="10">
        <v>5.3945286476553278E-3</v>
      </c>
      <c r="P37" s="10">
        <v>1.8103166193958131E-2</v>
      </c>
      <c r="Q37" s="10"/>
      <c r="R37" s="19">
        <v>-4.4811512407276766E-3</v>
      </c>
      <c r="S37" s="19">
        <v>3.4327897801906815E-3</v>
      </c>
      <c r="T37" s="19">
        <v>7.8297605457848807E-3</v>
      </c>
      <c r="U37" s="19">
        <v>4.086896751689606E-3</v>
      </c>
      <c r="V37" s="19">
        <v>1.2008199516417184E-2</v>
      </c>
      <c r="W37" s="19">
        <v>7.600853043779221E-3</v>
      </c>
    </row>
    <row r="38" spans="2:23" s="5" customFormat="1" outlineLevel="1" x14ac:dyDescent="0.15">
      <c r="B38" s="78">
        <v>2028</v>
      </c>
      <c r="C38" s="75">
        <v>1.3695974562721647E-2</v>
      </c>
      <c r="D38" s="75">
        <v>1.2389500561482913E-2</v>
      </c>
      <c r="E38" s="75">
        <v>-1.2888223234805984E-3</v>
      </c>
      <c r="F38" s="75">
        <v>1.2674003213013929E-2</v>
      </c>
      <c r="G38" s="75">
        <v>1.1368846351264672E-2</v>
      </c>
      <c r="H38" s="75">
        <v>2.5220528344420678E-2</v>
      </c>
      <c r="J38" s="8">
        <v>2028</v>
      </c>
      <c r="K38" s="10">
        <v>1.5936550183085485E-2</v>
      </c>
      <c r="L38" s="10">
        <v>1.4654615269821258E-2</v>
      </c>
      <c r="M38" s="10">
        <v>-1.2618257636594077E-3</v>
      </c>
      <c r="N38" s="10">
        <v>1.3344054190219667E-2</v>
      </c>
      <c r="O38" s="10">
        <v>1.2065390555191513E-2</v>
      </c>
      <c r="P38" s="10">
        <v>2.8194221440338119E-2</v>
      </c>
      <c r="Q38" s="10"/>
      <c r="R38" s="19">
        <v>-2.2405756203638383E-3</v>
      </c>
      <c r="S38" s="19">
        <v>-2.2651147083383449E-3</v>
      </c>
      <c r="T38" s="19">
        <v>-2.6996559821190758E-5</v>
      </c>
      <c r="U38" s="19">
        <v>-6.7005097720573836E-4</v>
      </c>
      <c r="V38" s="19">
        <v>-6.9654420392684102E-4</v>
      </c>
      <c r="W38" s="19">
        <v>-2.9736930959174401E-3</v>
      </c>
    </row>
    <row r="39" spans="2:23" s="5" customFormat="1" outlineLevel="1" x14ac:dyDescent="0.15">
      <c r="B39" s="78">
        <v>2029</v>
      </c>
      <c r="C39" s="75">
        <v>1.92326520802657E-2</v>
      </c>
      <c r="D39" s="75">
        <v>1.404530517159408E-2</v>
      </c>
      <c r="E39" s="75">
        <v>-5.0894630368092386E-3</v>
      </c>
      <c r="F39" s="75">
        <v>1.4433855945964247E-2</v>
      </c>
      <c r="G39" s="75">
        <v>9.2709323328392657E-3</v>
      </c>
      <c r="H39" s="75">
        <v>2.8681889029122276E-2</v>
      </c>
      <c r="J39" s="8">
        <v>2029</v>
      </c>
      <c r="K39" s="10">
        <v>1.92326520802657E-2</v>
      </c>
      <c r="L39" s="10">
        <v>1.4103332828587778E-2</v>
      </c>
      <c r="M39" s="10">
        <v>-5.0325303464413551E-3</v>
      </c>
      <c r="N39" s="10">
        <v>1.4208361574508777E-2</v>
      </c>
      <c r="O39" s="10">
        <v>9.1043272172701695E-3</v>
      </c>
      <c r="P39" s="10">
        <v>2.8512079655330647E-2</v>
      </c>
      <c r="Q39" s="10"/>
      <c r="R39" s="19">
        <v>0</v>
      </c>
      <c r="S39" s="19">
        <v>-5.8027656993697718E-5</v>
      </c>
      <c r="T39" s="19">
        <v>-5.6932690367883509E-5</v>
      </c>
      <c r="U39" s="19">
        <v>2.2549437145547024E-4</v>
      </c>
      <c r="V39" s="19">
        <v>1.6660511556909618E-4</v>
      </c>
      <c r="W39" s="19">
        <v>1.6980937379162953E-4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0F61-856D-4821-9D39-FF981B6EE3EF}">
  <sheetPr>
    <tabColor theme="7" tint="0.79998168889431442"/>
  </sheetPr>
  <dimension ref="B1:W54"/>
  <sheetViews>
    <sheetView zoomScale="150" zoomScaleNormal="150" workbookViewId="0">
      <selection activeCell="P57" sqref="P57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39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58780.900177760806</v>
      </c>
      <c r="D5" s="74">
        <v>42991.115948238679</v>
      </c>
      <c r="E5" s="75">
        <v>0.73137899927065009</v>
      </c>
      <c r="F5" s="76">
        <v>0</v>
      </c>
      <c r="G5" s="76">
        <v>0</v>
      </c>
      <c r="H5" s="77">
        <v>0</v>
      </c>
      <c r="J5" s="4"/>
      <c r="K5" s="9">
        <v>58780.900177760806</v>
      </c>
      <c r="L5" s="9">
        <v>42991.115948238679</v>
      </c>
      <c r="M5" s="20">
        <v>0.73137899927065009</v>
      </c>
      <c r="N5" s="11">
        <v>0</v>
      </c>
      <c r="O5" s="11">
        <v>0</v>
      </c>
      <c r="P5" s="12">
        <v>0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59401.398307999712</v>
      </c>
      <c r="D6" s="74">
        <v>44309.629440519529</v>
      </c>
      <c r="E6" s="75">
        <v>0.74593579785397501</v>
      </c>
      <c r="F6" s="76">
        <v>142.28550603666321</v>
      </c>
      <c r="G6" s="76">
        <v>106.13585246851495</v>
      </c>
      <c r="H6" s="77">
        <v>2301185587.2430935</v>
      </c>
      <c r="J6" s="4"/>
      <c r="K6" s="9">
        <v>59401.398307999712</v>
      </c>
      <c r="L6" s="9">
        <v>44309.629440519529</v>
      </c>
      <c r="M6" s="20">
        <v>0.74593579785397501</v>
      </c>
      <c r="N6" s="11">
        <v>142.28550603666321</v>
      </c>
      <c r="O6" s="11">
        <v>106.13585246851495</v>
      </c>
      <c r="P6" s="12">
        <v>2301185587.2430935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60089.5</v>
      </c>
      <c r="D7" s="74">
        <v>45941.78382616485</v>
      </c>
      <c r="E7" s="75">
        <v>0.76455593450045101</v>
      </c>
      <c r="F7" s="76">
        <v>150.82960595860962</v>
      </c>
      <c r="G7" s="76">
        <v>115.31767033401957</v>
      </c>
      <c r="H7" s="77">
        <v>2529224120.3106651</v>
      </c>
      <c r="J7" s="4"/>
      <c r="K7" s="9">
        <v>60089.5</v>
      </c>
      <c r="L7" s="9">
        <v>45941.78382616485</v>
      </c>
      <c r="M7" s="20">
        <v>0.76455593450045101</v>
      </c>
      <c r="N7" s="11">
        <v>150.82960595860962</v>
      </c>
      <c r="O7" s="11">
        <v>115.31767033401957</v>
      </c>
      <c r="P7" s="12">
        <v>2529224120.3106651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60881.916666666664</v>
      </c>
      <c r="D8" s="74">
        <v>46945.968570255493</v>
      </c>
      <c r="E8" s="75">
        <v>0.77109872915612043</v>
      </c>
      <c r="F8" s="76">
        <v>155.06519272304246</v>
      </c>
      <c r="G8" s="76">
        <v>119.57057304508693</v>
      </c>
      <c r="H8" s="77">
        <v>2657085267.329545</v>
      </c>
      <c r="J8" s="4"/>
      <c r="K8" s="9">
        <v>60881.916666666664</v>
      </c>
      <c r="L8" s="9">
        <v>46945.968570255493</v>
      </c>
      <c r="M8" s="20">
        <v>0.77109872915612043</v>
      </c>
      <c r="N8" s="11">
        <v>155.06519272304246</v>
      </c>
      <c r="O8" s="11">
        <v>119.57057304508693</v>
      </c>
      <c r="P8" s="12">
        <v>2657085267.329545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61224.583333333336</v>
      </c>
      <c r="D9" s="74">
        <v>47346.30161778356</v>
      </c>
      <c r="E9" s="75">
        <v>0.77332174496002104</v>
      </c>
      <c r="F9" s="76">
        <v>160.19086806588984</v>
      </c>
      <c r="G9" s="76">
        <v>123.87908161937445</v>
      </c>
      <c r="H9" s="77">
        <v>2768322481.8897004</v>
      </c>
      <c r="J9" s="4"/>
      <c r="K9" s="9">
        <v>61224.583333333336</v>
      </c>
      <c r="L9" s="9">
        <v>47346.30161778356</v>
      </c>
      <c r="M9" s="20">
        <v>0.77332174496002104</v>
      </c>
      <c r="N9" s="11">
        <v>160.19086806588984</v>
      </c>
      <c r="O9" s="11">
        <v>123.87908161937445</v>
      </c>
      <c r="P9" s="12">
        <v>2768322481.8897004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61552</v>
      </c>
      <c r="D10" s="74">
        <v>48570.580216333801</v>
      </c>
      <c r="E10" s="75">
        <v>0.78909832688350989</v>
      </c>
      <c r="F10" s="76">
        <v>166.42328675895968</v>
      </c>
      <c r="G10" s="76">
        <v>131.32433713594966</v>
      </c>
      <c r="H10" s="77">
        <v>2950395593.7780704</v>
      </c>
      <c r="J10" s="4"/>
      <c r="K10" s="9">
        <v>61552</v>
      </c>
      <c r="L10" s="9">
        <v>48570.580216333801</v>
      </c>
      <c r="M10" s="20">
        <v>0.78909832688350989</v>
      </c>
      <c r="N10" s="11">
        <v>166.42328675895968</v>
      </c>
      <c r="O10" s="11">
        <v>131.32433713594966</v>
      </c>
      <c r="P10" s="12">
        <v>2950395593.7780704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63224.083333333336</v>
      </c>
      <c r="D11" s="74">
        <v>49513.618740916681</v>
      </c>
      <c r="E11" s="75">
        <v>0.78314490508100176</v>
      </c>
      <c r="F11" s="76">
        <v>166.75228095693697</v>
      </c>
      <c r="G11" s="76">
        <v>130.59119924206095</v>
      </c>
      <c r="H11" s="77">
        <v>3013625735.1701994</v>
      </c>
      <c r="J11" s="8">
        <v>2019</v>
      </c>
      <c r="K11" s="9">
        <v>63224.083333333336</v>
      </c>
      <c r="L11" s="9">
        <v>49513.618740916681</v>
      </c>
      <c r="M11" s="20">
        <v>0.78314490508100176</v>
      </c>
      <c r="N11" s="11">
        <v>166.75228095693697</v>
      </c>
      <c r="O11" s="11">
        <v>130.59119924206095</v>
      </c>
      <c r="P11" s="12">
        <v>3013625735.1701994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59574.333333333336</v>
      </c>
      <c r="D12" s="74">
        <v>29067.178127249994</v>
      </c>
      <c r="E12" s="75">
        <v>0.48791445075200157</v>
      </c>
      <c r="F12" s="76">
        <v>130.62605468465964</v>
      </c>
      <c r="G12" s="76">
        <v>63.734339725366624</v>
      </c>
      <c r="H12" s="77">
        <v>1385879741.8462985</v>
      </c>
      <c r="J12" s="8">
        <v>2020</v>
      </c>
      <c r="K12" s="9">
        <v>59574.333333333336</v>
      </c>
      <c r="L12" s="9">
        <v>29067.178127249994</v>
      </c>
      <c r="M12" s="20">
        <v>0.48791445075200157</v>
      </c>
      <c r="N12" s="11">
        <v>130.62605468465964</v>
      </c>
      <c r="O12" s="11">
        <v>63.734339725366624</v>
      </c>
      <c r="P12" s="12">
        <v>1385879741.8462985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63815.583333333336</v>
      </c>
      <c r="D13" s="74">
        <v>39283.235388803732</v>
      </c>
      <c r="E13" s="75">
        <v>0.61557433681382001</v>
      </c>
      <c r="F13" s="76">
        <v>164.9685331308938</v>
      </c>
      <c r="G13" s="76">
        <v>101.55039537719864</v>
      </c>
      <c r="H13" s="77">
        <v>2365381667.3351974</v>
      </c>
      <c r="J13" s="8">
        <v>2021</v>
      </c>
      <c r="K13" s="9">
        <v>63815.583333333336</v>
      </c>
      <c r="L13" s="9">
        <v>39283.235388803732</v>
      </c>
      <c r="M13" s="20">
        <v>0.61557433681382001</v>
      </c>
      <c r="N13" s="11">
        <v>164.9685331308938</v>
      </c>
      <c r="O13" s="11">
        <v>101.55039537719864</v>
      </c>
      <c r="P13" s="12">
        <v>2365381667.3351974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63954.916666666664</v>
      </c>
      <c r="D14" s="74">
        <v>46413.875224014308</v>
      </c>
      <c r="E14" s="75">
        <v>0.72572802284965288</v>
      </c>
      <c r="F14" s="76">
        <v>204.32457140735926</v>
      </c>
      <c r="G14" s="76">
        <v>148.28406722706555</v>
      </c>
      <c r="H14" s="77">
        <v>3461475734.3130016</v>
      </c>
      <c r="J14" s="8">
        <v>2022</v>
      </c>
      <c r="K14" s="9">
        <v>63954.916666666664</v>
      </c>
      <c r="L14" s="9">
        <v>46413.875224014308</v>
      </c>
      <c r="M14" s="20">
        <v>0.72572802284965288</v>
      </c>
      <c r="N14" s="11">
        <v>204.32457140735926</v>
      </c>
      <c r="O14" s="11">
        <v>148.28406722706555</v>
      </c>
      <c r="P14" s="12">
        <v>3461475734.3130016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64035.81451612903</v>
      </c>
      <c r="D15" s="74">
        <v>47100.934260470072</v>
      </c>
      <c r="E15" s="75">
        <v>0.73554048802809435</v>
      </c>
      <c r="F15" s="76">
        <v>210.06653028151888</v>
      </c>
      <c r="G15" s="76">
        <v>154.51243820163685</v>
      </c>
      <c r="H15" s="77">
        <v>3611430389.086926</v>
      </c>
      <c r="J15" s="8">
        <v>2023</v>
      </c>
      <c r="K15" s="9">
        <v>64035.81451612903</v>
      </c>
      <c r="L15" s="9">
        <v>47100.934260470072</v>
      </c>
      <c r="M15" s="20">
        <v>0.73554048802809435</v>
      </c>
      <c r="N15" s="11">
        <v>210.06653028151888</v>
      </c>
      <c r="O15" s="11">
        <v>154.51243820163685</v>
      </c>
      <c r="P15" s="12">
        <v>3611430389.086926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64270.083333333336</v>
      </c>
      <c r="D16" s="74">
        <v>47852.061015104955</v>
      </c>
      <c r="E16" s="75">
        <v>0.74454642865363674</v>
      </c>
      <c r="F16" s="76">
        <v>212.55536500770694</v>
      </c>
      <c r="G16" s="76">
        <v>158.25733790765838</v>
      </c>
      <c r="H16" s="77">
        <v>3712492487.8343945</v>
      </c>
      <c r="J16" s="8">
        <v>2024</v>
      </c>
      <c r="K16" s="9">
        <v>64270.083333333336</v>
      </c>
      <c r="L16" s="9">
        <v>47852.061015104955</v>
      </c>
      <c r="M16" s="20">
        <v>0.74454642865363674</v>
      </c>
      <c r="N16" s="11">
        <v>212.55536500770694</v>
      </c>
      <c r="O16" s="11">
        <v>158.25733790765838</v>
      </c>
      <c r="P16" s="12">
        <v>3712492487.8343945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65942.833333333328</v>
      </c>
      <c r="D17" s="74">
        <v>47768.683739193861</v>
      </c>
      <c r="E17" s="75">
        <v>0.72439537891447181</v>
      </c>
      <c r="F17" s="76">
        <v>212.27284436763503</v>
      </c>
      <c r="G17" s="76">
        <v>153.76946752894568</v>
      </c>
      <c r="H17" s="77">
        <v>3701097944.6910872</v>
      </c>
      <c r="J17" s="8">
        <v>2025</v>
      </c>
      <c r="K17" s="9">
        <v>65942.833333333328</v>
      </c>
      <c r="L17" s="9">
        <v>47768.683739193861</v>
      </c>
      <c r="M17" s="20">
        <v>0.72439537891447181</v>
      </c>
      <c r="N17" s="11">
        <v>212.27284436763503</v>
      </c>
      <c r="O17" s="11">
        <v>153.76946752894568</v>
      </c>
      <c r="P17" s="12">
        <v>3701097944.6910872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66858</v>
      </c>
      <c r="D18" s="74">
        <v>50347.213240140751</v>
      </c>
      <c r="E18" s="75">
        <v>0.75304695384457732</v>
      </c>
      <c r="F18" s="76">
        <v>221.50171478793547</v>
      </c>
      <c r="G18" s="76">
        <v>166.80119159240516</v>
      </c>
      <c r="H18" s="77">
        <v>4070477834.6320343</v>
      </c>
      <c r="J18" s="8">
        <v>2026</v>
      </c>
      <c r="K18" s="9">
        <v>67053.958333333328</v>
      </c>
      <c r="L18" s="9">
        <v>49355.857587520753</v>
      </c>
      <c r="M18" s="20">
        <v>0.73606180476575034</v>
      </c>
      <c r="N18" s="11">
        <v>215.21689184165774</v>
      </c>
      <c r="O18" s="11">
        <v>158.41293382504588</v>
      </c>
      <c r="P18" s="12">
        <v>3877108206.4204865</v>
      </c>
      <c r="Q18" s="9"/>
      <c r="R18" s="22">
        <v>-195.95833333332848</v>
      </c>
      <c r="S18" s="22">
        <v>991.35565261999727</v>
      </c>
      <c r="T18" s="21">
        <v>1.6985149078826978E-2</v>
      </c>
      <c r="U18" s="23">
        <v>6.2848229462777283</v>
      </c>
      <c r="V18" s="23">
        <v>8.3882577673592778</v>
      </c>
      <c r="W18" s="24">
        <v>193369628.21154785</v>
      </c>
    </row>
    <row r="19" spans="2:23" s="5" customFormat="1" outlineLevel="1" x14ac:dyDescent="0.15">
      <c r="B19" s="78">
        <v>2027</v>
      </c>
      <c r="C19" s="74">
        <v>67512.099999999991</v>
      </c>
      <c r="D19" s="74">
        <v>50746.044599650915</v>
      </c>
      <c r="E19" s="75">
        <v>0.75165851158016006</v>
      </c>
      <c r="F19" s="76">
        <v>224.05066047285158</v>
      </c>
      <c r="G19" s="76">
        <v>168.4095859695754</v>
      </c>
      <c r="H19" s="77">
        <v>4149934955.261848</v>
      </c>
      <c r="J19" s="8">
        <v>2027</v>
      </c>
      <c r="K19" s="9">
        <v>67619.34166666666</v>
      </c>
      <c r="L19" s="9">
        <v>49905.229059619007</v>
      </c>
      <c r="M19" s="20">
        <v>0.73803186824310762</v>
      </c>
      <c r="N19" s="11">
        <v>219.46873681278393</v>
      </c>
      <c r="O19" s="11">
        <v>161.97492185089379</v>
      </c>
      <c r="P19" s="12">
        <v>3997712717.454535</v>
      </c>
      <c r="Q19" s="9"/>
      <c r="R19" s="22">
        <v>-107.24166666666861</v>
      </c>
      <c r="S19" s="22">
        <v>840.81554003190831</v>
      </c>
      <c r="T19" s="21">
        <v>1.3626643337052435E-2</v>
      </c>
      <c r="U19" s="23">
        <v>4.5819236600676447</v>
      </c>
      <c r="V19" s="23">
        <v>6.43466411868161</v>
      </c>
      <c r="W19" s="24">
        <v>152222237.80731297</v>
      </c>
    </row>
    <row r="20" spans="2:23" s="5" customFormat="1" outlineLevel="1" x14ac:dyDescent="0.15">
      <c r="B20" s="78">
        <v>2028</v>
      </c>
      <c r="C20" s="74">
        <v>67929.43333333332</v>
      </c>
      <c r="D20" s="74">
        <v>51584.435636946924</v>
      </c>
      <c r="E20" s="75">
        <v>0.75938268738117354</v>
      </c>
      <c r="F20" s="76">
        <v>228.74890339404055</v>
      </c>
      <c r="G20" s="76">
        <v>173.70795699486297</v>
      </c>
      <c r="H20" s="77">
        <v>4306957325.7155075</v>
      </c>
      <c r="J20" s="8">
        <v>2028</v>
      </c>
      <c r="K20" s="9">
        <v>68489.383333333346</v>
      </c>
      <c r="L20" s="9">
        <v>50749.997552059816</v>
      </c>
      <c r="M20" s="20">
        <v>0.74099072121970933</v>
      </c>
      <c r="N20" s="11">
        <v>224.14837482197998</v>
      </c>
      <c r="O20" s="11">
        <v>166.0918659195647</v>
      </c>
      <c r="P20" s="12">
        <v>4152068257.8324895</v>
      </c>
      <c r="Q20" s="9"/>
      <c r="R20" s="22">
        <v>-559.95000000002619</v>
      </c>
      <c r="S20" s="22">
        <v>834.43808488710783</v>
      </c>
      <c r="T20" s="21">
        <v>1.8391966161464213E-2</v>
      </c>
      <c r="U20" s="23">
        <v>4.6005285720605684</v>
      </c>
      <c r="V20" s="23">
        <v>7.6160910752982716</v>
      </c>
      <c r="W20" s="24">
        <v>154889067.88301802</v>
      </c>
    </row>
    <row r="21" spans="2:23" s="5" customFormat="1" outlineLevel="1" x14ac:dyDescent="0.15">
      <c r="B21" s="78">
        <v>2029</v>
      </c>
      <c r="C21" s="74">
        <v>68269.585826652925</v>
      </c>
      <c r="D21" s="74">
        <v>52824.438474647068</v>
      </c>
      <c r="E21" s="75">
        <v>0.77376239851193063</v>
      </c>
      <c r="F21" s="76">
        <v>231.8509057615409</v>
      </c>
      <c r="G21" s="76">
        <v>179.39751293921347</v>
      </c>
      <c r="H21" s="77">
        <v>4470298775.9424753</v>
      </c>
      <c r="J21" s="8">
        <v>2029</v>
      </c>
      <c r="K21" s="9">
        <v>68763.340866666607</v>
      </c>
      <c r="L21" s="9">
        <v>51961.815550649611</v>
      </c>
      <c r="M21" s="20">
        <v>0.75566159083812601</v>
      </c>
      <c r="N21" s="11">
        <v>227.09295434696608</v>
      </c>
      <c r="O21" s="11">
        <v>171.60542314995831</v>
      </c>
      <c r="P21" s="12">
        <v>4307059205.4196377</v>
      </c>
      <c r="Q21" s="9"/>
      <c r="R21" s="22">
        <v>-493.75504001368245</v>
      </c>
      <c r="S21" s="22">
        <v>862.62292399745638</v>
      </c>
      <c r="T21" s="21">
        <v>1.810080767380462E-2</v>
      </c>
      <c r="U21" s="23">
        <v>4.7579514145748192</v>
      </c>
      <c r="V21" s="23">
        <v>7.7920897892551579</v>
      </c>
      <c r="W21" s="24">
        <v>163239570.52283764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1.0556118201021869E-2</v>
      </c>
      <c r="D24" s="75">
        <v>3.0669440957716398E-2</v>
      </c>
      <c r="E24" s="75">
        <v>1.9903221992757958E-2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1.1583930877055115E-2</v>
      </c>
      <c r="D25" s="75">
        <v>3.6835207295883521E-2</v>
      </c>
      <c r="E25" s="75">
        <v>2.4962116981173565E-2</v>
      </c>
      <c r="F25" s="75">
        <v>6.0048982921316219E-2</v>
      </c>
      <c r="G25" s="75">
        <v>8.6510049638772069E-2</v>
      </c>
      <c r="H25" s="75">
        <v>9.909610695101323E-2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1.3187273428247215E-2</v>
      </c>
      <c r="D26" s="75">
        <v>2.1857765642933957E-2</v>
      </c>
      <c r="E26" s="75">
        <v>8.55764027251249E-3</v>
      </c>
      <c r="F26" s="75">
        <v>2.8081932174477409E-2</v>
      </c>
      <c r="G26" s="75">
        <v>3.6879887520696153E-2</v>
      </c>
      <c r="H26" s="75">
        <v>5.0553506109681789E-2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5.6283817170670325E-3</v>
      </c>
      <c r="D27" s="75">
        <v>8.5275277030223418E-3</v>
      </c>
      <c r="E27" s="75">
        <v>2.8829198127890976E-3</v>
      </c>
      <c r="F27" s="75">
        <v>3.3054970318208143E-2</v>
      </c>
      <c r="G27" s="75">
        <v>3.603318495983876E-2</v>
      </c>
      <c r="H27" s="75">
        <v>4.1864375196341452E-2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5.3477973853095495E-3</v>
      </c>
      <c r="D28" s="75">
        <v>2.5857956307412833E-2</v>
      </c>
      <c r="E28" s="75">
        <v>2.0401058196423127E-2</v>
      </c>
      <c r="F28" s="75">
        <v>3.8906204631504293E-2</v>
      </c>
      <c r="G28" s="75">
        <v>6.0100990572816704E-2</v>
      </c>
      <c r="H28" s="75">
        <v>6.5770195878366078E-2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2.7165377783554323E-2</v>
      </c>
      <c r="D29" s="75">
        <v>1.9415838155166787E-2</v>
      </c>
      <c r="E29" s="75">
        <v>-7.544588043952305E-3</v>
      </c>
      <c r="F29" s="75">
        <v>1.9768519441261123E-3</v>
      </c>
      <c r="G29" s="75">
        <v>-5.5826506333684911E-3</v>
      </c>
      <c r="H29" s="75">
        <v>2.143107233669661E-2</v>
      </c>
      <c r="J29" s="8">
        <v>2019</v>
      </c>
      <c r="K29" s="10">
        <v>2.7165377783554323E-2</v>
      </c>
      <c r="L29" s="10">
        <v>1.9415838155166787E-2</v>
      </c>
      <c r="M29" s="10">
        <v>-7.544588043952305E-3</v>
      </c>
      <c r="N29" s="10">
        <v>1.9768519441261123E-3</v>
      </c>
      <c r="O29" s="10">
        <v>-5.5826506333684911E-3</v>
      </c>
      <c r="P29" s="10">
        <v>2.143107233669661E-2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-5.7727211017953306E-2</v>
      </c>
      <c r="D30" s="75">
        <v>-0.41294579417945709</v>
      </c>
      <c r="E30" s="75">
        <v>-0.37698062314338121</v>
      </c>
      <c r="F30" s="75">
        <v>-0.21664606963671318</v>
      </c>
      <c r="G30" s="75">
        <v>-0.51195532244688202</v>
      </c>
      <c r="H30" s="75">
        <v>-0.5401287805341799</v>
      </c>
      <c r="J30" s="8">
        <v>2020</v>
      </c>
      <c r="K30" s="10">
        <v>-5.7727211017953306E-2</v>
      </c>
      <c r="L30" s="10">
        <v>-0.41294579417945709</v>
      </c>
      <c r="M30" s="10">
        <v>-0.37698062314338121</v>
      </c>
      <c r="N30" s="10">
        <v>-0.21664606963671318</v>
      </c>
      <c r="O30" s="10">
        <v>-0.51195532244688202</v>
      </c>
      <c r="P30" s="10">
        <v>-0.5401287805341799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7.119257174510274E-2</v>
      </c>
      <c r="D31" s="75">
        <v>0.35146367551848301</v>
      </c>
      <c r="E31" s="75">
        <v>0.26164399489513324</v>
      </c>
      <c r="F31" s="75">
        <v>0.26290680315760362</v>
      </c>
      <c r="G31" s="75">
        <v>0.59333878431600051</v>
      </c>
      <c r="H31" s="75">
        <v>0.70677267003267241</v>
      </c>
      <c r="J31" s="8">
        <v>2021</v>
      </c>
      <c r="K31" s="10">
        <v>7.119257174510274E-2</v>
      </c>
      <c r="L31" s="10">
        <v>0.35146367551848301</v>
      </c>
      <c r="M31" s="10">
        <v>0.26164399489513324</v>
      </c>
      <c r="N31" s="10">
        <v>0.26290680315760362</v>
      </c>
      <c r="O31" s="10">
        <v>0.59333878431600051</v>
      </c>
      <c r="P31" s="10">
        <v>0.70677267003267241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2.1833747504200751E-3</v>
      </c>
      <c r="D32" s="75">
        <v>0.18151864948585428</v>
      </c>
      <c r="E32" s="75">
        <v>0.17894457167591238</v>
      </c>
      <c r="F32" s="75">
        <v>0.23856694079493646</v>
      </c>
      <c r="G32" s="75">
        <v>0.46020177150743158</v>
      </c>
      <c r="H32" s="75">
        <v>0.46338993918585958</v>
      </c>
      <c r="J32" s="8">
        <v>2022</v>
      </c>
      <c r="K32" s="10">
        <v>2.1833747504200751E-3</v>
      </c>
      <c r="L32" s="10">
        <v>0.18151864948585428</v>
      </c>
      <c r="M32" s="10">
        <v>0.17894457167591238</v>
      </c>
      <c r="N32" s="10">
        <v>0.23856694079493646</v>
      </c>
      <c r="O32" s="10">
        <v>0.46020177150743158</v>
      </c>
      <c r="P32" s="10">
        <v>0.46338993918585958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1.2649199417147372E-3</v>
      </c>
      <c r="D33" s="75">
        <v>1.4802880240869953E-2</v>
      </c>
      <c r="E33" s="75">
        <v>1.3520857496878369E-2</v>
      </c>
      <c r="F33" s="75">
        <v>2.8102145692071145E-2</v>
      </c>
      <c r="G33" s="75">
        <v>4.2002968296208643E-2</v>
      </c>
      <c r="H33" s="75">
        <v>4.3321018630132269E-2</v>
      </c>
      <c r="J33" s="8">
        <v>2023</v>
      </c>
      <c r="K33" s="10">
        <v>1.2649199417147372E-3</v>
      </c>
      <c r="L33" s="10">
        <v>1.4802880240869953E-2</v>
      </c>
      <c r="M33" s="10">
        <v>1.3520857496878369E-2</v>
      </c>
      <c r="N33" s="10">
        <v>2.8102145692071145E-2</v>
      </c>
      <c r="O33" s="10">
        <v>4.2002968296208643E-2</v>
      </c>
      <c r="P33" s="10">
        <v>4.3321018630132269E-2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3.6584030198492101E-3</v>
      </c>
      <c r="D34" s="75">
        <v>1.5947173159689854E-2</v>
      </c>
      <c r="E34" s="75">
        <v>1.2243976738365969E-2</v>
      </c>
      <c r="F34" s="75">
        <v>1.1847840409667576E-2</v>
      </c>
      <c r="G34" s="75">
        <v>2.4236881830409507E-2</v>
      </c>
      <c r="H34" s="75">
        <v>2.7983953131939021E-2</v>
      </c>
      <c r="J34" s="8">
        <v>2024</v>
      </c>
      <c r="K34" s="10">
        <v>3.6584030198492101E-3</v>
      </c>
      <c r="L34" s="10">
        <v>1.5947173159689854E-2</v>
      </c>
      <c r="M34" s="10">
        <v>1.2243976738365969E-2</v>
      </c>
      <c r="N34" s="10">
        <v>1.1847840409667576E-2</v>
      </c>
      <c r="O34" s="10">
        <v>2.4236881830409507E-2</v>
      </c>
      <c r="P34" s="10">
        <v>2.7983953131939021E-2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2.6026883944188617E-2</v>
      </c>
      <c r="D35" s="75">
        <v>-1.7423967566365661E-3</v>
      </c>
      <c r="E35" s="75">
        <v>-2.7064866559905587E-2</v>
      </c>
      <c r="F35" s="75">
        <v>-1.3291625928222306E-3</v>
      </c>
      <c r="G35" s="75">
        <v>-2.8358055544516536E-2</v>
      </c>
      <c r="H35" s="75">
        <v>-3.0692434208678954E-3</v>
      </c>
      <c r="J35" s="8">
        <v>2025</v>
      </c>
      <c r="K35" s="10">
        <v>2.6026883944188617E-2</v>
      </c>
      <c r="L35" s="10">
        <v>-1.7423967566365661E-3</v>
      </c>
      <c r="M35" s="10">
        <v>-2.7064866559905587E-2</v>
      </c>
      <c r="N35" s="10">
        <v>-1.3291625928222306E-3</v>
      </c>
      <c r="O35" s="10">
        <v>-2.8358055544516536E-2</v>
      </c>
      <c r="P35" s="10">
        <v>-3.0692434208678954E-3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1.3878182365028469E-2</v>
      </c>
      <c r="D36" s="75">
        <v>5.3979496588708153E-2</v>
      </c>
      <c r="E36" s="75">
        <v>3.955239881988315E-2</v>
      </c>
      <c r="F36" s="75">
        <v>4.3476453372043089E-2</v>
      </c>
      <c r="G36" s="75">
        <v>8.4748450214971127E-2</v>
      </c>
      <c r="H36" s="75">
        <v>9.9802787027236439E-2</v>
      </c>
      <c r="J36" s="8">
        <v>2026</v>
      </c>
      <c r="K36" s="10">
        <v>1.6849821941732346E-2</v>
      </c>
      <c r="L36" s="10">
        <v>3.3226242049969379E-2</v>
      </c>
      <c r="M36" s="10">
        <v>1.6105052835595046E-2</v>
      </c>
      <c r="N36" s="10">
        <v>1.3869166745247519E-2</v>
      </c>
      <c r="O36" s="10">
        <v>3.0197583244060633E-2</v>
      </c>
      <c r="P36" s="10">
        <v>4.7556229086525903E-2</v>
      </c>
      <c r="Q36" s="10"/>
      <c r="R36" s="19">
        <v>-2.9716395767038772E-3</v>
      </c>
      <c r="S36" s="19">
        <v>2.0753254538738775E-2</v>
      </c>
      <c r="T36" s="19">
        <v>2.3447345984288104E-2</v>
      </c>
      <c r="U36" s="19">
        <v>2.960728662679557E-2</v>
      </c>
      <c r="V36" s="19">
        <v>5.4550866970910494E-2</v>
      </c>
      <c r="W36" s="19">
        <v>5.2246557940710536E-2</v>
      </c>
    </row>
    <row r="37" spans="2:23" s="5" customFormat="1" outlineLevel="1" x14ac:dyDescent="0.15">
      <c r="B37" s="78">
        <v>2027</v>
      </c>
      <c r="C37" s="75">
        <v>9.7834215800651769E-3</v>
      </c>
      <c r="D37" s="75">
        <v>7.9216173814400381E-3</v>
      </c>
      <c r="E37" s="75">
        <v>-1.8437658599225193E-3</v>
      </c>
      <c r="F37" s="75">
        <v>1.1507566374176603E-2</v>
      </c>
      <c r="G37" s="75">
        <v>9.6425832562425651E-3</v>
      </c>
      <c r="H37" s="75">
        <v>1.9520342293424253E-2</v>
      </c>
      <c r="J37" s="8">
        <v>2027</v>
      </c>
      <c r="K37" s="10">
        <v>8.4317667052964396E-3</v>
      </c>
      <c r="L37" s="10">
        <v>1.1130826186619869E-2</v>
      </c>
      <c r="M37" s="10">
        <v>2.6764919258162045E-3</v>
      </c>
      <c r="N37" s="10">
        <v>1.9756093189257751E-2</v>
      </c>
      <c r="O37" s="10">
        <v>2.2485462138980505E-2</v>
      </c>
      <c r="P37" s="10">
        <v>3.1106821015293828E-2</v>
      </c>
      <c r="Q37" s="10"/>
      <c r="R37" s="19">
        <v>1.3516548747687374E-3</v>
      </c>
      <c r="S37" s="19">
        <v>-3.2092088051798306E-3</v>
      </c>
      <c r="T37" s="19">
        <v>-4.5202577857387238E-3</v>
      </c>
      <c r="U37" s="19">
        <v>-8.2485268150811475E-3</v>
      </c>
      <c r="V37" s="19">
        <v>-1.284287888273794E-2</v>
      </c>
      <c r="W37" s="19">
        <v>-1.1586478721869575E-2</v>
      </c>
    </row>
    <row r="38" spans="2:23" s="5" customFormat="1" outlineLevel="1" x14ac:dyDescent="0.15">
      <c r="B38" s="78">
        <v>2028</v>
      </c>
      <c r="C38" s="75">
        <v>6.1816079389225287E-3</v>
      </c>
      <c r="D38" s="75">
        <v>1.6521308092291687E-2</v>
      </c>
      <c r="E38" s="75">
        <v>1.0276176856928609E-2</v>
      </c>
      <c r="F38" s="75">
        <v>2.0969556221229091E-2</v>
      </c>
      <c r="G38" s="75">
        <v>3.1461219946498531E-2</v>
      </c>
      <c r="H38" s="75">
        <v>3.7837308812410431E-2</v>
      </c>
      <c r="J38" s="8">
        <v>2028</v>
      </c>
      <c r="K38" s="10">
        <v>1.2866757428009468E-2</v>
      </c>
      <c r="L38" s="10">
        <v>1.6927454464373159E-2</v>
      </c>
      <c r="M38" s="10">
        <v>4.0091127550430095E-3</v>
      </c>
      <c r="N38" s="10">
        <v>2.1322572304172782E-2</v>
      </c>
      <c r="O38" s="10">
        <v>2.5417169655810978E-2</v>
      </c>
      <c r="P38" s="10">
        <v>3.8610963640288043E-2</v>
      </c>
      <c r="Q38" s="10"/>
      <c r="R38" s="19">
        <v>-6.685149489086939E-3</v>
      </c>
      <c r="S38" s="19">
        <v>-4.0614637208147286E-4</v>
      </c>
      <c r="T38" s="19">
        <v>6.2670641018855999E-3</v>
      </c>
      <c r="U38" s="19">
        <v>-3.5301608294369125E-4</v>
      </c>
      <c r="V38" s="19">
        <v>6.0440502906875526E-3</v>
      </c>
      <c r="W38" s="19">
        <v>-7.7365482787761231E-4</v>
      </c>
    </row>
    <row r="39" spans="2:23" s="5" customFormat="1" outlineLevel="1" x14ac:dyDescent="0.15">
      <c r="B39" s="78">
        <v>2029</v>
      </c>
      <c r="C39" s="75">
        <v>5.0074389940875097E-3</v>
      </c>
      <c r="D39" s="75">
        <v>2.4038313541459022E-2</v>
      </c>
      <c r="E39" s="75">
        <v>1.8936053415106624E-2</v>
      </c>
      <c r="F39" s="75">
        <v>1.3560731096301071E-2</v>
      </c>
      <c r="G39" s="75">
        <v>3.2753571239795054E-2</v>
      </c>
      <c r="H39" s="75">
        <v>3.7925021743704379E-2</v>
      </c>
      <c r="J39" s="8">
        <v>2029</v>
      </c>
      <c r="K39" s="10">
        <v>3.9999999999988933E-3</v>
      </c>
      <c r="L39" s="10">
        <v>2.3878188316101889E-2</v>
      </c>
      <c r="M39" s="10">
        <v>1.9798992346716116E-2</v>
      </c>
      <c r="N39" s="10">
        <v>1.3136742692534398E-2</v>
      </c>
      <c r="O39" s="10">
        <v>3.3195829307280711E-2</v>
      </c>
      <c r="P39" s="10">
        <v>3.7328612624508706E-2</v>
      </c>
      <c r="Q39" s="10"/>
      <c r="R39" s="19">
        <v>1.0074389940886164E-3</v>
      </c>
      <c r="S39" s="19">
        <v>1.6012522535713281E-4</v>
      </c>
      <c r="T39" s="19">
        <v>-8.6293893160949153E-4</v>
      </c>
      <c r="U39" s="19">
        <v>4.2398840376667302E-4</v>
      </c>
      <c r="V39" s="19">
        <v>-4.4225806748565688E-4</v>
      </c>
      <c r="W39" s="19">
        <v>5.964091191956733E-4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D886-C47F-44C9-A8CE-26FD1ED4C185}">
  <sheetPr>
    <tabColor theme="7" tint="0.79998168889431442"/>
  </sheetPr>
  <dimension ref="B1:W54"/>
  <sheetViews>
    <sheetView zoomScale="150" zoomScaleNormal="150" workbookViewId="0">
      <selection activeCell="P57" sqref="P57"/>
    </sheetView>
  </sheetViews>
  <sheetFormatPr baseColWidth="10" defaultColWidth="8.6640625" defaultRowHeight="11" outlineLevelRow="1" x14ac:dyDescent="0.15"/>
  <cols>
    <col min="1" max="1" width="4.6640625" style="1" customWidth="1"/>
    <col min="2" max="3" width="6.6640625" style="1" customWidth="1"/>
    <col min="4" max="4" width="8.6640625" style="1" customWidth="1"/>
    <col min="5" max="7" width="7.6640625" style="1" customWidth="1"/>
    <col min="8" max="8" width="10.6640625" style="1" customWidth="1"/>
    <col min="9" max="9" width="4.6640625" style="1" customWidth="1"/>
    <col min="10" max="11" width="6.6640625" style="1" customWidth="1"/>
    <col min="12" max="13" width="8.6640625" style="1" customWidth="1"/>
    <col min="14" max="15" width="7.6640625" style="1" customWidth="1"/>
    <col min="16" max="16" width="10.6640625" style="1" customWidth="1"/>
    <col min="17" max="17" width="4.6640625" style="1" customWidth="1"/>
    <col min="18" max="18" width="6.6640625" style="1" customWidth="1"/>
    <col min="19" max="20" width="8.6640625" style="1" customWidth="1"/>
    <col min="21" max="21" width="5.6640625" style="1" customWidth="1"/>
    <col min="22" max="22" width="6.6640625" style="1" customWidth="1"/>
    <col min="23" max="23" width="10.6640625" style="1" customWidth="1"/>
    <col min="24" max="16384" width="8.6640625" style="1"/>
  </cols>
  <sheetData>
    <row r="1" spans="2:23" s="5" customFormat="1" ht="16" x14ac:dyDescent="0.2">
      <c r="B1" s="67" t="s">
        <v>40</v>
      </c>
      <c r="C1" s="68"/>
      <c r="D1" s="68"/>
      <c r="E1" s="68"/>
      <c r="F1" s="68"/>
      <c r="G1" s="68"/>
      <c r="H1" s="68"/>
    </row>
    <row r="2" spans="2:23" s="5" customFormat="1" ht="11.5" customHeight="1" x14ac:dyDescent="0.15">
      <c r="B2" s="68"/>
      <c r="C2" s="68"/>
      <c r="D2" s="68"/>
      <c r="E2" s="68"/>
      <c r="F2" s="68"/>
      <c r="G2" s="68"/>
      <c r="H2" s="68"/>
      <c r="K2" s="25" t="s">
        <v>19</v>
      </c>
      <c r="L2" s="25"/>
      <c r="M2" s="25"/>
      <c r="N2" s="25"/>
      <c r="O2" s="25"/>
      <c r="P2" s="25"/>
      <c r="Q2" s="26"/>
      <c r="R2" s="25" t="s">
        <v>27</v>
      </c>
      <c r="S2" s="25"/>
      <c r="T2" s="25"/>
      <c r="U2" s="25"/>
      <c r="V2" s="25"/>
      <c r="W2" s="25"/>
    </row>
    <row r="3" spans="2:23" s="5" customFormat="1" ht="36" x14ac:dyDescent="0.15">
      <c r="B3" s="69"/>
      <c r="C3" s="70" t="s">
        <v>24</v>
      </c>
      <c r="D3" s="70" t="s">
        <v>25</v>
      </c>
      <c r="E3" s="70" t="s">
        <v>17</v>
      </c>
      <c r="F3" s="70" t="s">
        <v>20</v>
      </c>
      <c r="G3" s="70" t="s">
        <v>21</v>
      </c>
      <c r="H3" s="70" t="s">
        <v>18</v>
      </c>
      <c r="K3" s="6" t="s">
        <v>24</v>
      </c>
      <c r="L3" s="6" t="s">
        <v>25</v>
      </c>
      <c r="M3" s="6" t="s">
        <v>17</v>
      </c>
      <c r="N3" s="6" t="s">
        <v>20</v>
      </c>
      <c r="O3" s="6" t="s">
        <v>21</v>
      </c>
      <c r="P3" s="6" t="s">
        <v>18</v>
      </c>
      <c r="Q3" s="15"/>
      <c r="R3" s="6" t="s">
        <v>24</v>
      </c>
      <c r="S3" s="6" t="s">
        <v>25</v>
      </c>
      <c r="T3" s="6" t="s">
        <v>17</v>
      </c>
      <c r="U3" s="6" t="s">
        <v>20</v>
      </c>
      <c r="V3" s="6" t="s">
        <v>21</v>
      </c>
      <c r="W3" s="6" t="s">
        <v>18</v>
      </c>
    </row>
    <row r="4" spans="2:23" s="5" customFormat="1" ht="11.5" customHeight="1" x14ac:dyDescent="0.15">
      <c r="B4" s="71" t="s">
        <v>2</v>
      </c>
      <c r="C4" s="72"/>
      <c r="D4" s="72"/>
      <c r="E4" s="72"/>
      <c r="F4" s="72"/>
      <c r="G4" s="72"/>
      <c r="H4" s="72"/>
      <c r="J4" s="7" t="s">
        <v>2</v>
      </c>
      <c r="R4" s="16"/>
      <c r="S4" s="16"/>
      <c r="T4" s="16"/>
      <c r="U4" s="16"/>
      <c r="V4" s="16"/>
      <c r="W4" s="16"/>
    </row>
    <row r="5" spans="2:23" s="5" customFormat="1" hidden="1" outlineLevel="1" x14ac:dyDescent="0.15">
      <c r="B5" s="73"/>
      <c r="C5" s="74">
        <v>116134.41209985186</v>
      </c>
      <c r="D5" s="74">
        <v>0</v>
      </c>
      <c r="E5" s="75">
        <v>0</v>
      </c>
      <c r="F5" s="76" t="e">
        <v>#DIV/0!</v>
      </c>
      <c r="G5" s="76" t="e">
        <v>#DIV/0!</v>
      </c>
      <c r="H5" s="77" t="e">
        <v>#DIV/0!</v>
      </c>
      <c r="J5" s="4"/>
      <c r="K5" s="9">
        <v>116134.41209985186</v>
      </c>
      <c r="L5" s="9">
        <v>0</v>
      </c>
      <c r="M5" s="20">
        <v>0</v>
      </c>
      <c r="N5" s="11" t="e">
        <v>#DIV/0!</v>
      </c>
      <c r="O5" s="11" t="e">
        <v>#DIV/0!</v>
      </c>
      <c r="P5" s="12" t="e">
        <v>#DIV/0!</v>
      </c>
      <c r="Q5" s="9"/>
      <c r="R5" s="16"/>
      <c r="S5" s="16"/>
      <c r="T5" s="16"/>
      <c r="U5" s="16"/>
      <c r="V5" s="16"/>
      <c r="W5" s="16"/>
    </row>
    <row r="6" spans="2:23" s="5" customFormat="1" hidden="1" outlineLevel="1" x14ac:dyDescent="0.15">
      <c r="B6" s="73"/>
      <c r="C6" s="74">
        <v>116635.50641254608</v>
      </c>
      <c r="D6" s="74">
        <v>92233.283792465474</v>
      </c>
      <c r="E6" s="75">
        <v>0.79078221228989543</v>
      </c>
      <c r="F6" s="76">
        <v>174.46002542368345</v>
      </c>
      <c r="G6" s="76">
        <v>137.9598848606918</v>
      </c>
      <c r="H6" s="77">
        <v>5873222677.9003181</v>
      </c>
      <c r="J6" s="4"/>
      <c r="K6" s="9">
        <v>116635.50641254608</v>
      </c>
      <c r="L6" s="9">
        <v>92233.283792465474</v>
      </c>
      <c r="M6" s="20">
        <v>0.79078221228989543</v>
      </c>
      <c r="N6" s="11">
        <v>174.46002542368345</v>
      </c>
      <c r="O6" s="11">
        <v>137.9598848606918</v>
      </c>
      <c r="P6" s="12">
        <v>5873222677.9003181</v>
      </c>
      <c r="Q6" s="9"/>
      <c r="R6" s="16"/>
      <c r="S6" s="16"/>
      <c r="T6" s="16"/>
      <c r="U6" s="16"/>
      <c r="V6" s="16"/>
      <c r="W6" s="16"/>
    </row>
    <row r="7" spans="2:23" s="5" customFormat="1" hidden="1" outlineLevel="1" x14ac:dyDescent="0.15">
      <c r="B7" s="73"/>
      <c r="C7" s="74">
        <v>117024.83333333333</v>
      </c>
      <c r="D7" s="74">
        <v>94175.76213841133</v>
      </c>
      <c r="E7" s="75">
        <v>0.80475023510746013</v>
      </c>
      <c r="F7" s="76">
        <v>190.62858203789079</v>
      </c>
      <c r="G7" s="76">
        <v>153.40839621319435</v>
      </c>
      <c r="H7" s="77">
        <v>6552696079.5558071</v>
      </c>
      <c r="J7" s="4"/>
      <c r="K7" s="9">
        <v>117024.83333333333</v>
      </c>
      <c r="L7" s="9">
        <v>94175.76213841133</v>
      </c>
      <c r="M7" s="20">
        <v>0.80475023510746013</v>
      </c>
      <c r="N7" s="11">
        <v>190.62858203789079</v>
      </c>
      <c r="O7" s="11">
        <v>153.40839621319435</v>
      </c>
      <c r="P7" s="12">
        <v>6552696079.5558071</v>
      </c>
      <c r="Q7" s="9"/>
      <c r="R7" s="16"/>
      <c r="S7" s="16"/>
      <c r="T7" s="16"/>
      <c r="U7" s="16"/>
      <c r="V7" s="16"/>
      <c r="W7" s="16"/>
    </row>
    <row r="8" spans="2:23" s="5" customFormat="1" hidden="1" outlineLevel="1" x14ac:dyDescent="0.15">
      <c r="B8" s="73"/>
      <c r="C8" s="74">
        <v>117459.91666666667</v>
      </c>
      <c r="D8" s="74">
        <v>93835.119029522699</v>
      </c>
      <c r="E8" s="75">
        <v>0.79886927977151945</v>
      </c>
      <c r="F8" s="76">
        <v>201.13449769207384</v>
      </c>
      <c r="G8" s="76">
        <v>160.68017130847338</v>
      </c>
      <c r="H8" s="77">
        <v>6888820029.1358376</v>
      </c>
      <c r="J8" s="4"/>
      <c r="K8" s="9">
        <v>117459.91666666667</v>
      </c>
      <c r="L8" s="9">
        <v>93835.119029522699</v>
      </c>
      <c r="M8" s="20">
        <v>0.79886927977151945</v>
      </c>
      <c r="N8" s="11">
        <v>201.13449769207384</v>
      </c>
      <c r="O8" s="11">
        <v>160.68017130847338</v>
      </c>
      <c r="P8" s="12">
        <v>6888820029.1358376</v>
      </c>
      <c r="Q8" s="9"/>
      <c r="R8" s="16"/>
      <c r="S8" s="16"/>
      <c r="T8" s="16"/>
      <c r="U8" s="16"/>
      <c r="V8" s="16"/>
      <c r="W8" s="16"/>
    </row>
    <row r="9" spans="2:23" s="5" customFormat="1" hidden="1" outlineLevel="1" x14ac:dyDescent="0.15">
      <c r="B9" s="73"/>
      <c r="C9" s="74">
        <v>118835</v>
      </c>
      <c r="D9" s="74">
        <v>94200.989154459923</v>
      </c>
      <c r="E9" s="75">
        <v>0.79270407838145263</v>
      </c>
      <c r="F9" s="76">
        <v>202.09092546971405</v>
      </c>
      <c r="G9" s="76">
        <v>160.19830082372451</v>
      </c>
      <c r="H9" s="77">
        <v>6948565253.6113653</v>
      </c>
      <c r="J9" s="4"/>
      <c r="K9" s="9">
        <v>118835</v>
      </c>
      <c r="L9" s="9">
        <v>94200.989154459923</v>
      </c>
      <c r="M9" s="20">
        <v>0.79270407838145263</v>
      </c>
      <c r="N9" s="11">
        <v>202.09092546971405</v>
      </c>
      <c r="O9" s="11">
        <v>160.19830082372451</v>
      </c>
      <c r="P9" s="12">
        <v>6948565253.6113653</v>
      </c>
      <c r="Q9" s="9"/>
      <c r="R9" s="16"/>
      <c r="S9" s="18"/>
      <c r="T9" s="18"/>
      <c r="U9" s="18"/>
      <c r="V9" s="18"/>
      <c r="W9" s="18"/>
    </row>
    <row r="10" spans="2:23" s="5" customFormat="1" hidden="1" outlineLevel="1" x14ac:dyDescent="0.15">
      <c r="B10" s="73"/>
      <c r="C10" s="74">
        <v>120584.41666666667</v>
      </c>
      <c r="D10" s="74">
        <v>95277.771511776678</v>
      </c>
      <c r="E10" s="75">
        <v>0.79013337001210082</v>
      </c>
      <c r="F10" s="76">
        <v>212.85980231368032</v>
      </c>
      <c r="G10" s="76">
        <v>168.18763294221782</v>
      </c>
      <c r="H10" s="77">
        <v>7402494777.2429466</v>
      </c>
      <c r="J10" s="4"/>
      <c r="K10" s="9">
        <v>120584.41666666667</v>
      </c>
      <c r="L10" s="9">
        <v>95277.771511776678</v>
      </c>
      <c r="M10" s="20">
        <v>0.79013337001210082</v>
      </c>
      <c r="N10" s="11">
        <v>212.85980231368032</v>
      </c>
      <c r="O10" s="11">
        <v>168.18763294221782</v>
      </c>
      <c r="P10" s="12">
        <v>7402494777.2429466</v>
      </c>
      <c r="Q10" s="9"/>
      <c r="R10" s="18"/>
      <c r="S10" s="18"/>
      <c r="T10" s="18"/>
      <c r="U10" s="18"/>
      <c r="V10" s="18"/>
      <c r="W10" s="18"/>
    </row>
    <row r="11" spans="2:23" s="5" customFormat="1" ht="10.25" customHeight="1" collapsed="1" x14ac:dyDescent="0.15">
      <c r="B11" s="78">
        <v>2019</v>
      </c>
      <c r="C11" s="74">
        <v>122527.33333333333</v>
      </c>
      <c r="D11" s="74">
        <v>96688.560561666673</v>
      </c>
      <c r="E11" s="75">
        <v>0.78911829655695875</v>
      </c>
      <c r="F11" s="76">
        <v>214.63032751478133</v>
      </c>
      <c r="G11" s="76">
        <v>169.36871843792642</v>
      </c>
      <c r="H11" s="77">
        <v>7574588558.4034004</v>
      </c>
      <c r="J11" s="8">
        <v>2019</v>
      </c>
      <c r="K11" s="9">
        <v>122527.33333333333</v>
      </c>
      <c r="L11" s="9">
        <v>96688.560561666673</v>
      </c>
      <c r="M11" s="20">
        <v>0.78911829655695875</v>
      </c>
      <c r="N11" s="11">
        <v>214.63032751478133</v>
      </c>
      <c r="O11" s="11">
        <v>169.36871843792642</v>
      </c>
      <c r="P11" s="12">
        <v>7574588558.4034004</v>
      </c>
      <c r="Q11" s="9"/>
      <c r="R11" s="22"/>
      <c r="S11" s="22"/>
      <c r="T11" s="21"/>
      <c r="U11" s="23"/>
      <c r="V11" s="23"/>
      <c r="W11" s="24"/>
    </row>
    <row r="12" spans="2:23" s="5" customFormat="1" ht="10.25" customHeight="1" x14ac:dyDescent="0.15">
      <c r="B12" s="78">
        <v>2020</v>
      </c>
      <c r="C12" s="74">
        <v>108734.08333333333</v>
      </c>
      <c r="D12" s="74">
        <v>47800.624278750001</v>
      </c>
      <c r="E12" s="75">
        <v>0.4396103118119204</v>
      </c>
      <c r="F12" s="76">
        <v>151.07307554504075</v>
      </c>
      <c r="G12" s="76">
        <v>66.413281846741171</v>
      </c>
      <c r="H12" s="77">
        <v>2635806372.8087535</v>
      </c>
      <c r="J12" s="8">
        <v>2020</v>
      </c>
      <c r="K12" s="9">
        <v>108734.08333333333</v>
      </c>
      <c r="L12" s="9">
        <v>47800.624278750001</v>
      </c>
      <c r="M12" s="20">
        <v>0.4396103118119204</v>
      </c>
      <c r="N12" s="11">
        <v>151.07307554504075</v>
      </c>
      <c r="O12" s="11">
        <v>66.413281846741171</v>
      </c>
      <c r="P12" s="12">
        <v>2635806372.8087535</v>
      </c>
      <c r="Q12" s="9"/>
      <c r="R12" s="22"/>
      <c r="S12" s="22"/>
      <c r="T12" s="21"/>
      <c r="U12" s="23"/>
      <c r="V12" s="23"/>
      <c r="W12" s="24"/>
    </row>
    <row r="13" spans="2:23" s="5" customFormat="1" ht="10.25" customHeight="1" x14ac:dyDescent="0.15">
      <c r="B13" s="78">
        <v>2021</v>
      </c>
      <c r="C13" s="74">
        <v>116988.75000000001</v>
      </c>
      <c r="D13" s="74">
        <v>60971.030204914838</v>
      </c>
      <c r="E13" s="75">
        <v>0.52117002878409102</v>
      </c>
      <c r="F13" s="76">
        <v>150.56546539817026</v>
      </c>
      <c r="G13" s="76">
        <v>78.470207935454468</v>
      </c>
      <c r="H13" s="77">
        <v>3350748011.5922484</v>
      </c>
      <c r="J13" s="8">
        <v>2021</v>
      </c>
      <c r="K13" s="9">
        <v>116988.75000000001</v>
      </c>
      <c r="L13" s="9">
        <v>60971.030204914838</v>
      </c>
      <c r="M13" s="20">
        <v>0.52117002878409102</v>
      </c>
      <c r="N13" s="11">
        <v>150.56546539817026</v>
      </c>
      <c r="O13" s="11">
        <v>78.470207935454468</v>
      </c>
      <c r="P13" s="12">
        <v>3350748011.5922484</v>
      </c>
      <c r="Q13" s="9"/>
      <c r="R13" s="22"/>
      <c r="S13" s="22"/>
      <c r="T13" s="21"/>
      <c r="U13" s="23"/>
      <c r="V13" s="23"/>
      <c r="W13" s="24"/>
    </row>
    <row r="14" spans="2:23" s="5" customFormat="1" ht="10.25" customHeight="1" outlineLevel="1" x14ac:dyDescent="0.15">
      <c r="B14" s="78">
        <v>2022</v>
      </c>
      <c r="C14" s="74">
        <v>126071.25</v>
      </c>
      <c r="D14" s="74">
        <v>80613.010599078261</v>
      </c>
      <c r="E14" s="75">
        <v>0.63942421923379245</v>
      </c>
      <c r="F14" s="76">
        <v>192.82824566167844</v>
      </c>
      <c r="G14" s="76">
        <v>123.29905042844067</v>
      </c>
      <c r="H14" s="77">
        <v>5673729875.1341906</v>
      </c>
      <c r="J14" s="8">
        <v>2022</v>
      </c>
      <c r="K14" s="9">
        <v>126071.25</v>
      </c>
      <c r="L14" s="9">
        <v>80613.010599078261</v>
      </c>
      <c r="M14" s="20">
        <v>0.63942421923379245</v>
      </c>
      <c r="N14" s="11">
        <v>192.82824566167844</v>
      </c>
      <c r="O14" s="11">
        <v>123.29905042844067</v>
      </c>
      <c r="P14" s="12">
        <v>5673729875.1341906</v>
      </c>
      <c r="Q14" s="9"/>
      <c r="R14" s="22"/>
      <c r="S14" s="22"/>
      <c r="T14" s="21"/>
      <c r="U14" s="23"/>
      <c r="V14" s="23"/>
      <c r="W14" s="24"/>
    </row>
    <row r="15" spans="2:23" s="5" customFormat="1" ht="10.25" customHeight="1" outlineLevel="1" x14ac:dyDescent="0.15">
      <c r="B15" s="78">
        <v>2023</v>
      </c>
      <c r="C15" s="74">
        <v>129314.5</v>
      </c>
      <c r="D15" s="74">
        <v>82953.567857585454</v>
      </c>
      <c r="E15" s="75">
        <v>0.64148697831709089</v>
      </c>
      <c r="F15" s="76">
        <v>205.12427960360353</v>
      </c>
      <c r="G15" s="76">
        <v>131.5845543023857</v>
      </c>
      <c r="H15" s="77">
        <v>6210763659.2775879</v>
      </c>
      <c r="J15" s="8">
        <v>2023</v>
      </c>
      <c r="K15" s="9">
        <v>129314.5</v>
      </c>
      <c r="L15" s="9">
        <v>82953.567857585454</v>
      </c>
      <c r="M15" s="20">
        <v>0.64148697831709089</v>
      </c>
      <c r="N15" s="11">
        <v>205.12427960360353</v>
      </c>
      <c r="O15" s="11">
        <v>131.5845543023857</v>
      </c>
      <c r="P15" s="12">
        <v>6210763659.2775879</v>
      </c>
      <c r="Q15" s="9"/>
      <c r="R15" s="22"/>
      <c r="S15" s="22"/>
      <c r="T15" s="21"/>
      <c r="U15" s="23"/>
      <c r="V15" s="23"/>
      <c r="W15" s="24"/>
    </row>
    <row r="16" spans="2:23" s="5" customFormat="1" ht="10.25" customHeight="1" outlineLevel="1" x14ac:dyDescent="0.15">
      <c r="B16" s="78">
        <v>2024</v>
      </c>
      <c r="C16" s="74">
        <v>129756</v>
      </c>
      <c r="D16" s="74">
        <v>84026.192588325663</v>
      </c>
      <c r="E16" s="75">
        <v>0.64757076812113246</v>
      </c>
      <c r="F16" s="76">
        <v>195.81768660626867</v>
      </c>
      <c r="G16" s="76">
        <v>126.8058097273246</v>
      </c>
      <c r="H16" s="77">
        <v>6005642346.1472368</v>
      </c>
      <c r="J16" s="8">
        <v>2024</v>
      </c>
      <c r="K16" s="9">
        <v>129756</v>
      </c>
      <c r="L16" s="9">
        <v>84026.192588325663</v>
      </c>
      <c r="M16" s="20">
        <v>0.64757076812113246</v>
      </c>
      <c r="N16" s="11">
        <v>195.81768660626867</v>
      </c>
      <c r="O16" s="11">
        <v>126.8058097273246</v>
      </c>
      <c r="P16" s="12">
        <v>6005642346.1472368</v>
      </c>
      <c r="Q16" s="9"/>
      <c r="R16" s="22"/>
      <c r="S16" s="22"/>
      <c r="T16" s="21"/>
      <c r="U16" s="23"/>
      <c r="V16" s="23"/>
      <c r="W16" s="24"/>
    </row>
    <row r="17" spans="2:23" s="5" customFormat="1" ht="10.25" customHeight="1" outlineLevel="1" x14ac:dyDescent="0.15">
      <c r="B17" s="78">
        <v>2025</v>
      </c>
      <c r="C17" s="74">
        <v>129691.58333333333</v>
      </c>
      <c r="D17" s="74">
        <v>86316.53831635417</v>
      </c>
      <c r="E17" s="75">
        <v>0.66555235195566542</v>
      </c>
      <c r="F17" s="76">
        <v>203.07187775660742</v>
      </c>
      <c r="G17" s="76">
        <v>135.15496585696343</v>
      </c>
      <c r="H17" s="77">
        <v>6397888453.8335505</v>
      </c>
      <c r="J17" s="8">
        <v>2025</v>
      </c>
      <c r="K17" s="9">
        <v>129691.58333333333</v>
      </c>
      <c r="L17" s="9">
        <v>86316.53831635417</v>
      </c>
      <c r="M17" s="20">
        <v>0.66555235195566542</v>
      </c>
      <c r="N17" s="11">
        <v>203.07187775660742</v>
      </c>
      <c r="O17" s="11">
        <v>135.15496585696343</v>
      </c>
      <c r="P17" s="12">
        <v>6397888453.8335505</v>
      </c>
      <c r="Q17" s="9"/>
      <c r="R17" s="22">
        <v>0</v>
      </c>
      <c r="S17" s="22">
        <v>0</v>
      </c>
      <c r="T17" s="21">
        <v>0</v>
      </c>
      <c r="U17" s="23">
        <v>0</v>
      </c>
      <c r="V17" s="23">
        <v>0</v>
      </c>
      <c r="W17" s="24">
        <v>0</v>
      </c>
    </row>
    <row r="18" spans="2:23" s="5" customFormat="1" outlineLevel="1" x14ac:dyDescent="0.15">
      <c r="B18" s="78">
        <v>2026</v>
      </c>
      <c r="C18" s="74">
        <v>128055.54166666667</v>
      </c>
      <c r="D18" s="74">
        <v>90578.771585488226</v>
      </c>
      <c r="E18" s="75">
        <v>0.7073397246740647</v>
      </c>
      <c r="F18" s="76">
        <v>217.63719317151072</v>
      </c>
      <c r="G18" s="76">
        <v>153.94343229677261</v>
      </c>
      <c r="H18" s="77">
        <v>7195358007.2080011</v>
      </c>
      <c r="J18" s="8">
        <v>2026</v>
      </c>
      <c r="K18" s="9">
        <v>128561.20833333333</v>
      </c>
      <c r="L18" s="9">
        <v>88200.099951300552</v>
      </c>
      <c r="M18" s="20">
        <v>0.68605531244397966</v>
      </c>
      <c r="N18" s="11">
        <v>212.97217423858916</v>
      </c>
      <c r="O18" s="11">
        <v>146.11069153912894</v>
      </c>
      <c r="P18" s="12">
        <v>6856220974.9616156</v>
      </c>
      <c r="Q18" s="9"/>
      <c r="R18" s="22">
        <v>-505.66666666665697</v>
      </c>
      <c r="S18" s="22">
        <v>2378.6716341876745</v>
      </c>
      <c r="T18" s="21">
        <v>2.1284412230085037E-2</v>
      </c>
      <c r="U18" s="23">
        <v>4.665018932921555</v>
      </c>
      <c r="V18" s="23">
        <v>7.8327407576436769</v>
      </c>
      <c r="W18" s="24">
        <v>339137032.24638557</v>
      </c>
    </row>
    <row r="19" spans="2:23" s="5" customFormat="1" outlineLevel="1" x14ac:dyDescent="0.15">
      <c r="B19" s="78">
        <v>2027</v>
      </c>
      <c r="C19" s="74">
        <v>129023.65833333334</v>
      </c>
      <c r="D19" s="74">
        <v>90734.125168184459</v>
      </c>
      <c r="E19" s="75">
        <v>0.70323633929036755</v>
      </c>
      <c r="F19" s="76">
        <v>213.37678516720999</v>
      </c>
      <c r="G19" s="76">
        <v>150.05430929053594</v>
      </c>
      <c r="H19" s="77">
        <v>7066602915.6714487</v>
      </c>
      <c r="J19" s="8">
        <v>2027</v>
      </c>
      <c r="K19" s="9">
        <v>129482.17499999999</v>
      </c>
      <c r="L19" s="9">
        <v>87715.039434483479</v>
      </c>
      <c r="M19" s="20">
        <v>0.67742945648297526</v>
      </c>
      <c r="N19" s="11">
        <v>208.47564855024578</v>
      </c>
      <c r="O19" s="11">
        <v>141.22754528732878</v>
      </c>
      <c r="P19" s="12">
        <v>6674554152.8057299</v>
      </c>
      <c r="Q19" s="9"/>
      <c r="R19" s="22">
        <v>-458.51666666664823</v>
      </c>
      <c r="S19" s="22">
        <v>3019.0857337009802</v>
      </c>
      <c r="T19" s="21">
        <v>2.5806882807392295E-2</v>
      </c>
      <c r="U19" s="23">
        <v>4.9011366169642088</v>
      </c>
      <c r="V19" s="23">
        <v>8.8267640032071597</v>
      </c>
      <c r="W19" s="24">
        <v>392048762.86571884</v>
      </c>
    </row>
    <row r="20" spans="2:23" s="5" customFormat="1" outlineLevel="1" x14ac:dyDescent="0.15">
      <c r="B20" s="78">
        <v>2028</v>
      </c>
      <c r="C20" s="74">
        <v>129771.43333333331</v>
      </c>
      <c r="D20" s="74">
        <v>92290.770160460903</v>
      </c>
      <c r="E20" s="75">
        <v>0.7111794005033536</v>
      </c>
      <c r="F20" s="76">
        <v>218.40800727841173</v>
      </c>
      <c r="G20" s="76">
        <v>155.32727568139293</v>
      </c>
      <c r="H20" s="77">
        <v>7357320768.3417015</v>
      </c>
      <c r="J20" s="8">
        <v>2028</v>
      </c>
      <c r="K20" s="9">
        <v>130633.54166666664</v>
      </c>
      <c r="L20" s="9">
        <v>89090.288313594516</v>
      </c>
      <c r="M20" s="20">
        <v>0.6819863197227195</v>
      </c>
      <c r="N20" s="11">
        <v>213.01482903316156</v>
      </c>
      <c r="O20" s="11">
        <v>145.27319929869014</v>
      </c>
      <c r="P20" s="12">
        <v>6926806674.7769241</v>
      </c>
      <c r="Q20" s="9"/>
      <c r="R20" s="22">
        <v>-862.10833333333721</v>
      </c>
      <c r="S20" s="22">
        <v>3200.4818468663871</v>
      </c>
      <c r="T20" s="21">
        <v>2.9193080780634095E-2</v>
      </c>
      <c r="U20" s="23">
        <v>5.3931782452501693</v>
      </c>
      <c r="V20" s="23">
        <v>10.054076382702789</v>
      </c>
      <c r="W20" s="24">
        <v>430514093.56477737</v>
      </c>
    </row>
    <row r="21" spans="2:23" s="5" customFormat="1" outlineLevel="1" x14ac:dyDescent="0.15">
      <c r="B21" s="78">
        <v>2029</v>
      </c>
      <c r="C21" s="74">
        <v>130219.3654855299</v>
      </c>
      <c r="D21" s="74">
        <v>93869.833015590004</v>
      </c>
      <c r="E21" s="75">
        <v>0.72085924137006263</v>
      </c>
      <c r="F21" s="76">
        <v>223.94507485553325</v>
      </c>
      <c r="G21" s="76">
        <v>161.4328767689216</v>
      </c>
      <c r="H21" s="77">
        <v>7672915675.1937389</v>
      </c>
      <c r="J21" s="8">
        <v>2029</v>
      </c>
      <c r="K21" s="9">
        <v>131286.70937499998</v>
      </c>
      <c r="L21" s="9">
        <v>90645.895160654225</v>
      </c>
      <c r="M21" s="20">
        <v>0.69044228156970855</v>
      </c>
      <c r="N21" s="11">
        <v>218.48236520849306</v>
      </c>
      <c r="O21" s="11">
        <v>150.84946271729825</v>
      </c>
      <c r="P21" s="12">
        <v>7228653293.466403</v>
      </c>
      <c r="Q21" s="9"/>
      <c r="R21" s="22">
        <v>-1067.3438894700812</v>
      </c>
      <c r="S21" s="22">
        <v>3223.9378549357789</v>
      </c>
      <c r="T21" s="21">
        <v>3.0416959800354082E-2</v>
      </c>
      <c r="U21" s="23">
        <v>5.4627096470401852</v>
      </c>
      <c r="V21" s="23">
        <v>10.58341405162335</v>
      </c>
      <c r="W21" s="24">
        <v>444262381.72733593</v>
      </c>
    </row>
    <row r="22" spans="2:23" s="5" customFormat="1" x14ac:dyDescent="0.15">
      <c r="B22" s="73"/>
      <c r="C22" s="68"/>
      <c r="D22" s="68"/>
      <c r="E22" s="68"/>
      <c r="F22" s="68"/>
      <c r="G22" s="68"/>
      <c r="H22" s="68"/>
      <c r="J22" s="4"/>
    </row>
    <row r="23" spans="2:23" s="5" customFormat="1" ht="12" x14ac:dyDescent="0.15">
      <c r="B23" s="71" t="s">
        <v>3</v>
      </c>
      <c r="C23" s="68"/>
      <c r="D23" s="68"/>
      <c r="E23" s="68"/>
      <c r="F23" s="68"/>
      <c r="G23" s="68"/>
      <c r="H23" s="68"/>
      <c r="J23" s="7" t="s">
        <v>3</v>
      </c>
    </row>
    <row r="24" spans="2:23" s="5" customFormat="1" hidden="1" outlineLevel="1" x14ac:dyDescent="0.15">
      <c r="B24" s="73"/>
      <c r="C24" s="75">
        <v>4.3147789155153493E-3</v>
      </c>
      <c r="D24" s="75" t="e">
        <v>#DIV/0!</v>
      </c>
      <c r="E24" s="75" t="e">
        <v>#DIV/0!</v>
      </c>
      <c r="F24" s="75" t="e">
        <v>#DIV/0!</v>
      </c>
      <c r="G24" s="75" t="e">
        <v>#DIV/0!</v>
      </c>
      <c r="H24" s="75" t="e">
        <v>#DIV/0!</v>
      </c>
      <c r="J24" s="4"/>
      <c r="K24" s="17"/>
      <c r="L24" s="17"/>
      <c r="M24" s="17"/>
      <c r="N24" s="17"/>
      <c r="O24" s="17"/>
      <c r="P24" s="17"/>
      <c r="Q24" s="17"/>
    </row>
    <row r="25" spans="2:23" s="5" customFormat="1" hidden="1" outlineLevel="1" x14ac:dyDescent="0.15">
      <c r="B25" s="73"/>
      <c r="C25" s="75">
        <v>3.3379794263521667E-3</v>
      </c>
      <c r="D25" s="75">
        <v>2.1060492113851526E-2</v>
      </c>
      <c r="E25" s="75">
        <v>1.7663552113946768E-2</v>
      </c>
      <c r="F25" s="75">
        <v>9.2677715568029617E-2</v>
      </c>
      <c r="G25" s="75">
        <v>0.11197828534071363</v>
      </c>
      <c r="H25" s="75">
        <v>0.11569004597973143</v>
      </c>
      <c r="J25" s="4"/>
      <c r="K25" s="17"/>
      <c r="L25" s="17"/>
      <c r="M25" s="17"/>
      <c r="N25" s="17"/>
      <c r="O25" s="17"/>
      <c r="P25" s="17"/>
      <c r="Q25" s="17"/>
    </row>
    <row r="26" spans="2:23" s="5" customFormat="1" hidden="1" outlineLevel="1" x14ac:dyDescent="0.15">
      <c r="B26" s="73"/>
      <c r="C26" s="75">
        <v>3.7178718477133277E-3</v>
      </c>
      <c r="D26" s="75">
        <v>-3.6170995716284793E-3</v>
      </c>
      <c r="E26" s="75">
        <v>-7.3078019482099021E-3</v>
      </c>
      <c r="F26" s="75">
        <v>5.5111964543149261E-2</v>
      </c>
      <c r="G26" s="75">
        <v>4.7401415273081282E-2</v>
      </c>
      <c r="H26" s="75">
        <v>5.1295519508180121E-2</v>
      </c>
      <c r="J26" s="4"/>
      <c r="K26" s="17"/>
      <c r="L26" s="17"/>
      <c r="M26" s="17"/>
      <c r="N26" s="17"/>
      <c r="O26" s="17"/>
      <c r="P26" s="17"/>
      <c r="Q26" s="17"/>
    </row>
    <row r="27" spans="2:23" s="5" customFormat="1" hidden="1" outlineLevel="1" x14ac:dyDescent="0.15">
      <c r="B27" s="73"/>
      <c r="C27" s="75">
        <v>1.1706830486144515E-2</v>
      </c>
      <c r="D27" s="75">
        <v>3.8990745546143568E-3</v>
      </c>
      <c r="E27" s="75">
        <v>-7.7174095264122E-3</v>
      </c>
      <c r="F27" s="75">
        <v>4.7551652680906109E-3</v>
      </c>
      <c r="G27" s="75">
        <v>-2.9989418160613068E-3</v>
      </c>
      <c r="H27" s="75">
        <v>8.6727805666049207E-3</v>
      </c>
      <c r="J27" s="4"/>
      <c r="K27" s="17"/>
      <c r="L27" s="17"/>
      <c r="M27" s="17"/>
      <c r="N27" s="17"/>
      <c r="O27" s="17"/>
      <c r="P27" s="17"/>
      <c r="Q27" s="17"/>
    </row>
    <row r="28" spans="2:23" s="5" customFormat="1" hidden="1" outlineLevel="1" x14ac:dyDescent="0.15">
      <c r="B28" s="73"/>
      <c r="C28" s="75">
        <v>1.4721392406838563E-2</v>
      </c>
      <c r="D28" s="75">
        <v>1.1430690558367429E-2</v>
      </c>
      <c r="E28" s="75">
        <v>-3.2429609477987453E-3</v>
      </c>
      <c r="F28" s="75">
        <v>5.3287285507434223E-2</v>
      </c>
      <c r="G28" s="75">
        <v>4.9871515973720859E-2</v>
      </c>
      <c r="H28" s="75">
        <v>6.5327086537132484E-2</v>
      </c>
      <c r="J28" s="4"/>
      <c r="K28" s="17"/>
      <c r="L28" s="17"/>
      <c r="M28" s="17"/>
      <c r="N28" s="17"/>
      <c r="O28" s="17"/>
      <c r="P28" s="17"/>
      <c r="Q28" s="17"/>
    </row>
    <row r="29" spans="2:23" s="5" customFormat="1" collapsed="1" x14ac:dyDescent="0.15">
      <c r="B29" s="78">
        <v>2019</v>
      </c>
      <c r="C29" s="75">
        <v>1.6112502099151715E-2</v>
      </c>
      <c r="D29" s="75">
        <v>1.4807116366230444E-2</v>
      </c>
      <c r="E29" s="75">
        <v>-1.2846862234492384E-3</v>
      </c>
      <c r="F29" s="75">
        <v>8.3177997059862285E-3</v>
      </c>
      <c r="G29" s="75">
        <v>7.0224277198454033E-3</v>
      </c>
      <c r="H29" s="75">
        <v>2.3248078700374375E-2</v>
      </c>
      <c r="J29" s="8">
        <v>2019</v>
      </c>
      <c r="K29" s="10">
        <v>1.6112502099151715E-2</v>
      </c>
      <c r="L29" s="10">
        <v>1.4807116366230444E-2</v>
      </c>
      <c r="M29" s="10">
        <v>-1.2846862234492384E-3</v>
      </c>
      <c r="N29" s="10">
        <v>8.3177997059862285E-3</v>
      </c>
      <c r="O29" s="10">
        <v>7.0224277198454033E-3</v>
      </c>
      <c r="P29" s="10">
        <v>2.3248078700374375E-2</v>
      </c>
      <c r="Q29" s="10"/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2:23" s="5" customFormat="1" x14ac:dyDescent="0.15">
      <c r="B30" s="78">
        <v>2020</v>
      </c>
      <c r="C30" s="75">
        <v>-0.11257284088992392</v>
      </c>
      <c r="D30" s="75">
        <v>-0.50562275411822477</v>
      </c>
      <c r="E30" s="75">
        <v>-0.44290949312668837</v>
      </c>
      <c r="F30" s="75">
        <v>-0.29612428357946508</v>
      </c>
      <c r="G30" s="75">
        <v>-0.60787752036346898</v>
      </c>
      <c r="H30" s="75">
        <v>-0.65201986187295446</v>
      </c>
      <c r="J30" s="8">
        <v>2020</v>
      </c>
      <c r="K30" s="10">
        <v>-0.11257284088992392</v>
      </c>
      <c r="L30" s="10">
        <v>-0.50562275411822477</v>
      </c>
      <c r="M30" s="10">
        <v>-0.44290949312668837</v>
      </c>
      <c r="N30" s="10">
        <v>-0.29612428357946508</v>
      </c>
      <c r="O30" s="10">
        <v>-0.60787752036346898</v>
      </c>
      <c r="P30" s="10">
        <v>-0.65201986187295446</v>
      </c>
      <c r="Q30" s="10"/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2:23" s="5" customFormat="1" x14ac:dyDescent="0.15">
      <c r="B31" s="78">
        <v>2021</v>
      </c>
      <c r="C31" s="75">
        <v>7.5916091933762031E-2</v>
      </c>
      <c r="D31" s="75">
        <v>0.27552790627506107</v>
      </c>
      <c r="E31" s="75">
        <v>0.18552730630000447</v>
      </c>
      <c r="F31" s="75">
        <v>-3.3600305351508819E-3</v>
      </c>
      <c r="G31" s="75">
        <v>0.18154389835058149</v>
      </c>
      <c r="H31" s="75">
        <v>0.27124209356153983</v>
      </c>
      <c r="J31" s="8">
        <v>2021</v>
      </c>
      <c r="K31" s="10">
        <v>7.5916091933762031E-2</v>
      </c>
      <c r="L31" s="10">
        <v>0.27552790627506107</v>
      </c>
      <c r="M31" s="10">
        <v>0.18552730630000447</v>
      </c>
      <c r="N31" s="10">
        <v>-3.3600305351508819E-3</v>
      </c>
      <c r="O31" s="10">
        <v>0.18154389835058149</v>
      </c>
      <c r="P31" s="10">
        <v>0.27124209356153983</v>
      </c>
      <c r="Q31" s="10"/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2:23" s="5" customFormat="1" outlineLevel="1" x14ac:dyDescent="0.15">
      <c r="B32" s="78">
        <v>2022</v>
      </c>
      <c r="C32" s="75">
        <v>7.7635670096483533E-2</v>
      </c>
      <c r="D32" s="75">
        <v>0.32215267362466338</v>
      </c>
      <c r="E32" s="75">
        <v>0.22690136408187711</v>
      </c>
      <c r="F32" s="75">
        <v>0.28069371785717445</v>
      </c>
      <c r="G32" s="75">
        <v>0.57128486941005785</v>
      </c>
      <c r="H32" s="75">
        <v>0.69327262315917326</v>
      </c>
      <c r="J32" s="8">
        <v>2022</v>
      </c>
      <c r="K32" s="10">
        <v>7.7635670096483533E-2</v>
      </c>
      <c r="L32" s="10">
        <v>0.32215267362466338</v>
      </c>
      <c r="M32" s="10">
        <v>0.22690136408187711</v>
      </c>
      <c r="N32" s="10">
        <v>0.28069371785717445</v>
      </c>
      <c r="O32" s="10">
        <v>0.57128486941005785</v>
      </c>
      <c r="P32" s="10">
        <v>0.69327262315917326</v>
      </c>
      <c r="Q32" s="10"/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</row>
    <row r="33" spans="2:23" s="5" customFormat="1" outlineLevel="1" x14ac:dyDescent="0.15">
      <c r="B33" s="78">
        <v>2023</v>
      </c>
      <c r="C33" s="75">
        <v>2.5725532189138978E-2</v>
      </c>
      <c r="D33" s="75">
        <v>2.9034485142203081E-2</v>
      </c>
      <c r="E33" s="75">
        <v>3.2259633295876888E-3</v>
      </c>
      <c r="F33" s="75">
        <v>6.3766767673127944E-2</v>
      </c>
      <c r="G33" s="75">
        <v>6.7198440256875269E-2</v>
      </c>
      <c r="H33" s="75">
        <v>9.4652688083902703E-2</v>
      </c>
      <c r="J33" s="8">
        <v>2023</v>
      </c>
      <c r="K33" s="10">
        <v>2.5725532189138978E-2</v>
      </c>
      <c r="L33" s="10">
        <v>2.9034485142203081E-2</v>
      </c>
      <c r="M33" s="10">
        <v>3.2259633295876888E-3</v>
      </c>
      <c r="N33" s="10">
        <v>6.3766767673127944E-2</v>
      </c>
      <c r="O33" s="10">
        <v>6.7198440256875269E-2</v>
      </c>
      <c r="P33" s="10">
        <v>9.4652688083902703E-2</v>
      </c>
      <c r="Q33" s="10"/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</row>
    <row r="34" spans="2:23" s="5" customFormat="1" outlineLevel="1" x14ac:dyDescent="0.15">
      <c r="B34" s="78">
        <v>2024</v>
      </c>
      <c r="C34" s="75">
        <v>3.4141569584231757E-3</v>
      </c>
      <c r="D34" s="75">
        <v>1.2930423108282518E-2</v>
      </c>
      <c r="E34" s="75">
        <v>9.4838866721849158E-3</v>
      </c>
      <c r="F34" s="75">
        <v>-4.5370509114374791E-2</v>
      </c>
      <c r="G34" s="75">
        <v>-3.6316911208889913E-2</v>
      </c>
      <c r="H34" s="75">
        <v>-3.302674588557919E-2</v>
      </c>
      <c r="J34" s="8">
        <v>2024</v>
      </c>
      <c r="K34" s="10">
        <v>3.4141569584231757E-3</v>
      </c>
      <c r="L34" s="10">
        <v>1.2930423108282518E-2</v>
      </c>
      <c r="M34" s="10">
        <v>9.4838866721849158E-3</v>
      </c>
      <c r="N34" s="10">
        <v>-4.5370509114374791E-2</v>
      </c>
      <c r="O34" s="10">
        <v>-3.6316911208889913E-2</v>
      </c>
      <c r="P34" s="10">
        <v>-3.302674588557919E-2</v>
      </c>
      <c r="Q34" s="10"/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2:23" s="5" customFormat="1" outlineLevel="1" x14ac:dyDescent="0.15">
      <c r="B35" s="78">
        <v>2025</v>
      </c>
      <c r="C35" s="75">
        <v>-4.9644460885567288E-4</v>
      </c>
      <c r="D35" s="75">
        <v>2.7257521226145887E-2</v>
      </c>
      <c r="E35" s="75">
        <v>2.7767750985278283E-2</v>
      </c>
      <c r="F35" s="75">
        <v>3.704563809358441E-2</v>
      </c>
      <c r="G35" s="75">
        <v>6.5842063132535822E-2</v>
      </c>
      <c r="H35" s="75">
        <v>6.5312931586402057E-2</v>
      </c>
      <c r="J35" s="8">
        <v>2025</v>
      </c>
      <c r="K35" s="10">
        <v>-4.9644460885567288E-4</v>
      </c>
      <c r="L35" s="10">
        <v>2.7257521226145887E-2</v>
      </c>
      <c r="M35" s="10">
        <v>2.7767750985278283E-2</v>
      </c>
      <c r="N35" s="10">
        <v>3.704563809358441E-2</v>
      </c>
      <c r="O35" s="10">
        <v>6.5842063132535822E-2</v>
      </c>
      <c r="P35" s="10">
        <v>6.5312931586402057E-2</v>
      </c>
      <c r="Q35" s="10"/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36" spans="2:23" s="5" customFormat="1" outlineLevel="1" x14ac:dyDescent="0.15">
      <c r="B36" s="78">
        <v>2026</v>
      </c>
      <c r="C36" s="75">
        <v>-1.2614863853282587E-2</v>
      </c>
      <c r="D36" s="75">
        <v>4.9379103382398926E-2</v>
      </c>
      <c r="E36" s="75">
        <v>6.2786004129668838E-2</v>
      </c>
      <c r="F36" s="75">
        <v>7.1724926049881788E-2</v>
      </c>
      <c r="G36" s="75">
        <v>0.13901425168271886</v>
      </c>
      <c r="H36" s="75">
        <v>0.1246457419707927</v>
      </c>
      <c r="J36" s="8">
        <v>2026</v>
      </c>
      <c r="K36" s="10">
        <v>-8.7158701509156833E-3</v>
      </c>
      <c r="L36" s="10">
        <v>2.1821561333275952E-2</v>
      </c>
      <c r="M36" s="10">
        <v>3.0805931987270663E-2</v>
      </c>
      <c r="N36" s="10">
        <v>4.8752671179058016E-2</v>
      </c>
      <c r="O36" s="10">
        <v>8.1060474638868341E-2</v>
      </c>
      <c r="P36" s="10">
        <v>7.1638091916628621E-2</v>
      </c>
      <c r="Q36" s="10"/>
      <c r="R36" s="19">
        <v>-3.8989937023669041E-3</v>
      </c>
      <c r="S36" s="19">
        <v>2.7557542049122974E-2</v>
      </c>
      <c r="T36" s="19">
        <v>3.1980072142398175E-2</v>
      </c>
      <c r="U36" s="19">
        <v>2.2972254870823772E-2</v>
      </c>
      <c r="V36" s="19">
        <v>5.7953777043850518E-2</v>
      </c>
      <c r="W36" s="19">
        <v>5.3007650054164079E-2</v>
      </c>
    </row>
    <row r="37" spans="2:23" s="5" customFormat="1" outlineLevel="1" x14ac:dyDescent="0.15">
      <c r="B37" s="78">
        <v>2027</v>
      </c>
      <c r="C37" s="75">
        <v>7.560130971814738E-3</v>
      </c>
      <c r="D37" s="75">
        <v>1.7151213245325536E-3</v>
      </c>
      <c r="E37" s="75">
        <v>-5.8011521770362506E-3</v>
      </c>
      <c r="F37" s="75">
        <v>-1.957573492938447E-2</v>
      </c>
      <c r="G37" s="75">
        <v>-2.5263325289117899E-2</v>
      </c>
      <c r="H37" s="75">
        <v>-1.7894188365272568E-2</v>
      </c>
      <c r="J37" s="8">
        <v>2027</v>
      </c>
      <c r="K37" s="10">
        <v>7.1636435174036173E-3</v>
      </c>
      <c r="L37" s="10">
        <v>-5.4995461125882938E-3</v>
      </c>
      <c r="M37" s="10">
        <v>-1.257312027841595E-2</v>
      </c>
      <c r="N37" s="10">
        <v>-2.1113207415096369E-2</v>
      </c>
      <c r="O37" s="10">
        <v>-3.342086879721895E-2</v>
      </c>
      <c r="P37" s="10">
        <v>-2.6496640469920507E-2</v>
      </c>
      <c r="Q37" s="10"/>
      <c r="R37" s="19">
        <v>3.9648745441112077E-4</v>
      </c>
      <c r="S37" s="19">
        <v>7.2146674371208475E-3</v>
      </c>
      <c r="T37" s="19">
        <v>6.7719681013796995E-3</v>
      </c>
      <c r="U37" s="19">
        <v>1.5374724857118993E-3</v>
      </c>
      <c r="V37" s="19">
        <v>8.1575435081010506E-3</v>
      </c>
      <c r="W37" s="19">
        <v>8.6024521046479396E-3</v>
      </c>
    </row>
    <row r="38" spans="2:23" s="5" customFormat="1" outlineLevel="1" x14ac:dyDescent="0.15">
      <c r="B38" s="78">
        <v>2028</v>
      </c>
      <c r="C38" s="75">
        <v>5.7956425174991999E-3</v>
      </c>
      <c r="D38" s="75">
        <v>1.71561139691494E-2</v>
      </c>
      <c r="E38" s="75">
        <v>1.1295009613697449E-2</v>
      </c>
      <c r="F38" s="75">
        <v>2.3579051054026801E-2</v>
      </c>
      <c r="G38" s="75">
        <v>3.5140386276061308E-2</v>
      </c>
      <c r="H38" s="75">
        <v>4.1139689910343558E-2</v>
      </c>
      <c r="J38" s="8">
        <v>2028</v>
      </c>
      <c r="K38" s="10">
        <v>8.8920862401844492E-3</v>
      </c>
      <c r="L38" s="10">
        <v>1.5678598424825996E-2</v>
      </c>
      <c r="M38" s="10">
        <v>6.72669780762436E-3</v>
      </c>
      <c r="N38" s="10">
        <v>2.1773192766069149E-2</v>
      </c>
      <c r="O38" s="10">
        <v>2.8646352261737951E-2</v>
      </c>
      <c r="P38" s="10">
        <v>3.7793164336700658E-2</v>
      </c>
      <c r="Q38" s="10"/>
      <c r="R38" s="19">
        <v>-3.0964437226852493E-3</v>
      </c>
      <c r="S38" s="19">
        <v>1.4775155443234045E-3</v>
      </c>
      <c r="T38" s="19">
        <v>4.5683118060730887E-3</v>
      </c>
      <c r="U38" s="19">
        <v>1.8058582879576512E-3</v>
      </c>
      <c r="V38" s="19">
        <v>6.4940340143233577E-3</v>
      </c>
      <c r="W38" s="19">
        <v>3.3465255736429E-3</v>
      </c>
    </row>
    <row r="39" spans="2:23" s="5" customFormat="1" outlineLevel="1" x14ac:dyDescent="0.15">
      <c r="B39" s="78">
        <v>2029</v>
      </c>
      <c r="C39" s="75">
        <v>3.4517007379122333E-3</v>
      </c>
      <c r="D39" s="75">
        <v>1.7109650860900549E-2</v>
      </c>
      <c r="E39" s="75">
        <v>1.3610969130795736E-2</v>
      </c>
      <c r="F39" s="75">
        <v>2.5351944034099683E-2</v>
      </c>
      <c r="G39" s="75">
        <v>3.9307977692549345E-2</v>
      </c>
      <c r="H39" s="75">
        <v>4.2895357806068679E-2</v>
      </c>
      <c r="J39" s="8">
        <v>2029</v>
      </c>
      <c r="K39" s="10">
        <v>5.0000000000001155E-3</v>
      </c>
      <c r="L39" s="10">
        <v>1.7461014848038525E-2</v>
      </c>
      <c r="M39" s="10">
        <v>1.2399019749292028E-2</v>
      </c>
      <c r="N39" s="10">
        <v>2.5667396960801891E-2</v>
      </c>
      <c r="O39" s="10">
        <v>3.8384667271923911E-2</v>
      </c>
      <c r="P39" s="10">
        <v>4.357659060828345E-2</v>
      </c>
      <c r="Q39" s="10"/>
      <c r="R39" s="19">
        <v>-1.5482992620878822E-3</v>
      </c>
      <c r="S39" s="19">
        <v>-3.513639871379759E-4</v>
      </c>
      <c r="T39" s="19">
        <v>1.2119493815037075E-3</v>
      </c>
      <c r="U39" s="19">
        <v>-3.1545292670220881E-4</v>
      </c>
      <c r="V39" s="19">
        <v>9.2331042062543389E-4</v>
      </c>
      <c r="W39" s="19">
        <v>-6.8123280221477067E-4</v>
      </c>
    </row>
    <row r="40" spans="2:23" s="5" customFormat="1" ht="5" customHeight="1" x14ac:dyDescent="0.15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2:23" s="5" customFormat="1" x14ac:dyDescent="0.15">
      <c r="B41" s="5" t="s">
        <v>42</v>
      </c>
    </row>
    <row r="44" spans="2:23" x14ac:dyDescent="0.15">
      <c r="H44" s="66"/>
    </row>
    <row r="45" spans="2:23" x14ac:dyDescent="0.15">
      <c r="H45" s="66"/>
    </row>
    <row r="46" spans="2:23" x14ac:dyDescent="0.15">
      <c r="H46" s="66"/>
    </row>
    <row r="47" spans="2:23" x14ac:dyDescent="0.15">
      <c r="H47" s="66"/>
    </row>
    <row r="48" spans="2:23" x14ac:dyDescent="0.15">
      <c r="H48" s="66"/>
    </row>
    <row r="49" spans="8:17" x14ac:dyDescent="0.15">
      <c r="H49" s="66"/>
      <c r="L49" s="3"/>
      <c r="N49" s="3"/>
      <c r="P49" s="3"/>
      <c r="Q49" s="3"/>
    </row>
    <row r="50" spans="8:17" x14ac:dyDescent="0.15">
      <c r="H50" s="66"/>
      <c r="L50" s="3"/>
      <c r="N50" s="3"/>
      <c r="P50" s="2"/>
      <c r="Q50" s="2"/>
    </row>
    <row r="51" spans="8:17" x14ac:dyDescent="0.15">
      <c r="H51" s="66"/>
    </row>
    <row r="52" spans="8:17" x14ac:dyDescent="0.15">
      <c r="H52" s="66"/>
    </row>
    <row r="53" spans="8:17" x14ac:dyDescent="0.15">
      <c r="H53" s="66"/>
    </row>
    <row r="54" spans="8:17" x14ac:dyDescent="0.15">
      <c r="H54" s="6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ED10E8-77C5-466C-B0D8-C08BAEC831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E9D58-2C8A-4877-929A-BFA61B9A070A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4ca831f6-cca9-43ff-9fb4-19bcfc8d4d95"/>
    <ds:schemaRef ds:uri="http://schemas.openxmlformats.org/package/2006/metadata/core-properties"/>
    <ds:schemaRef ds:uri="5519fd31-555f-41cc-81cb-53143828dcc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1E8465D-3866-49BF-B1E0-588564AA4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California</vt:lpstr>
      <vt:lpstr>Gateway</vt:lpstr>
      <vt:lpstr>All other regions</vt:lpstr>
      <vt:lpstr>Central Coast</vt:lpstr>
      <vt:lpstr>Central Valley</vt:lpstr>
      <vt:lpstr>Dessert</vt:lpstr>
      <vt:lpstr>Gold Country</vt:lpstr>
      <vt:lpstr>High Sierra</vt:lpstr>
      <vt:lpstr>Inland Empire</vt:lpstr>
      <vt:lpstr>Los Angeles</vt:lpstr>
      <vt:lpstr>North Coast</vt:lpstr>
      <vt:lpstr>Orange County</vt:lpstr>
      <vt:lpstr>Shasta Cascade</vt:lpstr>
      <vt:lpstr>San Diego</vt:lpstr>
      <vt:lpstr>San Francisco Bay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Emina Cardamone</dc:creator>
  <cp:lastModifiedBy>Ani Chibukhchyan</cp:lastModifiedBy>
  <cp:lastPrinted>2026-01-26T15:50:43Z</cp:lastPrinted>
  <dcterms:created xsi:type="dcterms:W3CDTF">2020-09-18T18:20:07Z</dcterms:created>
  <dcterms:modified xsi:type="dcterms:W3CDTF">2026-10-01T16:20:49Z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2024-01-09T15:25:40Z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90da245f-8e7f-4759-918a-1cef3b4dc320</vt:lpwstr>
  </property>
  <property fmtid="{D5CDD505-2E9C-101B-9397-08002B2CF9AE}" pid="8" name="MSIP_Label_231f5784-19ed-4d1e-9a93-4ea41014d730_ContentBits">
    <vt:lpwstr>0</vt:lpwstr>
  </property>
  <property fmtid="{D5CDD505-2E9C-101B-9397-08002B2CF9AE}" pid="9" name="ContentTypeId">
    <vt:lpwstr>0x010100B0FC4979223D3F4F8ACA1256696572B0</vt:lpwstr>
  </property>
  <property fmtid="{D5CDD505-2E9C-101B-9397-08002B2CF9AE}" pid="10" name="MediaServiceImageTags">
    <vt:lpwstr/>
  </property>
</Properties>
</file>